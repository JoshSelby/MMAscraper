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0_ncr:100000_{BFD96054-E0C5-466F-AC2E-784A7F9A916C}" xr6:coauthVersionLast="31" xr6:coauthVersionMax="40" xr10:uidLastSave="{00000000-0000-0000-0000-000000000000}"/>
  <bookViews>
    <workbookView xWindow="0" yWindow="0" windowWidth="23040" windowHeight="8985" activeTab="1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Bets!$A$1:$Q$3161</definedName>
    <definedName name="_xlnm._FilterDatabase" localSheetId="2" hidden="1">'By Day'!$A$1:$F$326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161" i="1" l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5" i="1"/>
  <c r="R2604" i="1"/>
  <c r="R260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562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5" i="1"/>
  <c r="R2524" i="1"/>
  <c r="R2523" i="1"/>
  <c r="R2522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7" i="1"/>
  <c r="R2376" i="1"/>
  <c r="R2375" i="1"/>
  <c r="R2374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6" i="1"/>
  <c r="R1975" i="1"/>
  <c r="R1974" i="1"/>
  <c r="R1973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P13" i="1"/>
  <c r="P14" i="1" s="1"/>
  <c r="P15" i="1" s="1"/>
  <c r="P16" i="1" s="1"/>
  <c r="P17" i="1" s="1"/>
  <c r="P18" i="1" s="1"/>
  <c r="P19" i="1" l="1"/>
  <c r="D2" i="2"/>
  <c r="D3" i="2"/>
  <c r="B26" i="2"/>
  <c r="C26" i="2"/>
  <c r="AK26" i="2"/>
  <c r="AJ26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8" i="2"/>
  <c r="AK25" i="2"/>
  <c r="AJ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P2" i="1"/>
  <c r="A3" i="1"/>
  <c r="A4" i="1" s="1"/>
  <c r="A5" i="1" s="1"/>
  <c r="A6" i="1" s="1"/>
  <c r="A7" i="1" s="1"/>
  <c r="A8" i="1" s="1"/>
  <c r="A9" i="1" s="1"/>
  <c r="A10" i="1" s="1"/>
  <c r="P20" i="1" l="1"/>
  <c r="P21" i="1" s="1"/>
  <c r="P22" i="1" s="1"/>
  <c r="P23" i="1" s="1"/>
  <c r="P24" i="1" s="1"/>
  <c r="D4" i="2"/>
  <c r="N11" i="1"/>
  <c r="E17" i="4" s="1"/>
  <c r="L11" i="1"/>
  <c r="J11" i="1"/>
  <c r="L2" i="1"/>
  <c r="N2" i="1"/>
  <c r="J3" i="1"/>
  <c r="L3" i="1"/>
  <c r="N3" i="1"/>
  <c r="E9" i="4" s="1"/>
  <c r="J4" i="1"/>
  <c r="L4" i="1"/>
  <c r="N4" i="1" s="1"/>
  <c r="J5" i="1"/>
  <c r="L5" i="1"/>
  <c r="N5" i="1"/>
  <c r="J6" i="1"/>
  <c r="L6" i="1"/>
  <c r="N6" i="1"/>
  <c r="L7" i="1"/>
  <c r="N7" i="1" s="1"/>
  <c r="L8" i="1"/>
  <c r="N8" i="1"/>
  <c r="L9" i="1"/>
  <c r="N9" i="1" s="1"/>
  <c r="J10" i="1"/>
  <c r="L10" i="1"/>
  <c r="N10" i="1" s="1"/>
  <c r="J12" i="1"/>
  <c r="L12" i="1"/>
  <c r="N12" i="1" s="1"/>
  <c r="N300" i="1"/>
  <c r="J300" i="1"/>
  <c r="N299" i="1"/>
  <c r="J299" i="1"/>
  <c r="N298" i="1"/>
  <c r="J298" i="1"/>
  <c r="N297" i="1"/>
  <c r="J297" i="1"/>
  <c r="N296" i="1"/>
  <c r="J296" i="1"/>
  <c r="N295" i="1"/>
  <c r="J295" i="1"/>
  <c r="N294" i="1"/>
  <c r="J294" i="1"/>
  <c r="N293" i="1"/>
  <c r="J293" i="1"/>
  <c r="N292" i="1"/>
  <c r="J292" i="1"/>
  <c r="N291" i="1"/>
  <c r="J291" i="1"/>
  <c r="N290" i="1"/>
  <c r="J290" i="1"/>
  <c r="N289" i="1"/>
  <c r="J289" i="1"/>
  <c r="N288" i="1"/>
  <c r="J288" i="1"/>
  <c r="N287" i="1"/>
  <c r="J287" i="1"/>
  <c r="N286" i="1"/>
  <c r="J286" i="1"/>
  <c r="N285" i="1"/>
  <c r="J285" i="1"/>
  <c r="N284" i="1"/>
  <c r="J284" i="1"/>
  <c r="N283" i="1"/>
  <c r="J283" i="1"/>
  <c r="N282" i="1"/>
  <c r="J282" i="1"/>
  <c r="N281" i="1"/>
  <c r="J281" i="1"/>
  <c r="N280" i="1"/>
  <c r="J280" i="1"/>
  <c r="N279" i="1"/>
  <c r="J279" i="1"/>
  <c r="N278" i="1"/>
  <c r="J278" i="1"/>
  <c r="N277" i="1"/>
  <c r="J277" i="1"/>
  <c r="N276" i="1"/>
  <c r="J276" i="1"/>
  <c r="N275" i="1"/>
  <c r="J275" i="1"/>
  <c r="N274" i="1"/>
  <c r="J274" i="1"/>
  <c r="N273" i="1"/>
  <c r="J273" i="1"/>
  <c r="N272" i="1"/>
  <c r="J272" i="1"/>
  <c r="N271" i="1"/>
  <c r="J271" i="1"/>
  <c r="N270" i="1"/>
  <c r="J270" i="1"/>
  <c r="N269" i="1"/>
  <c r="J269" i="1"/>
  <c r="N268" i="1"/>
  <c r="J268" i="1"/>
  <c r="N267" i="1"/>
  <c r="J267" i="1"/>
  <c r="N266" i="1"/>
  <c r="J266" i="1"/>
  <c r="N265" i="1"/>
  <c r="J265" i="1"/>
  <c r="N264" i="1"/>
  <c r="J264" i="1"/>
  <c r="N263" i="1"/>
  <c r="J263" i="1"/>
  <c r="N262" i="1"/>
  <c r="J262" i="1"/>
  <c r="N261" i="1"/>
  <c r="J261" i="1"/>
  <c r="N260" i="1"/>
  <c r="J260" i="1"/>
  <c r="N259" i="1"/>
  <c r="J259" i="1"/>
  <c r="N258" i="1"/>
  <c r="J258" i="1"/>
  <c r="N257" i="1"/>
  <c r="J257" i="1"/>
  <c r="N256" i="1"/>
  <c r="J256" i="1"/>
  <c r="N255" i="1"/>
  <c r="J255" i="1"/>
  <c r="N254" i="1"/>
  <c r="J254" i="1"/>
  <c r="N253" i="1"/>
  <c r="J253" i="1"/>
  <c r="N252" i="1"/>
  <c r="J252" i="1"/>
  <c r="N251" i="1"/>
  <c r="J251" i="1"/>
  <c r="N250" i="1"/>
  <c r="J250" i="1"/>
  <c r="N249" i="1"/>
  <c r="J249" i="1"/>
  <c r="N248" i="1"/>
  <c r="J248" i="1"/>
  <c r="N247" i="1"/>
  <c r="J247" i="1"/>
  <c r="N246" i="1"/>
  <c r="J246" i="1"/>
  <c r="N245" i="1"/>
  <c r="J245" i="1"/>
  <c r="N244" i="1"/>
  <c r="J244" i="1"/>
  <c r="N243" i="1"/>
  <c r="J243" i="1"/>
  <c r="N242" i="1"/>
  <c r="J242" i="1"/>
  <c r="N241" i="1"/>
  <c r="J241" i="1"/>
  <c r="N240" i="1"/>
  <c r="J240" i="1"/>
  <c r="N239" i="1"/>
  <c r="J239" i="1"/>
  <c r="N238" i="1"/>
  <c r="J238" i="1"/>
  <c r="N237" i="1"/>
  <c r="J237" i="1"/>
  <c r="N236" i="1"/>
  <c r="J236" i="1"/>
  <c r="N235" i="1"/>
  <c r="J235" i="1"/>
  <c r="N234" i="1"/>
  <c r="J234" i="1"/>
  <c r="N233" i="1"/>
  <c r="J233" i="1"/>
  <c r="N232" i="1"/>
  <c r="J232" i="1"/>
  <c r="N231" i="1"/>
  <c r="J231" i="1"/>
  <c r="N230" i="1"/>
  <c r="J230" i="1"/>
  <c r="N229" i="1"/>
  <c r="J229" i="1"/>
  <c r="N228" i="1"/>
  <c r="J228" i="1"/>
  <c r="N227" i="1"/>
  <c r="J227" i="1"/>
  <c r="N226" i="1"/>
  <c r="J226" i="1"/>
  <c r="N225" i="1"/>
  <c r="J225" i="1"/>
  <c r="N224" i="1"/>
  <c r="J224" i="1"/>
  <c r="N223" i="1"/>
  <c r="J223" i="1"/>
  <c r="N222" i="1"/>
  <c r="J222" i="1"/>
  <c r="N221" i="1"/>
  <c r="J221" i="1"/>
  <c r="N220" i="1"/>
  <c r="J220" i="1"/>
  <c r="N219" i="1"/>
  <c r="J219" i="1"/>
  <c r="N218" i="1"/>
  <c r="J218" i="1"/>
  <c r="N217" i="1"/>
  <c r="J217" i="1"/>
  <c r="N216" i="1"/>
  <c r="J216" i="1"/>
  <c r="N215" i="1"/>
  <c r="J215" i="1"/>
  <c r="N214" i="1"/>
  <c r="J214" i="1"/>
  <c r="N213" i="1"/>
  <c r="J213" i="1"/>
  <c r="N212" i="1"/>
  <c r="J212" i="1"/>
  <c r="N211" i="1"/>
  <c r="J211" i="1"/>
  <c r="N210" i="1"/>
  <c r="J210" i="1"/>
  <c r="N209" i="1"/>
  <c r="J209" i="1"/>
  <c r="N208" i="1"/>
  <c r="J208" i="1"/>
  <c r="N207" i="1"/>
  <c r="J207" i="1"/>
  <c r="N206" i="1"/>
  <c r="J206" i="1"/>
  <c r="N205" i="1"/>
  <c r="J205" i="1"/>
  <c r="N204" i="1"/>
  <c r="J204" i="1"/>
  <c r="N203" i="1"/>
  <c r="J203" i="1"/>
  <c r="N202" i="1"/>
  <c r="J202" i="1"/>
  <c r="N201" i="1"/>
  <c r="J201" i="1"/>
  <c r="N200" i="1"/>
  <c r="J200" i="1"/>
  <c r="N199" i="1"/>
  <c r="J199" i="1"/>
  <c r="N198" i="1"/>
  <c r="J198" i="1"/>
  <c r="N197" i="1"/>
  <c r="J197" i="1"/>
  <c r="N196" i="1"/>
  <c r="J196" i="1"/>
  <c r="N195" i="1"/>
  <c r="J195" i="1"/>
  <c r="N194" i="1"/>
  <c r="J194" i="1"/>
  <c r="N193" i="1"/>
  <c r="J193" i="1"/>
  <c r="N192" i="1"/>
  <c r="J192" i="1"/>
  <c r="N191" i="1"/>
  <c r="J191" i="1"/>
  <c r="N190" i="1"/>
  <c r="J190" i="1"/>
  <c r="N189" i="1"/>
  <c r="J189" i="1"/>
  <c r="N188" i="1"/>
  <c r="J188" i="1"/>
  <c r="N187" i="1"/>
  <c r="J187" i="1"/>
  <c r="N186" i="1"/>
  <c r="J186" i="1"/>
  <c r="N185" i="1"/>
  <c r="J185" i="1"/>
  <c r="N184" i="1"/>
  <c r="J184" i="1"/>
  <c r="N183" i="1"/>
  <c r="J183" i="1"/>
  <c r="N182" i="1"/>
  <c r="J182" i="1"/>
  <c r="N181" i="1"/>
  <c r="J181" i="1"/>
  <c r="N180" i="1"/>
  <c r="J180" i="1"/>
  <c r="N179" i="1"/>
  <c r="J179" i="1"/>
  <c r="N178" i="1"/>
  <c r="J178" i="1"/>
  <c r="N177" i="1"/>
  <c r="J177" i="1"/>
  <c r="N176" i="1"/>
  <c r="J176" i="1"/>
  <c r="N175" i="1"/>
  <c r="J175" i="1"/>
  <c r="N174" i="1"/>
  <c r="J174" i="1"/>
  <c r="N173" i="1"/>
  <c r="J173" i="1"/>
  <c r="N172" i="1"/>
  <c r="J172" i="1"/>
  <c r="N171" i="1"/>
  <c r="J171" i="1"/>
  <c r="N170" i="1"/>
  <c r="J170" i="1"/>
  <c r="N169" i="1"/>
  <c r="J169" i="1"/>
  <c r="N168" i="1"/>
  <c r="J168" i="1"/>
  <c r="N167" i="1"/>
  <c r="J167" i="1"/>
  <c r="N166" i="1"/>
  <c r="J166" i="1"/>
  <c r="N165" i="1"/>
  <c r="J165" i="1"/>
  <c r="N164" i="1"/>
  <c r="J164" i="1"/>
  <c r="N163" i="1"/>
  <c r="J163" i="1"/>
  <c r="N162" i="1"/>
  <c r="J162" i="1"/>
  <c r="N161" i="1"/>
  <c r="J161" i="1"/>
  <c r="N160" i="1"/>
  <c r="J160" i="1"/>
  <c r="N159" i="1"/>
  <c r="J159" i="1"/>
  <c r="N158" i="1"/>
  <c r="J158" i="1"/>
  <c r="N157" i="1"/>
  <c r="J157" i="1"/>
  <c r="N156" i="1"/>
  <c r="J156" i="1"/>
  <c r="N155" i="1"/>
  <c r="J155" i="1"/>
  <c r="N154" i="1"/>
  <c r="J154" i="1"/>
  <c r="N153" i="1"/>
  <c r="J153" i="1"/>
  <c r="N152" i="1"/>
  <c r="J152" i="1"/>
  <c r="N151" i="1"/>
  <c r="J151" i="1"/>
  <c r="N150" i="1"/>
  <c r="J150" i="1"/>
  <c r="N149" i="1"/>
  <c r="J149" i="1"/>
  <c r="N148" i="1"/>
  <c r="J148" i="1"/>
  <c r="N147" i="1"/>
  <c r="J147" i="1"/>
  <c r="N146" i="1"/>
  <c r="J146" i="1"/>
  <c r="N145" i="1"/>
  <c r="J145" i="1"/>
  <c r="N144" i="1"/>
  <c r="J144" i="1"/>
  <c r="N143" i="1"/>
  <c r="J143" i="1"/>
  <c r="N142" i="1"/>
  <c r="J142" i="1"/>
  <c r="N141" i="1"/>
  <c r="J141" i="1"/>
  <c r="N140" i="1"/>
  <c r="J140" i="1"/>
  <c r="N139" i="1"/>
  <c r="J139" i="1"/>
  <c r="N138" i="1"/>
  <c r="J138" i="1"/>
  <c r="N137" i="1"/>
  <c r="J137" i="1"/>
  <c r="N136" i="1"/>
  <c r="J136" i="1"/>
  <c r="N135" i="1"/>
  <c r="J135" i="1"/>
  <c r="N134" i="1"/>
  <c r="J134" i="1"/>
  <c r="N133" i="1"/>
  <c r="J133" i="1"/>
  <c r="N132" i="1"/>
  <c r="J132" i="1"/>
  <c r="N131" i="1"/>
  <c r="J131" i="1"/>
  <c r="N130" i="1"/>
  <c r="J130" i="1"/>
  <c r="N129" i="1"/>
  <c r="J129" i="1"/>
  <c r="N128" i="1"/>
  <c r="J128" i="1"/>
  <c r="N127" i="1"/>
  <c r="J127" i="1"/>
  <c r="N126" i="1"/>
  <c r="J126" i="1"/>
  <c r="N125" i="1"/>
  <c r="J125" i="1"/>
  <c r="N124" i="1"/>
  <c r="J124" i="1"/>
  <c r="N123" i="1"/>
  <c r="J123" i="1"/>
  <c r="N122" i="1"/>
  <c r="J122" i="1"/>
  <c r="N121" i="1"/>
  <c r="J121" i="1"/>
  <c r="N120" i="1"/>
  <c r="J120" i="1"/>
  <c r="N119" i="1"/>
  <c r="J119" i="1"/>
  <c r="N118" i="1"/>
  <c r="J118" i="1"/>
  <c r="N117" i="1"/>
  <c r="J117" i="1"/>
  <c r="N116" i="1"/>
  <c r="J116" i="1"/>
  <c r="N115" i="1"/>
  <c r="J115" i="1"/>
  <c r="N114" i="1"/>
  <c r="J114" i="1"/>
  <c r="N113" i="1"/>
  <c r="J113" i="1"/>
  <c r="N112" i="1"/>
  <c r="J112" i="1"/>
  <c r="N111" i="1"/>
  <c r="J111" i="1"/>
  <c r="N110" i="1"/>
  <c r="J110" i="1"/>
  <c r="N109" i="1"/>
  <c r="J109" i="1"/>
  <c r="N108" i="1"/>
  <c r="J108" i="1"/>
  <c r="N107" i="1"/>
  <c r="J107" i="1"/>
  <c r="N106" i="1"/>
  <c r="J106" i="1"/>
  <c r="N105" i="1"/>
  <c r="J105" i="1"/>
  <c r="N104" i="1"/>
  <c r="J104" i="1"/>
  <c r="N103" i="1"/>
  <c r="J103" i="1"/>
  <c r="N102" i="1"/>
  <c r="J102" i="1"/>
  <c r="N101" i="1"/>
  <c r="J101" i="1"/>
  <c r="N100" i="1"/>
  <c r="J100" i="1"/>
  <c r="N99" i="1"/>
  <c r="J99" i="1"/>
  <c r="N98" i="1"/>
  <c r="J98" i="1"/>
  <c r="N97" i="1"/>
  <c r="J97" i="1"/>
  <c r="N96" i="1"/>
  <c r="J96" i="1"/>
  <c r="N95" i="1"/>
  <c r="J95" i="1"/>
  <c r="N94" i="1"/>
  <c r="J94" i="1"/>
  <c r="N93" i="1"/>
  <c r="J93" i="1"/>
  <c r="N92" i="1"/>
  <c r="J92" i="1"/>
  <c r="N91" i="1"/>
  <c r="J91" i="1"/>
  <c r="N90" i="1"/>
  <c r="J90" i="1"/>
  <c r="N89" i="1"/>
  <c r="J89" i="1"/>
  <c r="N88" i="1"/>
  <c r="J88" i="1"/>
  <c r="N87" i="1"/>
  <c r="J87" i="1"/>
  <c r="N86" i="1"/>
  <c r="J86" i="1"/>
  <c r="N85" i="1"/>
  <c r="J85" i="1"/>
  <c r="N84" i="1"/>
  <c r="J84" i="1"/>
  <c r="N83" i="1"/>
  <c r="J83" i="1"/>
  <c r="N82" i="1"/>
  <c r="J82" i="1"/>
  <c r="N81" i="1"/>
  <c r="J81" i="1"/>
  <c r="N80" i="1"/>
  <c r="J80" i="1"/>
  <c r="N79" i="1"/>
  <c r="J79" i="1"/>
  <c r="N78" i="1"/>
  <c r="J78" i="1"/>
  <c r="N77" i="1"/>
  <c r="J77" i="1"/>
  <c r="N76" i="1"/>
  <c r="J76" i="1"/>
  <c r="N75" i="1"/>
  <c r="J75" i="1"/>
  <c r="N74" i="1"/>
  <c r="J74" i="1"/>
  <c r="N73" i="1"/>
  <c r="J73" i="1"/>
  <c r="N72" i="1"/>
  <c r="J72" i="1"/>
  <c r="N71" i="1"/>
  <c r="J71" i="1"/>
  <c r="N70" i="1"/>
  <c r="J70" i="1"/>
  <c r="N69" i="1"/>
  <c r="J69" i="1"/>
  <c r="N68" i="1"/>
  <c r="J68" i="1"/>
  <c r="N67" i="1"/>
  <c r="J67" i="1"/>
  <c r="N66" i="1"/>
  <c r="J66" i="1"/>
  <c r="N65" i="1"/>
  <c r="J65" i="1"/>
  <c r="N64" i="1"/>
  <c r="J64" i="1"/>
  <c r="N63" i="1"/>
  <c r="J63" i="1"/>
  <c r="N62" i="1"/>
  <c r="J62" i="1"/>
  <c r="N61" i="1"/>
  <c r="J61" i="1"/>
  <c r="N60" i="1"/>
  <c r="J60" i="1"/>
  <c r="N59" i="1"/>
  <c r="J59" i="1"/>
  <c r="N58" i="1"/>
  <c r="J58" i="1"/>
  <c r="N57" i="1"/>
  <c r="J57" i="1"/>
  <c r="N56" i="1"/>
  <c r="J56" i="1"/>
  <c r="N55" i="1"/>
  <c r="J55" i="1"/>
  <c r="N54" i="1"/>
  <c r="J54" i="1"/>
  <c r="N53" i="1"/>
  <c r="J53" i="1"/>
  <c r="N52" i="1"/>
  <c r="J52" i="1"/>
  <c r="N51" i="1"/>
  <c r="J51" i="1"/>
  <c r="N50" i="1"/>
  <c r="J50" i="1"/>
  <c r="N49" i="1"/>
  <c r="J49" i="1"/>
  <c r="N48" i="1"/>
  <c r="J48" i="1"/>
  <c r="N47" i="1"/>
  <c r="J47" i="1"/>
  <c r="N46" i="1"/>
  <c r="J46" i="1"/>
  <c r="N45" i="1"/>
  <c r="J45" i="1"/>
  <c r="N44" i="1"/>
  <c r="J44" i="1"/>
  <c r="N43" i="1"/>
  <c r="J43" i="1"/>
  <c r="N42" i="1"/>
  <c r="L42" i="1"/>
  <c r="J42" i="1"/>
  <c r="N41" i="1"/>
  <c r="L41" i="1"/>
  <c r="J41" i="1"/>
  <c r="N40" i="1"/>
  <c r="L40" i="1"/>
  <c r="J40" i="1"/>
  <c r="N39" i="1"/>
  <c r="L39" i="1"/>
  <c r="J39" i="1"/>
  <c r="N38" i="1"/>
  <c r="L38" i="1"/>
  <c r="J38" i="1"/>
  <c r="N37" i="1"/>
  <c r="L37" i="1"/>
  <c r="J37" i="1"/>
  <c r="N36" i="1"/>
  <c r="L36" i="1"/>
  <c r="J36" i="1"/>
  <c r="N35" i="1"/>
  <c r="L35" i="1"/>
  <c r="J35" i="1"/>
  <c r="N34" i="1"/>
  <c r="L34" i="1"/>
  <c r="J34" i="1"/>
  <c r="N33" i="1"/>
  <c r="L33" i="1"/>
  <c r="J33" i="1"/>
  <c r="L32" i="1"/>
  <c r="J32" i="1"/>
  <c r="L31" i="1"/>
  <c r="J31" i="1"/>
  <c r="L30" i="1"/>
  <c r="J30" i="1"/>
  <c r="L28" i="1"/>
  <c r="J28" i="1"/>
  <c r="L27" i="1"/>
  <c r="J27" i="1"/>
  <c r="N26" i="1"/>
  <c r="L26" i="1"/>
  <c r="J26" i="1"/>
  <c r="N25" i="1"/>
  <c r="L25" i="1"/>
  <c r="J25" i="1"/>
  <c r="L24" i="1"/>
  <c r="N24" i="1" s="1"/>
  <c r="J24" i="1"/>
  <c r="L23" i="1"/>
  <c r="N23" i="1" s="1"/>
  <c r="J23" i="1"/>
  <c r="N22" i="1"/>
  <c r="L22" i="1"/>
  <c r="J22" i="1"/>
  <c r="N21" i="1"/>
  <c r="J21" i="1"/>
  <c r="L20" i="1"/>
  <c r="N20" i="1" s="1"/>
  <c r="J20" i="1"/>
  <c r="L19" i="1"/>
  <c r="N19" i="1" s="1"/>
  <c r="J19" i="1"/>
  <c r="L18" i="1"/>
  <c r="N18" i="1" s="1"/>
  <c r="J18" i="1"/>
  <c r="N17" i="1"/>
  <c r="L17" i="1"/>
  <c r="J17" i="1"/>
  <c r="L16" i="1"/>
  <c r="J16" i="1"/>
  <c r="L15" i="1"/>
  <c r="J15" i="1"/>
  <c r="L14" i="1"/>
  <c r="J14" i="1"/>
  <c r="N13" i="1"/>
  <c r="P25" i="1" l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E51" i="4"/>
  <c r="E15" i="4"/>
  <c r="E30" i="4"/>
  <c r="E32" i="4"/>
  <c r="E16" i="4"/>
  <c r="P3" i="1"/>
  <c r="P4" i="1" s="1"/>
  <c r="P5" i="1" s="1"/>
  <c r="P6" i="1" s="1"/>
  <c r="P7" i="1" s="1"/>
  <c r="P8" i="1" s="1"/>
  <c r="P9" i="1" s="1"/>
  <c r="P10" i="1" s="1"/>
  <c r="E2" i="4"/>
  <c r="F3" i="4" l="1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55" i="4"/>
  <c r="F163" i="4"/>
  <c r="F171" i="4"/>
  <c r="F179" i="4"/>
  <c r="F187" i="4"/>
  <c r="F195" i="4"/>
  <c r="F203" i="4"/>
  <c r="F211" i="4"/>
  <c r="F219" i="4"/>
  <c r="F227" i="4"/>
  <c r="F235" i="4"/>
  <c r="F243" i="4"/>
  <c r="F251" i="4"/>
  <c r="F259" i="4"/>
  <c r="F267" i="4"/>
  <c r="F275" i="4"/>
  <c r="F283" i="4"/>
  <c r="F291" i="4"/>
  <c r="F299" i="4"/>
  <c r="F307" i="4"/>
  <c r="F315" i="4"/>
  <c r="F323" i="4"/>
  <c r="F4" i="4"/>
  <c r="F12" i="4"/>
  <c r="F20" i="4"/>
  <c r="F28" i="4"/>
  <c r="F36" i="4"/>
  <c r="F44" i="4"/>
  <c r="F52" i="4"/>
  <c r="F60" i="4"/>
  <c r="F68" i="4"/>
  <c r="F76" i="4"/>
  <c r="F84" i="4"/>
  <c r="F92" i="4"/>
  <c r="F100" i="4"/>
  <c r="F108" i="4"/>
  <c r="F116" i="4"/>
  <c r="F124" i="4"/>
  <c r="F132" i="4"/>
  <c r="F140" i="4"/>
  <c r="F148" i="4"/>
  <c r="F156" i="4"/>
  <c r="F164" i="4"/>
  <c r="F172" i="4"/>
  <c r="F180" i="4"/>
  <c r="F188" i="4"/>
  <c r="F196" i="4"/>
  <c r="F204" i="4"/>
  <c r="F212" i="4"/>
  <c r="F220" i="4"/>
  <c r="F228" i="4"/>
  <c r="F236" i="4"/>
  <c r="F244" i="4"/>
  <c r="F252" i="4"/>
  <c r="F260" i="4"/>
  <c r="F268" i="4"/>
  <c r="F276" i="4"/>
  <c r="F284" i="4"/>
  <c r="F292" i="4"/>
  <c r="F300" i="4"/>
  <c r="F308" i="4"/>
  <c r="F316" i="4"/>
  <c r="F324" i="4"/>
  <c r="F5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49" i="4"/>
  <c r="F157" i="4"/>
  <c r="F165" i="4"/>
  <c r="F173" i="4"/>
  <c r="F181" i="4"/>
  <c r="F189" i="4"/>
  <c r="F197" i="4"/>
  <c r="F205" i="4"/>
  <c r="F213" i="4"/>
  <c r="F221" i="4"/>
  <c r="F229" i="4"/>
  <c r="F237" i="4"/>
  <c r="F245" i="4"/>
  <c r="F253" i="4"/>
  <c r="F261" i="4"/>
  <c r="F269" i="4"/>
  <c r="F277" i="4"/>
  <c r="F285" i="4"/>
  <c r="F293" i="4"/>
  <c r="F301" i="4"/>
  <c r="F309" i="4"/>
  <c r="F317" i="4"/>
  <c r="F325" i="4"/>
  <c r="F6" i="4"/>
  <c r="F14" i="4"/>
  <c r="F22" i="4"/>
  <c r="F30" i="4"/>
  <c r="F38" i="4"/>
  <c r="F46" i="4"/>
  <c r="F54" i="4"/>
  <c r="F62" i="4"/>
  <c r="F70" i="4"/>
  <c r="F78" i="4"/>
  <c r="F86" i="4"/>
  <c r="F94" i="4"/>
  <c r="F102" i="4"/>
  <c r="F110" i="4"/>
  <c r="F118" i="4"/>
  <c r="F126" i="4"/>
  <c r="F134" i="4"/>
  <c r="F142" i="4"/>
  <c r="F150" i="4"/>
  <c r="F158" i="4"/>
  <c r="F166" i="4"/>
  <c r="F174" i="4"/>
  <c r="F182" i="4"/>
  <c r="F190" i="4"/>
  <c r="F198" i="4"/>
  <c r="F206" i="4"/>
  <c r="F214" i="4"/>
  <c r="F222" i="4"/>
  <c r="F230" i="4"/>
  <c r="F238" i="4"/>
  <c r="F246" i="4"/>
  <c r="F254" i="4"/>
  <c r="F262" i="4"/>
  <c r="F270" i="4"/>
  <c r="F278" i="4"/>
  <c r="F286" i="4"/>
  <c r="F294" i="4"/>
  <c r="F302" i="4"/>
  <c r="F310" i="4"/>
  <c r="F318" i="4"/>
  <c r="F326" i="4"/>
  <c r="F7" i="4"/>
  <c r="F15" i="4"/>
  <c r="F23" i="4"/>
  <c r="F31" i="4"/>
  <c r="F39" i="4"/>
  <c r="F47" i="4"/>
  <c r="F55" i="4"/>
  <c r="F63" i="4"/>
  <c r="F71" i="4"/>
  <c r="F79" i="4"/>
  <c r="F87" i="4"/>
  <c r="F95" i="4"/>
  <c r="F103" i="4"/>
  <c r="F111" i="4"/>
  <c r="F119" i="4"/>
  <c r="F127" i="4"/>
  <c r="F135" i="4"/>
  <c r="F143" i="4"/>
  <c r="F151" i="4"/>
  <c r="F159" i="4"/>
  <c r="F167" i="4"/>
  <c r="F175" i="4"/>
  <c r="F183" i="4"/>
  <c r="F191" i="4"/>
  <c r="F199" i="4"/>
  <c r="F207" i="4"/>
  <c r="F215" i="4"/>
  <c r="F223" i="4"/>
  <c r="F231" i="4"/>
  <c r="F239" i="4"/>
  <c r="F247" i="4"/>
  <c r="F255" i="4"/>
  <c r="F263" i="4"/>
  <c r="F271" i="4"/>
  <c r="F279" i="4"/>
  <c r="F287" i="4"/>
  <c r="F295" i="4"/>
  <c r="F303" i="4"/>
  <c r="F311" i="4"/>
  <c r="F319" i="4"/>
  <c r="F2" i="4"/>
  <c r="F8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272" i="4"/>
  <c r="F280" i="4"/>
  <c r="F288" i="4"/>
  <c r="F296" i="4"/>
  <c r="F304" i="4"/>
  <c r="F312" i="4"/>
  <c r="F320" i="4"/>
  <c r="F9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53" i="4"/>
  <c r="F161" i="4"/>
  <c r="F169" i="4"/>
  <c r="F177" i="4"/>
  <c r="F185" i="4"/>
  <c r="F193" i="4"/>
  <c r="F201" i="4"/>
  <c r="F209" i="4"/>
  <c r="F217" i="4"/>
  <c r="F225" i="4"/>
  <c r="F233" i="4"/>
  <c r="F241" i="4"/>
  <c r="F249" i="4"/>
  <c r="F257" i="4"/>
  <c r="F265" i="4"/>
  <c r="F273" i="4"/>
  <c r="F281" i="4"/>
  <c r="F289" i="4"/>
  <c r="F297" i="4"/>
  <c r="F305" i="4"/>
  <c r="F313" i="4"/>
  <c r="F321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54" i="4"/>
  <c r="F162" i="4"/>
  <c r="F170" i="4"/>
  <c r="F178" i="4"/>
  <c r="F186" i="4"/>
  <c r="F194" i="4"/>
  <c r="F202" i="4"/>
  <c r="F210" i="4"/>
  <c r="F218" i="4"/>
  <c r="F226" i="4"/>
  <c r="F234" i="4"/>
  <c r="F242" i="4"/>
  <c r="F250" i="4"/>
  <c r="F258" i="4"/>
  <c r="F266" i="4"/>
  <c r="F274" i="4"/>
  <c r="F282" i="4"/>
  <c r="F290" i="4"/>
  <c r="F298" i="4"/>
  <c r="F306" i="4"/>
  <c r="F314" i="4"/>
  <c r="F322" i="4"/>
  <c r="P11" i="1" l="1"/>
  <c r="P12" i="1" s="1"/>
  <c r="A11" i="1"/>
  <c r="A12" i="1" s="1"/>
  <c r="A13" i="1" l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l="1"/>
  <c r="A27" i="1" s="1"/>
  <c r="A28" i="1" s="1"/>
  <c r="A29" i="1" s="1"/>
  <c r="A30" i="1" l="1"/>
  <c r="A31" i="1" s="1"/>
  <c r="A32" i="1" s="1"/>
  <c r="A33" i="1" l="1"/>
  <c r="A34" i="1" l="1"/>
  <c r="A35" i="1" l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I13" i="1" s="1"/>
  <c r="E2" i="2" l="1"/>
  <c r="E3" i="2"/>
  <c r="L13" i="1"/>
  <c r="J13" i="1"/>
  <c r="I29" i="1"/>
  <c r="C3" i="2" s="1"/>
  <c r="B2" i="2" l="1"/>
  <c r="C2" i="2"/>
  <c r="B3" i="2"/>
  <c r="D11" i="2"/>
  <c r="J29" i="1"/>
  <c r="H16" i="2"/>
  <c r="D24" i="2"/>
  <c r="E14" i="2"/>
  <c r="E11" i="2"/>
  <c r="H19" i="2"/>
  <c r="E4" i="2"/>
  <c r="G23" i="2"/>
  <c r="F8" i="2"/>
  <c r="F26" i="2"/>
  <c r="E20" i="2"/>
  <c r="F17" i="2"/>
  <c r="F22" i="2"/>
  <c r="E22" i="2"/>
  <c r="D22" i="2"/>
  <c r="F12" i="2"/>
  <c r="G13" i="2"/>
  <c r="G18" i="2"/>
  <c r="D19" i="2"/>
  <c r="E16" i="2"/>
  <c r="D20" i="2"/>
  <c r="E17" i="2"/>
  <c r="G22" i="2"/>
  <c r="D23" i="2"/>
  <c r="G24" i="2"/>
  <c r="H15" i="2"/>
  <c r="G8" i="2"/>
  <c r="E24" i="2"/>
  <c r="L29" i="1"/>
  <c r="E18" i="2"/>
  <c r="F24" i="2"/>
  <c r="H9" i="2"/>
  <c r="G15" i="2"/>
  <c r="H17" i="2"/>
  <c r="H13" i="2"/>
  <c r="F15" i="2"/>
  <c r="F11" i="2"/>
  <c r="G12" i="2"/>
  <c r="H11" i="2"/>
  <c r="I11" i="2" s="1"/>
  <c r="D18" i="2"/>
  <c r="G14" i="2"/>
  <c r="F18" i="2"/>
  <c r="D26" i="2"/>
  <c r="F14" i="2"/>
  <c r="E10" i="2"/>
  <c r="E23" i="2"/>
  <c r="F20" i="2"/>
  <c r="H24" i="2"/>
  <c r="F21" i="2"/>
  <c r="D16" i="2"/>
  <c r="I16" i="2" s="1"/>
  <c r="F19" i="2"/>
  <c r="H10" i="2"/>
  <c r="G17" i="2"/>
  <c r="D10" i="2"/>
  <c r="H20" i="2"/>
  <c r="E13" i="2"/>
  <c r="D25" i="2"/>
  <c r="D8" i="2"/>
  <c r="F25" i="2"/>
  <c r="H22" i="2"/>
  <c r="B4" i="2"/>
  <c r="E26" i="2"/>
  <c r="D14" i="2"/>
  <c r="F23" i="2"/>
  <c r="E15" i="2"/>
  <c r="H21" i="2"/>
  <c r="E9" i="2"/>
  <c r="G11" i="2"/>
  <c r="E19" i="2"/>
  <c r="G9" i="2"/>
  <c r="F10" i="2"/>
  <c r="H14" i="2"/>
  <c r="F13" i="2"/>
  <c r="D17" i="2"/>
  <c r="H8" i="2"/>
  <c r="D15" i="2"/>
  <c r="D21" i="2"/>
  <c r="G20" i="2"/>
  <c r="D12" i="2"/>
  <c r="F2" i="2"/>
  <c r="G16" i="2"/>
  <c r="D9" i="2"/>
  <c r="H12" i="2"/>
  <c r="H23" i="2"/>
  <c r="F9" i="2"/>
  <c r="G25" i="2"/>
  <c r="E21" i="2"/>
  <c r="G21" i="2"/>
  <c r="D13" i="2"/>
  <c r="F3" i="2"/>
  <c r="G19" i="2"/>
  <c r="H26" i="2"/>
  <c r="G10" i="2"/>
  <c r="G26" i="2"/>
  <c r="E12" i="2"/>
  <c r="F16" i="2"/>
  <c r="E25" i="2"/>
  <c r="E8" i="2"/>
  <c r="H25" i="2"/>
  <c r="H18" i="2"/>
  <c r="I24" i="2" l="1"/>
  <c r="I19" i="2"/>
  <c r="I14" i="2"/>
  <c r="I20" i="2"/>
  <c r="I10" i="2"/>
  <c r="I13" i="2"/>
  <c r="I17" i="2"/>
  <c r="I22" i="2"/>
  <c r="C4" i="2"/>
  <c r="I21" i="2"/>
  <c r="I26" i="2"/>
  <c r="F4" i="2"/>
  <c r="G4" i="2" s="1"/>
  <c r="I18" i="2"/>
  <c r="I15" i="2"/>
  <c r="I8" i="2"/>
  <c r="G3" i="2"/>
  <c r="I9" i="2"/>
  <c r="G2" i="2"/>
  <c r="I23" i="2"/>
  <c r="I25" i="2"/>
  <c r="I12" i="2"/>
</calcChain>
</file>

<file path=xl/sharedStrings.xml><?xml version="1.0" encoding="utf-8"?>
<sst xmlns="http://schemas.openxmlformats.org/spreadsheetml/2006/main" count="252" uniqueCount="133">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</sst>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71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NumberFormat="1"/>
    <xf numFmtId="167" fontId="0" fillId="0" borderId="0" xfId="0" applyNumberFormat="1" applyProtection="1"/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 applyNumberFormat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0" fontId="3" fillId="3" borderId="1" xfId="2" applyAlignment="1">
      <alignment horizontal="center" vertical="top" wrapText="1"/>
    </xf>
    <xf numFmtId="171" fontId="0" fillId="0" borderId="0" xfId="0" applyNumberFormat="1"/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Day'!$A$2:$A$32</c:f>
              <c:numCache>
                <c:formatCode>m/d/yy;@</c:formatCode>
                <c:ptCount val="6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</c:numCache>
            </c:numRef>
          </c:cat>
          <c:val>
            <c:numRef>
              <c:f>'By Day'!$F$2:$F$32</c:f>
              <c:numCache>
                <c:formatCode>"$"#,##0.00</c:formatCode>
                <c:ptCount val="6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61"/>
  <sheetViews>
    <sheetView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R3" sqref="R3"/>
    </sheetView>
  </sheetViews>
  <sheetFormatPr defaultRowHeight="15" x14ac:dyDescent="0.25"/>
  <cols>
    <col min="1" max="1" width="5.7109375" bestFit="1" customWidth="1"/>
    <col min="2" max="2" width="10.5703125" bestFit="1" customWidth="1"/>
    <col min="3" max="3" width="14.7109375" bestFit="1" customWidth="1"/>
    <col min="4" max="4" width="7.28515625" bestFit="1" customWidth="1"/>
    <col min="5" max="5" width="6.42578125" bestFit="1" customWidth="1"/>
    <col min="6" max="6" width="24.7109375" customWidth="1"/>
    <col min="7" max="7" width="23.28515625" bestFit="1" customWidth="1"/>
    <col min="8" max="8" width="21.140625" customWidth="1"/>
    <col min="9" max="9" width="7.85546875" bestFit="1" customWidth="1"/>
    <col min="10" max="10" width="10.42578125" bestFit="1" customWidth="1"/>
    <col min="11" max="11" width="8.140625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7.7109375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>IF(I2="", "", IF(I2&gt;0, I2/100 +1, -100/I2 +1))</f>
        <v>2.4500000000000002</v>
      </c>
      <c r="K2" s="3">
        <v>70</v>
      </c>
      <c r="L2" s="3">
        <f>IFERROR(IF(K2=0, "", IF(I2&gt;0, K2/100*I2,K2/I2*-100)), "")</f>
        <v>101.5</v>
      </c>
      <c r="M2" t="s">
        <v>18</v>
      </c>
      <c r="N2" s="3">
        <f>IF(M2="", "", IF(M2="Draw", 0, IF(M2="win", L2, -1*K2)))</f>
        <v>0</v>
      </c>
      <c r="O2" s="6">
        <f>IFERROR(K2/VLOOKUP(_xlfn.MINIFS(A:A,B:B,B2,C:C,C2),A:P,16),"")</f>
        <v>1</v>
      </c>
      <c r="P2" s="11">
        <f>0+Q2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>IF(I3="", "", IF(I3&gt;0, I3/100 +1, -100/I3 +1))</f>
        <v>3.75</v>
      </c>
      <c r="K3" s="3">
        <v>20</v>
      </c>
      <c r="L3" s="3">
        <f>IFERROR(IF(K3=0, "", IF(I3&gt;0, K3/100*I3,K3/I3*-100)), "")</f>
        <v>55</v>
      </c>
      <c r="M3" t="s">
        <v>22</v>
      </c>
      <c r="N3" s="3">
        <f>IF(M3="", "", IF(M3="Draw", 0, IF(M3="win", L3, -1*K3)))</f>
        <v>-20</v>
      </c>
      <c r="O3" s="6">
        <f t="shared" ref="O3:O66" si="0">IFERROR(K3/VLOOKUP(_xlfn.MINIFS(A:A,B:B,B3,C:C,C3),A:P,16),"")</f>
        <v>0.2857142857142857</v>
      </c>
      <c r="P3" s="7">
        <f>IF(M2="", P2, IF(C3="", P2, P2+LOOKUP(2, 1/($N$2:$N2&lt;&gt;""),$N$2:$N2) +Q3))</f>
        <v>70</v>
      </c>
      <c r="R3" t="b">
        <f>AND(ISNUMBER(FIND($E3,Tables!$I$2)), ISNUMBER(FIND($D3,Tables!$J$2)), $E3&lt;&gt;"")</f>
        <v>1</v>
      </c>
    </row>
    <row r="4" spans="1:18" x14ac:dyDescent="0.25">
      <c r="A4">
        <f>IF(AND(B4="", D4&lt;&gt;""), A3, A3+1)</f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>IF(I4="", "", IF(I4&gt;0, I4/100 +1, -100/I4 +1))</f>
        <v>2.0499999999999998</v>
      </c>
      <c r="K4" s="3">
        <v>50</v>
      </c>
      <c r="L4" s="3">
        <f>IFERROR(IF(K4=0, "", IF(I4&gt;0, K4/100*I4,K4/I4*-100)), "")</f>
        <v>52.5</v>
      </c>
      <c r="M4" t="s">
        <v>25</v>
      </c>
      <c r="N4" s="3">
        <f>IF(M4="", "", IF(M4="Draw", 0, IF(M4="win", L4, -1*K4)))</f>
        <v>52.5</v>
      </c>
      <c r="O4" s="6">
        <f t="shared" si="0"/>
        <v>0.7142857142857143</v>
      </c>
      <c r="P4" s="7">
        <f>IF(M3="", P3, IF(C4="", P3, P3+LOOKUP(2, 1/($N$2:$N3&lt;&gt;""),$N$2:$N3) +Q4))</f>
        <v>50</v>
      </c>
      <c r="R4" t="b">
        <f>AND(ISNUMBER(FIND($E4,Tables!$I$2)), ISNUMBER(FIND($D4,Tables!$J$2)), $E4&lt;&gt;"")</f>
        <v>1</v>
      </c>
    </row>
    <row r="5" spans="1:18" x14ac:dyDescent="0.25">
      <c r="A5">
        <f>IF(AND(B5="", D5&lt;&gt;""), A4, A4+1)</f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>IF(I5="", "", IF(I5&gt;0, I5/100 +1, -100/I5 +1))</f>
        <v>2.15</v>
      </c>
      <c r="K5" s="3">
        <v>30</v>
      </c>
      <c r="L5" s="3">
        <f>IFERROR(IF(K5=0, "", IF(I5&gt;0, K5/100*I5,K5/I5*-100)), "")</f>
        <v>34.5</v>
      </c>
      <c r="M5" t="s">
        <v>22</v>
      </c>
      <c r="N5" s="3">
        <f>IF(M5="", "", IF(M5="Draw", 0, IF(M5="win", L5, -1*K5)))</f>
        <v>-30</v>
      </c>
      <c r="O5" s="6">
        <f t="shared" si="0"/>
        <v>0.29268292682926828</v>
      </c>
      <c r="P5" s="7">
        <f>IF(M4="", P4, IF(C5="", P4, P4+LOOKUP(2, 1/($N$2:$N4&lt;&gt;""),$N$2:$N4) +Q5))</f>
        <v>102.5</v>
      </c>
      <c r="R5" t="b">
        <f>AND(ISNUMBER(FIND($E5,Tables!$I$2)), ISNUMBER(FIND($D5,Tables!$J$2)), $E5&lt;&gt;"")</f>
        <v>1</v>
      </c>
    </row>
    <row r="6" spans="1:18" x14ac:dyDescent="0.25">
      <c r="A6">
        <f>IF(AND(B6="", D6&lt;&gt;""), A5, A5+1)</f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>IF(I6="", "", IF(I6&gt;0, I6/100 +1, -100/I6 +1))</f>
        <v>5</v>
      </c>
      <c r="K6" s="3">
        <v>10</v>
      </c>
      <c r="L6" s="3">
        <f>IFERROR(IF(K6=0, "", IF(I6&gt;0, K6/100*I6,K6/I6*-100)), "")</f>
        <v>40</v>
      </c>
      <c r="M6" t="s">
        <v>22</v>
      </c>
      <c r="N6" s="3">
        <f>IF(M6="", "", IF(M6="Draw", 0, IF(M6="win", L6, -1*K6)))</f>
        <v>-10</v>
      </c>
      <c r="O6" s="6">
        <f t="shared" si="0"/>
        <v>9.7560975609756101E-2</v>
      </c>
      <c r="P6" s="7">
        <f>IF(M5="", P5, IF(C6="", P5, P5+LOOKUP(2, 1/($N$2:$N5&lt;&gt;""),$N$2:$N5) +Q6))</f>
        <v>72.5</v>
      </c>
      <c r="R6" t="b">
        <f>AND(ISNUMBER(FIND($E6,Tables!$I$2)), ISNUMBER(FIND($D6,Tables!$J$2)), $E6&lt;&gt;"")</f>
        <v>1</v>
      </c>
    </row>
    <row r="7" spans="1:18" x14ac:dyDescent="0.25">
      <c r="A7">
        <f>IF(AND(B7="", D7&lt;&gt;""), A6, A6+1)</f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>IF(I7="", "", IF(I7&gt;0, I7/100 +1, -100/I7 +1))</f>
        <v>2.0499999999999998</v>
      </c>
      <c r="K7" s="3">
        <v>62.5</v>
      </c>
      <c r="L7" s="3">
        <f>IFERROR(IF(K7=0, "", IF(I7&gt;0, K7/100*I7,K7/I7*-100)), "")</f>
        <v>65.625</v>
      </c>
      <c r="M7" t="s">
        <v>25</v>
      </c>
      <c r="N7" s="3">
        <f>IF(M7="", "", IF(M7="Draw", 0, IF(M7="win", L7, -1*K7)))</f>
        <v>65.625</v>
      </c>
      <c r="O7" s="6">
        <f t="shared" si="0"/>
        <v>1</v>
      </c>
      <c r="P7" s="7">
        <f>IF(M6="", P6, IF(C7="", P6, P6+LOOKUP(2, 1/($N$2:$N6&lt;&gt;""),$N$2:$N6) +Q7))</f>
        <v>62.5</v>
      </c>
      <c r="R7" t="b">
        <f>AND(ISNUMBER(FIND($E7,Tables!$I$2)), ISNUMBER(FIND($D7,Tables!$J$2)), $E7&lt;&gt;"")</f>
        <v>1</v>
      </c>
    </row>
    <row r="8" spans="1:18" x14ac:dyDescent="0.25">
      <c r="A8">
        <f>IF(AND(B8="", D8&lt;&gt;""), A7, A7+1)</f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>IF(I8="", "", IF(I8&gt;0, I8/100 +1, -100/I8 +1))</f>
        <v>1.2985074626865671</v>
      </c>
      <c r="K8" s="3">
        <v>26.8</v>
      </c>
      <c r="L8" s="3">
        <f>IFERROR(IF(K8=0, "", IF(I8&gt;0, K8/100*I8,K8/I8*-100)), "")</f>
        <v>8</v>
      </c>
      <c r="M8" t="s">
        <v>22</v>
      </c>
      <c r="N8" s="3">
        <f>IF(M8="", "", IF(M8="Draw", 0, IF(M8="win", L8, -1*K8)))</f>
        <v>-26.8</v>
      </c>
      <c r="O8" s="6">
        <f t="shared" si="0"/>
        <v>0.42880000000000001</v>
      </c>
      <c r="P8" s="7">
        <f>IF(M7="", P7, IF(C8="", P7, P7+LOOKUP(2, 1/($N$2:$N7&lt;&gt;""),$N$2:$N7) +Q8))</f>
        <v>128.125</v>
      </c>
      <c r="R8" t="b">
        <f>AND(ISNUMBER(FIND($E8,Tables!$I$2)), ISNUMBER(FIND($D8,Tables!$J$2)), $E8&lt;&gt;"")</f>
        <v>1</v>
      </c>
    </row>
    <row r="9" spans="1:18" x14ac:dyDescent="0.25">
      <c r="A9">
        <f>IF(AND(B9="", D9&lt;&gt;""), A8, A8+1)</f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>IF(I9="", "", IF(I9&gt;0, I9/100 +1, -100/I9 +1))</f>
        <v>1.04</v>
      </c>
      <c r="K9" s="3">
        <v>100</v>
      </c>
      <c r="L9" s="3">
        <f>IFERROR(IF(K9=0, "", IF(I9&gt;0, K9/100*I9,K9/I9*-100)), "")</f>
        <v>4</v>
      </c>
      <c r="M9" t="s">
        <v>25</v>
      </c>
      <c r="N9" s="3">
        <f>IF(M9="", "", IF(M9="Draw", 0, IF(M9="win", L9, -1*K9)))</f>
        <v>4</v>
      </c>
      <c r="O9" s="6">
        <f t="shared" si="0"/>
        <v>0.98692326671601283</v>
      </c>
      <c r="P9" s="7">
        <f>IF(M8="", P8, IF(C9="", P8, P8+LOOKUP(2, 1/($N$2:$N8&lt;&gt;""),$N$2:$N8) +Q9))</f>
        <v>101.325</v>
      </c>
      <c r="R9" t="b">
        <f>AND(ISNUMBER(FIND($E9,Tables!$I$2)), ISNUMBER(FIND($D9,Tables!$J$2)), $E9&lt;&gt;"")</f>
        <v>0</v>
      </c>
    </row>
    <row r="10" spans="1:18" x14ac:dyDescent="0.25">
      <c r="A10">
        <f>IF(AND(B10="", D10&lt;&gt;""), A9, A9+1)</f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>IF(I10="", "", IF(I10&gt;0, I10/100 +1, -100/I10 +1))</f>
        <v>1.392156862745098</v>
      </c>
      <c r="K10" s="3">
        <v>25.5</v>
      </c>
      <c r="L10" s="3">
        <f>IFERROR(IF(K10=0, "", IF(I10&gt;0, K10/100*I10,K10/I10*-100)), "")</f>
        <v>10</v>
      </c>
      <c r="M10" t="s">
        <v>25</v>
      </c>
      <c r="N10" s="3">
        <f>IF(M10="", "", IF(M10="Draw", 0, IF(M10="win", L10, -1*K10)))</f>
        <v>10</v>
      </c>
      <c r="O10" s="6">
        <f t="shared" si="0"/>
        <v>0.24210776169000711</v>
      </c>
      <c r="P10" s="7">
        <f>IF(M9="", P9, IF(C10="", P9, P9+LOOKUP(2, 1/($N$2:$N9&lt;&gt;""),$N$2:$N9) +Q10))</f>
        <v>105.325</v>
      </c>
      <c r="R10" t="b">
        <f>AND(ISNUMBER(FIND($E10,Tables!$I$2)), ISNUMBER(FIND($D10,Tables!$J$2)), $E10&lt;&gt;"")</f>
        <v>1</v>
      </c>
    </row>
    <row r="11" spans="1:18" x14ac:dyDescent="0.25">
      <c r="A11">
        <f>IF(AND(B11="", D11&lt;&gt;""), A10, A10+1)</f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>IF(I11="", "", IF(I11&gt;0, I11/100 +1, -100/I11 +1))</f>
        <v>2.0499999999999998</v>
      </c>
      <c r="K11" s="3">
        <v>5</v>
      </c>
      <c r="L11" s="3">
        <f>IFERROR(IF(K11=0, "", IF(I11&gt;0, K11/100*I11,K11/I11*-100)), "")</f>
        <v>5.25</v>
      </c>
      <c r="M11" t="s">
        <v>22</v>
      </c>
      <c r="N11" s="3">
        <f>IF(M11="", "", IF(M11="Draw", 0, IF(M11="win", L11, -1*K11)))</f>
        <v>-5</v>
      </c>
      <c r="O11" s="6">
        <f t="shared" si="0"/>
        <v>4.3355733795794493E-2</v>
      </c>
      <c r="P11" s="7">
        <f>IF(M10="", P10, IF(C11="", P10, P10+LOOKUP(2, 1/($N$2:$N10&lt;&gt;""),$N$2:$N10) +Q11))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>IF(AND(B12="", D12&lt;&gt;""), A11, A11+1)</f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>IF(I12="", "", IF(I12&gt;0, I12/100 +1, -100/I12 +1))</f>
        <v>2.2000000000000002</v>
      </c>
      <c r="K12" s="3">
        <v>50</v>
      </c>
      <c r="L12" s="3">
        <f>IFERROR(IF(K12=0, "", IF(I12&gt;0, K12/100*I12,K12/I12*-100)), "")</f>
        <v>60</v>
      </c>
      <c r="M12" t="s">
        <v>25</v>
      </c>
      <c r="N12" s="3">
        <f>IF(M12="", "", IF(M12="Draw", 0, IF(M12="win", L12, -1*K12)))</f>
        <v>60</v>
      </c>
      <c r="O12" s="6">
        <f t="shared" si="0"/>
        <v>0.45320643553138451</v>
      </c>
      <c r="P12" s="7">
        <f>IF(M11="", P11, IF(C12="", P11, P11+LOOKUP(2, 1/($N$2:$N11&lt;&gt;""),$N$2:$N11) +Q12))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>IF(AND(B13="", D13&lt;&gt;""), A12, A12+1)</f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ca="1">IF(I13="", "", IF(I13&gt;0, I13/100 +1, -100/I13 +1))</f>
        <v>3.5685314685314689</v>
      </c>
      <c r="K13" s="3">
        <v>6</v>
      </c>
      <c r="L13" s="3">
        <f ca="1">IFERROR(IF(K13=0, "", IF(I13&gt;0, K13/100*I13,K13/I13*-100)), "")</f>
        <v>15.411188811188813</v>
      </c>
      <c r="M13" t="s">
        <v>22</v>
      </c>
      <c r="N13" s="3">
        <f>IF(M13="", "", IF(M13="Draw", 0, IF(M13="win", L13, -1*K13)))</f>
        <v>-6</v>
      </c>
      <c r="O13" s="6">
        <f t="shared" si="0"/>
        <v>5.4384772263766146E-2</v>
      </c>
      <c r="P13" s="7">
        <f>IF(M12="", P12, IF(C13="", P12, P12+LOOKUP(2, 1/($N$2:$N12&lt;&gt;""),$N$2:$N12) +Q13))</f>
        <v>170.32499999999999</v>
      </c>
      <c r="R13" t="b">
        <f>AND(ISNUMBER(FIND($E13,Tables!$I$2)), ISNUMBER(FIND($D13,Tables!$J$2)), $E13&lt;&gt;"")</f>
        <v>0</v>
      </c>
    </row>
    <row r="14" spans="1:18" x14ac:dyDescent="0.25">
      <c r="A14">
        <f>IF(AND(B14="", D14&lt;&gt;""), A13, A13+1)</f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>IF(I14="", "", IF(I14&gt;0, I14/100 +1, -100/I14 +1))</f>
        <v>2.1</v>
      </c>
      <c r="K14" s="3"/>
      <c r="L14" s="3" t="str">
        <f>IFERROR(IF(K14=0, "", IF(I14&gt;0, K14/100*I14,K14/I14*-100)), "")</f>
        <v/>
      </c>
      <c r="M14" t="s">
        <v>22</v>
      </c>
      <c r="N14" s="3"/>
      <c r="O14" s="6" t="str">
        <f t="shared" si="0"/>
        <v/>
      </c>
      <c r="P14" s="7">
        <f>IF(M13="", P13, IF(C14="", P13, P13+LOOKUP(2, 1/($N$2:$N13&lt;&gt;""),$N$2:$N13) +Q14))</f>
        <v>170.32499999999999</v>
      </c>
      <c r="R14" t="b">
        <f>AND(ISNUMBER(FIND($E14,Tables!$I$2)), ISNUMBER(FIND($D14,Tables!$J$2)), $E14&lt;&gt;"")</f>
        <v>1</v>
      </c>
    </row>
    <row r="15" spans="1:18" x14ac:dyDescent="0.25">
      <c r="A15">
        <f>IF(AND(B15="", D15&lt;&gt;""), A14, A14+1)</f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>IF(I15="", "", IF(I15&gt;0, I15/100 +1, -100/I15 +1))</f>
        <v>1.2272727272727273</v>
      </c>
      <c r="K15" s="3"/>
      <c r="L15" s="3" t="str">
        <f>IFERROR(IF(K15=0, "", IF(I15&gt;0, K15/100*I15,K15/I15*-100)), "")</f>
        <v/>
      </c>
      <c r="M15" t="s">
        <v>25</v>
      </c>
      <c r="N15" s="3"/>
      <c r="O15" s="6" t="str">
        <f t="shared" si="0"/>
        <v/>
      </c>
      <c r="P15" s="7">
        <f>IF(M14="", P14, IF(C15="", P14, P14+LOOKUP(2, 1/($N$2:$N14&lt;&gt;""),$N$2:$N14) +Q15))</f>
        <v>170.32499999999999</v>
      </c>
      <c r="R15" t="b">
        <f>AND(ISNUMBER(FIND($E15,Tables!$I$2)), ISNUMBER(FIND($D15,Tables!$J$2)), $E15&lt;&gt;"")</f>
        <v>1</v>
      </c>
    </row>
    <row r="16" spans="1:18" x14ac:dyDescent="0.25">
      <c r="A16">
        <f>IF(AND(B16="", D16&lt;&gt;""), A15, A15+1)</f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>IF(I16="", "", IF(I16&gt;0, I16/100 +1, -100/I16 +1))</f>
        <v>1.3846153846153846</v>
      </c>
      <c r="K16" s="3"/>
      <c r="L16" s="3" t="str">
        <f>IFERROR(IF(K16=0, "", IF(I16&gt;0, K16/100*I16,K16/I16*-100)), "")</f>
        <v/>
      </c>
      <c r="M16" t="s">
        <v>22</v>
      </c>
      <c r="N16" s="3"/>
      <c r="O16" s="6" t="str">
        <f t="shared" si="0"/>
        <v/>
      </c>
      <c r="P16" s="7">
        <f>IF(M15="", P15, IF(C16="", P15, P15+LOOKUP(2, 1/($N$2:$N15&lt;&gt;""),$N$2:$N15) +Q16))</f>
        <v>170.32499999999999</v>
      </c>
      <c r="R16" t="b">
        <f>AND(ISNUMBER(FIND($E16,Tables!$I$2)), ISNUMBER(FIND($D16,Tables!$J$2)), $E16&lt;&gt;"")</f>
        <v>1</v>
      </c>
    </row>
    <row r="17" spans="1:18" x14ac:dyDescent="0.25">
      <c r="A17">
        <f>IF(AND(B17="", D17&lt;&gt;""), A16, A16+1)</f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>IF(I17="", "", IF(I17&gt;0, I17/100 +1, -100/I17 +1))</f>
        <v>1.5555555555555556</v>
      </c>
      <c r="K17" s="3">
        <v>126</v>
      </c>
      <c r="L17" s="3">
        <f>IFERROR(IF(K17=0, "", IF(I17&gt;0, K17/100*I17,K17/I17*-100)), "")</f>
        <v>70</v>
      </c>
      <c r="M17" t="s">
        <v>22</v>
      </c>
      <c r="N17" s="3">
        <f>IF(M17="", "", IF(M17="Draw", 0, IF(M17="win", L17, -1*K17)))</f>
        <v>-126</v>
      </c>
      <c r="O17" s="6">
        <f t="shared" si="0"/>
        <v>1.1420802175390889</v>
      </c>
      <c r="P17" s="7">
        <f>IF(M16="", P16, IF(C17="", P16, P16+LOOKUP(2, 1/($N$2:$N16&lt;&gt;""),$N$2:$N16) +Q17))</f>
        <v>164.32499999999999</v>
      </c>
      <c r="R17" t="b">
        <f>AND(ISNUMBER(FIND($E17,Tables!$I$2)), ISNUMBER(FIND($D17,Tables!$J$2)), $E17&lt;&gt;"")</f>
        <v>1</v>
      </c>
    </row>
    <row r="18" spans="1:18" x14ac:dyDescent="0.25">
      <c r="A18">
        <f>IF(AND(B18="", D18&lt;&gt;""), A17, A17+1)</f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>IF(I18="", "", IF(I18&gt;0, I18/100 +1, -100/I18 +1))</f>
        <v>1.3448275862068966</v>
      </c>
      <c r="K18" s="3">
        <v>29</v>
      </c>
      <c r="L18" s="3">
        <f>IFERROR(IF(K18=0, "", IF(I18&gt;0, K18/100*I18,K18/I18*-100)), "")</f>
        <v>10</v>
      </c>
      <c r="M18" t="s">
        <v>25</v>
      </c>
      <c r="N18" s="3">
        <f>IF(M18="", "", IF(M18="Draw", 0, IF(M18="win", L18, -1*K18)))</f>
        <v>10</v>
      </c>
      <c r="O18" s="6">
        <f t="shared" si="0"/>
        <v>0.26285973260820306</v>
      </c>
      <c r="P18" s="7">
        <f>IF(M17="", P17, IF(C18="", P17, P17+LOOKUP(2, 1/($N$2:$N17&lt;&gt;""),$N$2:$N17) +Q18))</f>
        <v>38.324999999999989</v>
      </c>
      <c r="R18" t="b">
        <f>AND(ISNUMBER(FIND($E18,Tables!$I$2)), ISNUMBER(FIND($D18,Tables!$J$2)), $E18&lt;&gt;"")</f>
        <v>1</v>
      </c>
    </row>
    <row r="19" spans="1:18" x14ac:dyDescent="0.25">
      <c r="A19">
        <f>IF(AND(B19="", D19&lt;&gt;""), A18, A18+1)</f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>IF(I19="", "", IF(I19&gt;0, I19/100 +1, -100/I19 +1))</f>
        <v>2.85</v>
      </c>
      <c r="K19" s="3">
        <v>40</v>
      </c>
      <c r="L19" s="3">
        <f>IFERROR(IF(K19=0, "", IF(I19&gt;0, K19/100*I19,K19/I19*-100)), "")</f>
        <v>74</v>
      </c>
      <c r="M19" t="s">
        <v>25</v>
      </c>
      <c r="N19" s="3">
        <f>IF(M19="", "", IF(M19="Draw", 0, IF(M19="win", L19, -1*K19)))</f>
        <v>74</v>
      </c>
      <c r="O19" s="6">
        <f t="shared" si="0"/>
        <v>0.82772891877910004</v>
      </c>
      <c r="P19" s="7">
        <f>IF(M18="", P18, IF(C19="", P18, P18+LOOKUP(2, 1/($N$2:$N18&lt;&gt;""),$N$2:$N18) +Q19))</f>
        <v>48.324999999999989</v>
      </c>
      <c r="R19" t="b">
        <f>AND(ISNUMBER(FIND($E19,Tables!$I$2)), ISNUMBER(FIND($D19,Tables!$J$2)), $E19&lt;&gt;"")</f>
        <v>1</v>
      </c>
    </row>
    <row r="20" spans="1:18" x14ac:dyDescent="0.25">
      <c r="A20">
        <f>IF(AND(B20="", D20&lt;&gt;""), A19, A19+1)</f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>IF(I20="", "", IF(I20&gt;0, I20/100 +1, -100/I20 +1))</f>
        <v>3.4</v>
      </c>
      <c r="K20" s="3">
        <v>10</v>
      </c>
      <c r="L20" s="3">
        <f>IFERROR(IF(K20=0, "", IF(I20&gt;0, K20/100*I20,K20/I20*-100)), "")</f>
        <v>24</v>
      </c>
      <c r="M20" t="s">
        <v>25</v>
      </c>
      <c r="N20" s="3">
        <f>IF(M20="", "", IF(M20="Draw", 0, IF(M20="win", L20, -1*K20)))</f>
        <v>24</v>
      </c>
      <c r="O20" s="6">
        <f t="shared" si="0"/>
        <v>8.1749437972613942E-2</v>
      </c>
      <c r="P20" s="7">
        <f>IF(M19="", P19, IF(C20="", P19, P19+LOOKUP(2, 1/($N$2:$N19&lt;&gt;""),$N$2:$N19) +Q20))</f>
        <v>122.32499999999999</v>
      </c>
      <c r="R20" t="b">
        <f>AND(ISNUMBER(FIND($E20,Tables!$I$2)), ISNUMBER(FIND($D20,Tables!$J$2)), $E20&lt;&gt;"")</f>
        <v>1</v>
      </c>
    </row>
    <row r="21" spans="1:18" x14ac:dyDescent="0.25">
      <c r="A21">
        <f>IF(AND(B21="", D21&lt;&gt;""), A20, A20+1)</f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>IF(I21="", "", IF(I21&gt;0, I21/100 +1, -100/I21 +1))</f>
        <v>1.0571428571428572</v>
      </c>
      <c r="K21" s="3">
        <v>87.5</v>
      </c>
      <c r="L21" s="3">
        <f>IFERROR(IF(K21=0, "", IF(I21&gt;0, K21/100*I21,K21/I21*-100)), "")</f>
        <v>5</v>
      </c>
      <c r="M21" t="s">
        <v>25</v>
      </c>
      <c r="N21" s="3">
        <f>IF(M21="", "", IF(M21="Draw", 0, IF(M21="win", L21, -1*K21)))</f>
        <v>5</v>
      </c>
      <c r="O21" s="6">
        <f t="shared" si="0"/>
        <v>0.71530758226037205</v>
      </c>
      <c r="P21" s="7">
        <f>IF(M20="", P20, IF(C21="", P20, P20+LOOKUP(2, 1/($N$2:$N20&lt;&gt;""),$N$2:$N20) +Q21))</f>
        <v>146.32499999999999</v>
      </c>
      <c r="R21" t="b">
        <f>AND(ISNUMBER(FIND($E21,Tables!$I$2)), ISNUMBER(FIND($D21,Tables!$J$2)), $E21&lt;&gt;"")</f>
        <v>1</v>
      </c>
    </row>
    <row r="22" spans="1:18" x14ac:dyDescent="0.25">
      <c r="A22">
        <f>IF(AND(B22="", D22&lt;&gt;""), A21, A21+1)</f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>IF(I22="", "", IF(I22&gt;0, I22/100 +1, -100/I22 +1))</f>
        <v>1.2</v>
      </c>
      <c r="K22" s="3">
        <v>50</v>
      </c>
      <c r="L22" s="3">
        <f>IFERROR(IF(K22=0, "", IF(I22&gt;0, K22/100*I22,K22/I22*-100)), "")</f>
        <v>10</v>
      </c>
      <c r="M22" t="s">
        <v>22</v>
      </c>
      <c r="N22" s="3">
        <f>IF(M22="", "", IF(M22="Draw", 0, IF(M22="win", L22, -1*K22)))</f>
        <v>-50</v>
      </c>
      <c r="O22" s="6">
        <f t="shared" si="0"/>
        <v>0.40874718986306974</v>
      </c>
      <c r="P22" s="7">
        <f>IF(M21="", P21, IF(C22="", P21, P21+LOOKUP(2, 1/($N$2:$N21&lt;&gt;""),$N$2:$N21) +Q22))</f>
        <v>151.32499999999999</v>
      </c>
      <c r="R22" t="b">
        <f>AND(ISNUMBER(FIND($E22,Tables!$I$2)), ISNUMBER(FIND($D22,Tables!$J$2)), $E22&lt;&gt;"")</f>
        <v>1</v>
      </c>
    </row>
    <row r="23" spans="1:18" x14ac:dyDescent="0.25">
      <c r="A23">
        <f>IF(AND(B23="", D23&lt;&gt;""), A22, A22+1)</f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>IF(I23="", "", IF(I23&gt;0, I23/100 +1, -100/I23 +1))</f>
        <v>2.35</v>
      </c>
      <c r="K23" s="3">
        <v>20</v>
      </c>
      <c r="L23" s="3">
        <f>IFERROR(IF(K23=0, "", IF(I23&gt;0, K23/100*I23,K23/I23*-100)), "")</f>
        <v>27</v>
      </c>
      <c r="M23" t="s">
        <v>25</v>
      </c>
      <c r="N23" s="3">
        <f>IF(M23="", "", IF(M23="Draw", 0, IF(M23="win", L23, -1*K23)))</f>
        <v>27</v>
      </c>
      <c r="O23" s="6">
        <f t="shared" si="0"/>
        <v>0.16349887594522788</v>
      </c>
      <c r="P23" s="7">
        <f>IF(M22="", P22, IF(C23="", P22, P22+LOOKUP(2, 1/($N$2:$N22&lt;&gt;""),$N$2:$N22) +Q23))</f>
        <v>101.32499999999999</v>
      </c>
      <c r="R23" t="b">
        <f>AND(ISNUMBER(FIND($E23,Tables!$I$2)), ISNUMBER(FIND($D23,Tables!$J$2)), $E23&lt;&gt;"")</f>
        <v>1</v>
      </c>
    </row>
    <row r="24" spans="1:18" x14ac:dyDescent="0.25">
      <c r="A24">
        <f>IF(AND(B24="", D24&lt;&gt;""), A23, A23+1)</f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>IF(I24="", "", IF(I24&gt;0, I24/100 +1, -100/I24 +1))</f>
        <v>2.2999999999999998</v>
      </c>
      <c r="K24" s="3">
        <v>10</v>
      </c>
      <c r="L24" s="3">
        <f>IFERROR(IF(K24=0, "", IF(I24&gt;0, K24/100*I24,K24/I24*-100)), "")</f>
        <v>13</v>
      </c>
      <c r="M24" t="s">
        <v>25</v>
      </c>
      <c r="N24" s="3">
        <f>IF(M24="", "", IF(M24="Draw", 0, IF(M24="win", L24, -1*K24)))</f>
        <v>13</v>
      </c>
      <c r="O24" s="6">
        <f t="shared" si="0"/>
        <v>8.1749437972613942E-2</v>
      </c>
      <c r="P24" s="7">
        <f>IF(M23="", P23, IF(C24="", P23, P23+LOOKUP(2, 1/($N$2:$N23&lt;&gt;""),$N$2:$N23) +Q24))</f>
        <v>128.32499999999999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>IF(I25="", "", IF(I25&gt;0, I25/100 +1, -100/I25 +1))</f>
        <v>2.8</v>
      </c>
      <c r="K25" s="3">
        <v>7.33</v>
      </c>
      <c r="L25" s="3">
        <f>IFERROR(IF(K25=0, "", IF(I25&gt;0, K25/100*I25,K25/I25*-100)), "")</f>
        <v>13.194000000000001</v>
      </c>
      <c r="N25" s="3" t="str">
        <f>IF(M25="", "", IF(M25="Draw", 0, IF(M25="win", L25, -1*K25)))</f>
        <v/>
      </c>
      <c r="O25" s="6">
        <f t="shared" si="0"/>
        <v>5.1866265699628523E-2</v>
      </c>
      <c r="P25" s="7">
        <f>IF(M24="", P24, IF(C25="", P24, P24+LOOKUP(2, 1/($N$2:$N24&lt;&gt;""),$N$2:$N24) +Q25))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>IF(AND(B26="", D26&lt;&gt;""), A25, A25+1)</f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>IF(I26="", "", IF(I26&gt;0, I26/100 +1, -100/I26 +1))</f>
        <v>2.65</v>
      </c>
      <c r="K26" s="3">
        <v>10</v>
      </c>
      <c r="L26" s="3">
        <f>IFERROR(IF(K26=0, "", IF(I26&gt;0, K26/100*I26,K26/I26*-100)), "")</f>
        <v>16.5</v>
      </c>
      <c r="N26" s="3" t="str">
        <f>IF(M26="", "", IF(M26="Draw", 0, IF(M26="win", L26, -1*K26)))</f>
        <v/>
      </c>
      <c r="O26" s="6">
        <f t="shared" si="0"/>
        <v>7.0758889085441368E-2</v>
      </c>
      <c r="P26" s="7">
        <f>IF(M25="", P25, IF(C26="", P25, P25+LOOKUP(2, 1/($N$2:$N25&lt;&gt;""),$N$2:$N25) +Q26))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>IF(AND(B27="", D27&lt;&gt;""), A26, A26+1)</f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N27" s="3"/>
      <c r="O27" s="6">
        <f t="shared" si="0"/>
        <v>0.10613833362816205</v>
      </c>
      <c r="P27" s="7">
        <f>IF(M26="", P26, IF(C27="", P26, P26+LOOKUP(2, 1/($N$2:$N26&lt;&gt;""),$N$2:$N26) +Q27))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>IF(AND(B28="", D28&lt;&gt;""), A27, A27+1)</f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>IF(I28="", "", IF(I28&gt;0, I28/100 +1, -100/I28 +1))</f>
        <v>5.25</v>
      </c>
      <c r="K28" s="3">
        <v>5</v>
      </c>
      <c r="L28" s="3">
        <f>IFERROR(IF(K28=0, "", IF(I28&gt;0, K28/100*I28,K28/I28*-100)), "")</f>
        <v>21.25</v>
      </c>
      <c r="N28" s="3"/>
      <c r="O28" s="6">
        <f t="shared" si="0"/>
        <v>3.5379444542720684E-2</v>
      </c>
      <c r="P28" s="7">
        <f>IF(M27="", P27, IF(C28="", P27, P27+LOOKUP(2, 1/($N$2:$N27&lt;&gt;""),$N$2:$N27) +Q28))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>IF(AND(B29="", D29&lt;&gt;""), A28, A28+1)</f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ca="1">IF(I29="", "", IF(I29&gt;0, I29/100 +1, -100/I29 +1))</f>
        <v>3.7304347826086954</v>
      </c>
      <c r="K29" s="3">
        <v>5</v>
      </c>
      <c r="L29" s="3">
        <f ca="1">IFERROR(IF(K29=0, "", IF(I29&gt;0, K29/100*I29,K29/I29*-100)), "")</f>
        <v>13.652173913043478</v>
      </c>
      <c r="N29" s="3"/>
      <c r="O29" s="6">
        <f t="shared" si="0"/>
        <v>3.5379444542720684E-2</v>
      </c>
      <c r="P29" s="7">
        <f>IF(M28="", P28, IF(C29="", P28, P28+LOOKUP(2, 1/($N$2:$N28&lt;&gt;""),$N$2:$N28) +Q29))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>IF(AND(B30="", D30&lt;&gt;""), A29, A29+1)</f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>IF(I30="", "", IF(I30&gt;0, I30/100 +1, -100/I30 +1))</f>
        <v>2.6</v>
      </c>
      <c r="K30" s="3"/>
      <c r="L30" s="3" t="str">
        <f>IFERROR(IF(K30=0, "", IF(I30&gt;0, K30/100*I30,K30/I30*-100)), "")</f>
        <v/>
      </c>
      <c r="N30" s="3"/>
      <c r="O30" s="6" t="str">
        <f t="shared" si="0"/>
        <v/>
      </c>
      <c r="P30" s="7">
        <f>IF(M29="", P29, IF(C30="", P29, P29+LOOKUP(2, 1/($N$2:$N29&lt;&gt;""),$N$2:$N29) +Q30))</f>
        <v>141.32499999999999</v>
      </c>
      <c r="R30" t="b">
        <f>AND(ISNUMBER(FIND($E30,Tables!$I$2)), ISNUMBER(FIND($D30,Tables!$J$2)), $E30&lt;&gt;"")</f>
        <v>0</v>
      </c>
    </row>
    <row r="31" spans="1:18" x14ac:dyDescent="0.25">
      <c r="A31">
        <f>IF(AND(B31="", D31&lt;&gt;""), A30, A30+1)</f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>IF(I31="", "", IF(I31&gt;0, I31/100 +1, -100/I31 +1))</f>
        <v>1.4347826086956521</v>
      </c>
      <c r="K31" s="3"/>
      <c r="L31" s="3" t="str">
        <f>IFERROR(IF(K31=0, "", IF(I31&gt;0, K31/100*I31,K31/I31*-100)), "")</f>
        <v/>
      </c>
      <c r="N31" s="3"/>
      <c r="O31" s="6" t="str">
        <f t="shared" si="0"/>
        <v/>
      </c>
      <c r="P31" s="7">
        <f>IF(M30="", P30, IF(C31="", P30, P30+LOOKUP(2, 1/($N$2:$N30&lt;&gt;""),$N$2:$N30) +Q31))</f>
        <v>141.32499999999999</v>
      </c>
      <c r="R31" t="b">
        <f>AND(ISNUMBER(FIND($E31,Tables!$I$2)), ISNUMBER(FIND($D31,Tables!$J$2)), $E31&lt;&gt;"")</f>
        <v>0</v>
      </c>
    </row>
    <row r="32" spans="1:18" x14ac:dyDescent="0.25">
      <c r="A32">
        <f>IF(AND(B32="", D32&lt;&gt;""), A31, A31+1)</f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N32" s="3"/>
      <c r="O32" s="6">
        <f t="shared" si="0"/>
        <v>3.5379444542720684E-2</v>
      </c>
      <c r="P32" s="7">
        <f>IF(M31="", P31, IF(C32="", P31, P31+LOOKUP(2, 1/($N$2:$N31&lt;&gt;""),$N$2:$N31) +Q32))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N33" s="3" t="str">
        <f>IF(M33="", "", IF(M33="Draw", 0, IF(M33="win", L33, -1*K33)))</f>
        <v/>
      </c>
      <c r="O33" s="6">
        <f t="shared" si="0"/>
        <v>3.5379444542720684E-2</v>
      </c>
      <c r="P33" s="7">
        <f>IF(M32="", P32, IF(C33="", P32, P32+LOOKUP(2, 1/($N$2:$N32&lt;&gt;""),$N$2:$N32) +Q33))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>IF(I34="", "", IF(I34&gt;0, I34/100 +1, -100/I34 +1))</f>
        <v>1.4761904761904763</v>
      </c>
      <c r="K34" s="3">
        <v>21</v>
      </c>
      <c r="L34" s="3">
        <f>IFERROR(IF(K34=0, "", IF(I34&gt;0, K34/100*I34,K34/I34*-100)), "")</f>
        <v>10</v>
      </c>
      <c r="N34" s="3" t="str">
        <f>IF(M34="", "", IF(M34="Draw", 0, IF(M34="win", L34, -1*K34)))</f>
        <v/>
      </c>
      <c r="O34" s="6">
        <f t="shared" si="0"/>
        <v>0.14859366707942687</v>
      </c>
      <c r="P34" s="7">
        <f>IF(M33="", P33, IF(C34="", P33, P33+LOOKUP(2, 1/($N$2:$N33&lt;&gt;""),$N$2:$N33) +Q34))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>IF(AND(B35="", D35&lt;&gt;""), A34, A34+1)</f>
        <v>29</v>
      </c>
      <c r="B35" s="4"/>
      <c r="I35" s="8"/>
      <c r="J35" s="5" t="str">
        <f>IF(I35="", "", IF(I35&gt;0, I35/100 +1, -100/I35 +1))</f>
        <v/>
      </c>
      <c r="K35" s="3"/>
      <c r="L35" s="3" t="str">
        <f>IFERROR(IF(K35=0, "", IF(I35&gt;0, K35/100*I35,K35/I35*-100)), "")</f>
        <v/>
      </c>
      <c r="N35" s="3" t="str">
        <f>IF(M35="", "", IF(M35="Draw", 0, IF(M35="win", L35, -1*K35)))</f>
        <v/>
      </c>
      <c r="O35" s="6" t="str">
        <f t="shared" si="0"/>
        <v/>
      </c>
      <c r="P35" s="7">
        <f>IF(M34="", P34, IF(C35="", P34, P34+LOOKUP(2, 1/($N$2:$N34&lt;&gt;""),$N$2:$N34) +Q35))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>IF(AND(B36="", D36&lt;&gt;""), A35, A35+1)</f>
        <v>30</v>
      </c>
      <c r="B36" s="4"/>
      <c r="I36" s="8"/>
      <c r="J36" s="5" t="str">
        <f>IF(I36="", "", IF(I36&gt;0, I36/100 +1, -100/I36 +1))</f>
        <v/>
      </c>
      <c r="K36" s="3"/>
      <c r="L36" s="3" t="str">
        <f>IFERROR(IF(K36=0, "", IF(I36&gt;0, K36/100*I36,K36/I36*-100)), "")</f>
        <v/>
      </c>
      <c r="N36" s="3" t="str">
        <f>IF(M36="", "", IF(M36="Draw", 0, IF(M36="win", L36, -1*K36)))</f>
        <v/>
      </c>
      <c r="O36" s="6" t="str">
        <f t="shared" si="0"/>
        <v/>
      </c>
      <c r="P36" s="7">
        <f>IF(M35="", P35, IF(C36="", P35, P35+LOOKUP(2, 1/($N$2:$N35&lt;&gt;""),$N$2:$N35) +Q36))</f>
        <v>141.32499999999999</v>
      </c>
      <c r="R36" t="b">
        <f>AND(ISNUMBER(FIND($E36,Tables!$I$2)), ISNUMBER(FIND($D36,Tables!$J$2)), $E36&lt;&gt;"")</f>
        <v>0</v>
      </c>
    </row>
    <row r="37" spans="1:18" x14ac:dyDescent="0.25">
      <c r="A37">
        <f>IF(AND(B37="", D37&lt;&gt;""), A36, A36+1)</f>
        <v>31</v>
      </c>
      <c r="B37" s="4"/>
      <c r="I37" s="8"/>
      <c r="J37" s="5" t="str">
        <f>IF(I37="", "", IF(I37&gt;0, I37/100 +1, -100/I37 +1))</f>
        <v/>
      </c>
      <c r="K37" s="3"/>
      <c r="L37" s="3" t="str">
        <f>IFERROR(IF(K37=0, "", IF(I37&gt;0, K37/100*I37,K37/I37*-100)), "")</f>
        <v/>
      </c>
      <c r="N37" s="3" t="str">
        <f>IF(M37="", "", IF(M37="Draw", 0, IF(M37="win", L37, -1*K37)))</f>
        <v/>
      </c>
      <c r="O37" s="6" t="str">
        <f t="shared" si="0"/>
        <v/>
      </c>
      <c r="P37" s="7">
        <f>IF(M36="", P36, IF(C37="", P36, P36+LOOKUP(2, 1/($N$2:$N36&lt;&gt;""),$N$2:$N36) +Q37))</f>
        <v>141.32499999999999</v>
      </c>
      <c r="R37" t="b">
        <f>AND(ISNUMBER(FIND($E37,Tables!$I$2)), ISNUMBER(FIND($D37,Tables!$J$2)), $E37&lt;&gt;"")</f>
        <v>0</v>
      </c>
    </row>
    <row r="38" spans="1:18" x14ac:dyDescent="0.25">
      <c r="A38">
        <f>IF(AND(B38="", D38&lt;&gt;""), A37, A37+1)</f>
        <v>32</v>
      </c>
      <c r="B38" s="4"/>
      <c r="I38" s="8"/>
      <c r="J38" s="5" t="str">
        <f>IF(I38="", "", IF(I38&gt;0, I38/100 +1, -100/I38 +1))</f>
        <v/>
      </c>
      <c r="K38" s="3"/>
      <c r="L38" s="3" t="str">
        <f>IFERROR(IF(K38=0, "", IF(I38&gt;0, K38/100*I38,K38/I38*-100)), "")</f>
        <v/>
      </c>
      <c r="N38" s="3" t="str">
        <f>IF(M38="", "", IF(M38="Draw", 0, IF(M38="win", L38, -1*K38)))</f>
        <v/>
      </c>
      <c r="O38" s="6" t="str">
        <f t="shared" si="0"/>
        <v/>
      </c>
      <c r="P38" s="7">
        <f>IF(M37="", P37, IF(C38="", P37, P37+LOOKUP(2, 1/($N$2:$N37&lt;&gt;""),$N$2:$N37) +Q38))</f>
        <v>141.32499999999999</v>
      </c>
      <c r="R38" t="b">
        <f>AND(ISNUMBER(FIND($E38,Tables!$I$2)), ISNUMBER(FIND($D38,Tables!$J$2)), $E38&lt;&gt;"")</f>
        <v>0</v>
      </c>
    </row>
    <row r="39" spans="1:18" x14ac:dyDescent="0.25">
      <c r="A39">
        <f>IF(AND(B39="", D39&lt;&gt;""), A38, A38+1)</f>
        <v>33</v>
      </c>
      <c r="B39" s="4"/>
      <c r="I39" s="8"/>
      <c r="J39" s="5" t="str">
        <f>IF(I39="", "", IF(I39&gt;0, I39/100 +1, -100/I39 +1))</f>
        <v/>
      </c>
      <c r="K39" s="3"/>
      <c r="L39" s="3" t="str">
        <f>IFERROR(IF(K39=0, "", IF(I39&gt;0, K39/100*I39,K39/I39*-100)), "")</f>
        <v/>
      </c>
      <c r="N39" s="3" t="str">
        <f>IF(M39="", "", IF(M39="Draw", 0, IF(M39="win", L39, -1*K39)))</f>
        <v/>
      </c>
      <c r="O39" s="6" t="str">
        <f t="shared" si="0"/>
        <v/>
      </c>
      <c r="P39" s="7">
        <f>IF(M38="", P38, IF(C39="", P38, P38+LOOKUP(2, 1/($N$2:$N38&lt;&gt;""),$N$2:$N38) +Q39))</f>
        <v>141.32499999999999</v>
      </c>
      <c r="R39" t="b">
        <f>AND(ISNUMBER(FIND($E39,Tables!$I$2)), ISNUMBER(FIND($D39,Tables!$J$2)), $E39&lt;&gt;"")</f>
        <v>0</v>
      </c>
    </row>
    <row r="40" spans="1:18" x14ac:dyDescent="0.25">
      <c r="A40">
        <f>IF(AND(B40="", D40&lt;&gt;""), A39, A39+1)</f>
        <v>34</v>
      </c>
      <c r="B40" s="4"/>
      <c r="I40" s="8"/>
      <c r="J40" s="5" t="str">
        <f>IF(I40="", "", IF(I40&gt;0, I40/100 +1, -100/I40 +1))</f>
        <v/>
      </c>
      <c r="K40" s="3"/>
      <c r="L40" s="3" t="str">
        <f>IFERROR(IF(K40=0, "", IF(I40&gt;0, K40/100*I40,K40/I40*-100)), "")</f>
        <v/>
      </c>
      <c r="N40" s="3" t="str">
        <f>IF(M40="", "", IF(M40="Draw", 0, IF(M40="win", L40, -1*K40)))</f>
        <v/>
      </c>
      <c r="O40" s="6" t="str">
        <f t="shared" si="0"/>
        <v/>
      </c>
      <c r="P40" s="7">
        <f>IF(M39="", P39, IF(C40="", P39, P39+LOOKUP(2, 1/($N$2:$N39&lt;&gt;""),$N$2:$N39) +Q40))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>IF(AND(B41="", D41&lt;&gt;""), A40, A40+1)</f>
        <v>35</v>
      </c>
      <c r="B41" s="4"/>
      <c r="I41" s="8"/>
      <c r="J41" s="5" t="str">
        <f>IF(I41="", "", IF(I41&gt;0, I41/100 +1, -100/I41 +1))</f>
        <v/>
      </c>
      <c r="K41" s="3"/>
      <c r="L41" s="3" t="str">
        <f>IFERROR(IF(K41=0, "", IF(I41&gt;0, K41/100*I41,K41/I41*-100)), "")</f>
        <v/>
      </c>
      <c r="N41" s="3" t="str">
        <f>IF(M41="", "", IF(M41="Draw", 0, IF(M41="win", L41, -1*K41)))</f>
        <v/>
      </c>
      <c r="O41" s="6" t="str">
        <f t="shared" si="0"/>
        <v/>
      </c>
      <c r="P41" s="7">
        <f>IF(M40="", P40, IF(C41="", P40, P40+LOOKUP(2, 1/($N$2:$N40&lt;&gt;""),$N$2:$N40) +Q41))</f>
        <v>141.32499999999999</v>
      </c>
      <c r="R41" t="b">
        <f>AND(ISNUMBER(FIND($E41,Tables!$I$2)), ISNUMBER(FIND($D41,Tables!$J$2)), $E41&lt;&gt;"")</f>
        <v>0</v>
      </c>
    </row>
    <row r="42" spans="1:18" x14ac:dyDescent="0.25">
      <c r="A42">
        <f>IF(AND(B42="", D42&lt;&gt;""), A41, A41+1)</f>
        <v>36</v>
      </c>
      <c r="B42" s="4"/>
      <c r="I42" s="8"/>
      <c r="J42" s="5" t="str">
        <f>IF(I42="", "", IF(I42&gt;0, I42/100 +1, -100/I42 +1))</f>
        <v/>
      </c>
      <c r="K42" s="3"/>
      <c r="L42" s="3" t="str">
        <f>IFERROR(IF(K42=0, "", IF(I42&gt;0, K42/100*I42,K42/I42*-100)), "")</f>
        <v/>
      </c>
      <c r="N42" s="3" t="str">
        <f>IF(M42="", "", IF(M42="Draw", 0, IF(M42="win", L42, -1*K42)))</f>
        <v/>
      </c>
      <c r="O42" s="6" t="str">
        <f t="shared" si="0"/>
        <v/>
      </c>
      <c r="P42" s="7">
        <f>IF(M41="", P41, IF(C42="", P41, P41+LOOKUP(2, 1/($N$2:$N41&lt;&gt;""),$N$2:$N41) +Q42))</f>
        <v>141.32499999999999</v>
      </c>
      <c r="R42" t="b">
        <f>AND(ISNUMBER(FIND($E42,Tables!$I$2)), ISNUMBER(FIND($D42,Tables!$J$2)), $E42&lt;&gt;"")</f>
        <v>0</v>
      </c>
    </row>
    <row r="43" spans="1:18" x14ac:dyDescent="0.25">
      <c r="A43">
        <f>IF(AND(B43="", D43&lt;&gt;""), A42, A42+1)</f>
        <v>37</v>
      </c>
      <c r="B43" s="4"/>
      <c r="I43" s="8"/>
      <c r="J43" s="5" t="str">
        <f>IF(I43="", "", IF(I43&gt;0, I43/100 +1, -100/I43 +1))</f>
        <v/>
      </c>
      <c r="K43" s="3"/>
      <c r="L43" s="3"/>
      <c r="N43" s="3" t="str">
        <f>IF(M43="", "", IF(M43="Draw", 0, IF(M43="win", L43, -1*K43)))</f>
        <v/>
      </c>
      <c r="O43" s="6" t="str">
        <f t="shared" si="0"/>
        <v/>
      </c>
      <c r="P43" s="7">
        <f>IF(M42="", P42, IF(C43="", P42, P42+LOOKUP(2, 1/($N$2:$N42&lt;&gt;""),$N$2:$N42) +Q43))</f>
        <v>141.32499999999999</v>
      </c>
      <c r="R43" t="b">
        <f>AND(ISNUMBER(FIND($E43,Tables!$I$2)), ISNUMBER(FIND($D43,Tables!$J$2)), $E43&lt;&gt;"")</f>
        <v>0</v>
      </c>
    </row>
    <row r="44" spans="1:18" x14ac:dyDescent="0.25">
      <c r="A44">
        <f>IF(AND(B44="", D44&lt;&gt;""), A43, A43+1)</f>
        <v>38</v>
      </c>
      <c r="B44" s="4"/>
      <c r="I44" s="8"/>
      <c r="J44" s="5" t="str">
        <f>IF(I44="", "", IF(I44&gt;0, I44/100 +1, -100/I44 +1))</f>
        <v/>
      </c>
      <c r="K44" s="3"/>
      <c r="L44" s="3"/>
      <c r="N44" s="3" t="str">
        <f>IF(M44="", "", IF(M44="Draw", 0, IF(M44="win", L44, -1*K44)))</f>
        <v/>
      </c>
      <c r="O44" s="6" t="str">
        <f t="shared" si="0"/>
        <v/>
      </c>
      <c r="P44" s="7">
        <f>IF(M43="", P43, IF(C44="", P43, P43+LOOKUP(2, 1/($N$2:$N43&lt;&gt;""),$N$2:$N43) +Q44))</f>
        <v>141.32499999999999</v>
      </c>
      <c r="R44" t="b">
        <f>AND(ISNUMBER(FIND($E44,Tables!$I$2)), ISNUMBER(FIND($D44,Tables!$J$2)), $E44&lt;&gt;"")</f>
        <v>0</v>
      </c>
    </row>
    <row r="45" spans="1:18" x14ac:dyDescent="0.25">
      <c r="A45">
        <f>IF(AND(B45="", D45&lt;&gt;""), A44, A44+1)</f>
        <v>39</v>
      </c>
      <c r="B45" s="4"/>
      <c r="I45" s="8"/>
      <c r="J45" s="5" t="str">
        <f>IF(I45="", "", IF(I45&gt;0, I45/100 +1, -100/I45 +1))</f>
        <v/>
      </c>
      <c r="K45" s="3"/>
      <c r="L45" s="3"/>
      <c r="N45" s="3" t="str">
        <f>IF(M45="", "", IF(M45="Draw", 0, IF(M45="win", L45, -1*K45)))</f>
        <v/>
      </c>
      <c r="O45" s="6" t="str">
        <f t="shared" si="0"/>
        <v/>
      </c>
      <c r="P45" s="7">
        <f>IF(M44="", P44, IF(C45="", P44, P44+LOOKUP(2, 1/($N$2:$N44&lt;&gt;""),$N$2:$N44) +Q45))</f>
        <v>141.32499999999999</v>
      </c>
      <c r="R45" t="b">
        <f>AND(ISNUMBER(FIND($E45,Tables!$I$2)), ISNUMBER(FIND($D45,Tables!$J$2)), $E45&lt;&gt;"")</f>
        <v>0</v>
      </c>
    </row>
    <row r="46" spans="1:18" x14ac:dyDescent="0.25">
      <c r="A46">
        <f>IF(AND(B46="", D46&lt;&gt;""), A45, A45+1)</f>
        <v>40</v>
      </c>
      <c r="B46" s="4"/>
      <c r="I46" s="8"/>
      <c r="J46" s="5" t="str">
        <f>IF(I46="", "", IF(I46&gt;0, I46/100 +1, -100/I46 +1))</f>
        <v/>
      </c>
      <c r="K46" s="3"/>
      <c r="L46" s="3"/>
      <c r="N46" s="3" t="str">
        <f>IF(M46="", "", IF(M46="Draw", 0, IF(M46="win", L46, -1*K46)))</f>
        <v/>
      </c>
      <c r="O46" s="6" t="str">
        <f t="shared" si="0"/>
        <v/>
      </c>
      <c r="P46" s="7">
        <f>IF(M45="", P45, IF(C46="", P45, P45+LOOKUP(2, 1/($N$2:$N45&lt;&gt;""),$N$2:$N45) +Q46))</f>
        <v>141.32499999999999</v>
      </c>
      <c r="R46" t="b">
        <f>AND(ISNUMBER(FIND($E46,Tables!$I$2)), ISNUMBER(FIND($D46,Tables!$J$2)), $E46&lt;&gt;"")</f>
        <v>0</v>
      </c>
    </row>
    <row r="47" spans="1:18" x14ac:dyDescent="0.25">
      <c r="A47">
        <f>IF(AND(B47="", D47&lt;&gt;""), A46, A46+1)</f>
        <v>41</v>
      </c>
      <c r="B47" s="4"/>
      <c r="I47" s="8"/>
      <c r="J47" s="5" t="str">
        <f>IF(I47="", "", IF(I47&gt;0, I47/100 +1, -100/I47 +1))</f>
        <v/>
      </c>
      <c r="K47" s="3"/>
      <c r="L47" s="3"/>
      <c r="N47" s="3" t="str">
        <f>IF(M47="", "", IF(M47="Draw", 0, IF(M47="win", L47, -1*K47)))</f>
        <v/>
      </c>
      <c r="O47" s="6" t="str">
        <f t="shared" si="0"/>
        <v/>
      </c>
      <c r="P47" s="7">
        <f>IF(M46="", P46, IF(C47="", P46, P46+LOOKUP(2, 1/($N$2:$N46&lt;&gt;""),$N$2:$N46) +Q47))</f>
        <v>141.32499999999999</v>
      </c>
      <c r="R47" t="b">
        <f>AND(ISNUMBER(FIND($E47,Tables!$I$2)), ISNUMBER(FIND($D47,Tables!$J$2)), $E47&lt;&gt;"")</f>
        <v>0</v>
      </c>
    </row>
    <row r="48" spans="1:18" x14ac:dyDescent="0.25">
      <c r="A48">
        <f>IF(AND(B48="", D48&lt;&gt;""), A47, A47+1)</f>
        <v>42</v>
      </c>
      <c r="B48" s="4"/>
      <c r="I48" s="8"/>
      <c r="J48" s="5" t="str">
        <f>IF(I48="", "", IF(I48&gt;0, I48/100 +1, -100/I48 +1))</f>
        <v/>
      </c>
      <c r="K48" s="3"/>
      <c r="L48" s="3"/>
      <c r="N48" s="3" t="str">
        <f>IF(M48="", "", IF(M48="Draw", 0, IF(M48="win", L48, -1*K48)))</f>
        <v/>
      </c>
      <c r="O48" s="6" t="str">
        <f t="shared" si="0"/>
        <v/>
      </c>
      <c r="P48" s="7">
        <f>IF(M47="", P47, IF(C48="", P47, P47+LOOKUP(2, 1/($N$2:$N47&lt;&gt;""),$N$2:$N47) +Q48))</f>
        <v>141.32499999999999</v>
      </c>
      <c r="R48" t="b">
        <f>AND(ISNUMBER(FIND($E48,Tables!$I$2)), ISNUMBER(FIND($D48,Tables!$J$2)), $E48&lt;&gt;"")</f>
        <v>0</v>
      </c>
    </row>
    <row r="49" spans="1:18" x14ac:dyDescent="0.25">
      <c r="A49">
        <f>IF(AND(B49="", D49&lt;&gt;""), A48, A48+1)</f>
        <v>43</v>
      </c>
      <c r="B49" s="4"/>
      <c r="I49" s="8"/>
      <c r="J49" s="5" t="str">
        <f>IF(I49="", "", IF(I49&gt;0, I49/100 +1, -100/I49 +1))</f>
        <v/>
      </c>
      <c r="K49" s="3"/>
      <c r="L49" s="3"/>
      <c r="N49" s="3" t="str">
        <f>IF(M49="", "", IF(M49="Draw", 0, IF(M49="win", L49, -1*K49)))</f>
        <v/>
      </c>
      <c r="O49" s="6" t="str">
        <f t="shared" si="0"/>
        <v/>
      </c>
      <c r="P49" s="7">
        <f>IF(M48="", P48, IF(C49="", P48, P48+LOOKUP(2, 1/($N$2:$N48&lt;&gt;""),$N$2:$N48) +Q49))</f>
        <v>141.32499999999999</v>
      </c>
      <c r="R49" t="b">
        <f>AND(ISNUMBER(FIND($E49,Tables!$I$2)), ISNUMBER(FIND($D49,Tables!$J$2)), $E49&lt;&gt;"")</f>
        <v>0</v>
      </c>
    </row>
    <row r="50" spans="1:18" x14ac:dyDescent="0.25">
      <c r="A50">
        <f>IF(AND(B50="", D50&lt;&gt;""), A49, A49+1)</f>
        <v>44</v>
      </c>
      <c r="B50" s="4"/>
      <c r="I50" s="8"/>
      <c r="J50" s="5" t="str">
        <f>IF(I50="", "", IF(I50&gt;0, I50/100 +1, -100/I50 +1))</f>
        <v/>
      </c>
      <c r="K50" s="3"/>
      <c r="L50" s="3"/>
      <c r="N50" s="3" t="str">
        <f>IF(M50="", "", IF(M50="Draw", 0, IF(M50="win", L50, -1*K50)))</f>
        <v/>
      </c>
      <c r="O50" s="6" t="str">
        <f t="shared" si="0"/>
        <v/>
      </c>
      <c r="P50" s="7">
        <f>IF(M49="", P49, IF(C50="", P49, P49+LOOKUP(2, 1/($N$2:$N49&lt;&gt;""),$N$2:$N49) +Q50))</f>
        <v>141.32499999999999</v>
      </c>
      <c r="R50" t="b">
        <f>AND(ISNUMBER(FIND($E50,Tables!$I$2)), ISNUMBER(FIND($D50,Tables!$J$2)), $E50&lt;&gt;"")</f>
        <v>0</v>
      </c>
    </row>
    <row r="51" spans="1:18" x14ac:dyDescent="0.25">
      <c r="A51">
        <f>IF(AND(B51="", D51&lt;&gt;""), A50, A50+1)</f>
        <v>45</v>
      </c>
      <c r="B51" s="4"/>
      <c r="I51" s="8"/>
      <c r="J51" s="5" t="str">
        <f>IF(I51="", "", IF(I51&gt;0, I51/100 +1, -100/I51 +1))</f>
        <v/>
      </c>
      <c r="K51" s="3"/>
      <c r="L51" s="3"/>
      <c r="N51" s="3" t="str">
        <f>IF(M51="", "", IF(M51="Draw", 0, IF(M51="win", L51, -1*K51)))</f>
        <v/>
      </c>
      <c r="O51" s="6" t="str">
        <f t="shared" si="0"/>
        <v/>
      </c>
      <c r="P51" s="7">
        <f>IF(M50="", P50, IF(C51="", P50, P50+LOOKUP(2, 1/($N$2:$N50&lt;&gt;""),$N$2:$N50) +Q51))</f>
        <v>141.32499999999999</v>
      </c>
      <c r="R51" t="b">
        <f>AND(ISNUMBER(FIND($E51,Tables!$I$2)), ISNUMBER(FIND($D51,Tables!$J$2)), $E51&lt;&gt;"")</f>
        <v>0</v>
      </c>
    </row>
    <row r="52" spans="1:18" x14ac:dyDescent="0.25">
      <c r="A52">
        <f>IF(AND(B52="", D52&lt;&gt;""), A51, A51+1)</f>
        <v>46</v>
      </c>
      <c r="B52" s="4"/>
      <c r="I52" s="8"/>
      <c r="J52" s="5" t="str">
        <f>IF(I52="", "", IF(I52&gt;0, I52/100 +1, -100/I52 +1))</f>
        <v/>
      </c>
      <c r="K52" s="3"/>
      <c r="L52" s="3"/>
      <c r="N52" s="3" t="str">
        <f>IF(M52="", "", IF(M52="Draw", 0, IF(M52="win", L52, -1*K52)))</f>
        <v/>
      </c>
      <c r="O52" s="6" t="str">
        <f t="shared" si="0"/>
        <v/>
      </c>
      <c r="P52" s="7">
        <f>IF(M51="", P51, IF(C52="", P51, P51+LOOKUP(2, 1/($N$2:$N51&lt;&gt;""),$N$2:$N51) +Q52))</f>
        <v>141.32499999999999</v>
      </c>
      <c r="R52" t="b">
        <f>AND(ISNUMBER(FIND($E52,Tables!$I$2)), ISNUMBER(FIND($D52,Tables!$J$2)), $E52&lt;&gt;"")</f>
        <v>0</v>
      </c>
    </row>
    <row r="53" spans="1:18" x14ac:dyDescent="0.25">
      <c r="A53">
        <f>IF(AND(B53="", D53&lt;&gt;""), A52, A52+1)</f>
        <v>47</v>
      </c>
      <c r="B53" s="4"/>
      <c r="I53" s="8"/>
      <c r="J53" s="5" t="str">
        <f>IF(I53="", "", IF(I53&gt;0, I53/100 +1, -100/I53 +1))</f>
        <v/>
      </c>
      <c r="K53" s="3"/>
      <c r="L53" s="3"/>
      <c r="N53" s="3" t="str">
        <f>IF(M53="", "", IF(M53="Draw", 0, IF(M53="win", L53, -1*K53)))</f>
        <v/>
      </c>
      <c r="O53" s="6" t="str">
        <f t="shared" si="0"/>
        <v/>
      </c>
      <c r="P53" s="7">
        <f>IF(M52="", P52, IF(C53="", P52, P52+LOOKUP(2, 1/($N$2:$N52&lt;&gt;""),$N$2:$N52) +Q53))</f>
        <v>141.32499999999999</v>
      </c>
      <c r="R53" t="b">
        <f>AND(ISNUMBER(FIND($E53,Tables!$I$2)), ISNUMBER(FIND($D53,Tables!$J$2)), $E53&lt;&gt;"")</f>
        <v>0</v>
      </c>
    </row>
    <row r="54" spans="1:18" x14ac:dyDescent="0.25">
      <c r="A54">
        <f>IF(AND(B54="", D54&lt;&gt;""), A53, A53+1)</f>
        <v>48</v>
      </c>
      <c r="B54" s="4"/>
      <c r="I54" s="8"/>
      <c r="J54" s="5" t="str">
        <f>IF(I54="", "", IF(I54&gt;0, I54/100 +1, -100/I54 +1))</f>
        <v/>
      </c>
      <c r="K54" s="3"/>
      <c r="L54" s="3"/>
      <c r="N54" s="3" t="str">
        <f>IF(M54="", "", IF(M54="Draw", 0, IF(M54="win", L54, -1*K54)))</f>
        <v/>
      </c>
      <c r="O54" s="6" t="str">
        <f t="shared" si="0"/>
        <v/>
      </c>
      <c r="P54" s="7">
        <f>IF(M53="", P53, IF(C54="", P53, P53+LOOKUP(2, 1/($N$2:$N53&lt;&gt;""),$N$2:$N53) +Q54))</f>
        <v>141.32499999999999</v>
      </c>
      <c r="R54" t="b">
        <f>AND(ISNUMBER(FIND($E54,Tables!$I$2)), ISNUMBER(FIND($D54,Tables!$J$2)), $E54&lt;&gt;"")</f>
        <v>0</v>
      </c>
    </row>
    <row r="55" spans="1:18" x14ac:dyDescent="0.25">
      <c r="A55">
        <f>IF(AND(B55="", D55&lt;&gt;""), A54, A54+1)</f>
        <v>49</v>
      </c>
      <c r="B55" s="4"/>
      <c r="I55" s="8"/>
      <c r="J55" s="5" t="str">
        <f>IF(I55="", "", IF(I55&gt;0, I55/100 +1, -100/I55 +1))</f>
        <v/>
      </c>
      <c r="K55" s="3"/>
      <c r="L55" s="3"/>
      <c r="N55" s="3" t="str">
        <f>IF(M55="", "", IF(M55="Draw", 0, IF(M55="win", L55, -1*K55)))</f>
        <v/>
      </c>
      <c r="O55" s="6" t="str">
        <f t="shared" si="0"/>
        <v/>
      </c>
      <c r="P55" s="7">
        <f>IF(M54="", P54, IF(C55="", P54, P54+LOOKUP(2, 1/($N$2:$N54&lt;&gt;""),$N$2:$N54) +Q55))</f>
        <v>141.32499999999999</v>
      </c>
      <c r="R55" t="b">
        <f>AND(ISNUMBER(FIND($E55,Tables!$I$2)), ISNUMBER(FIND($D55,Tables!$J$2)), $E55&lt;&gt;"")</f>
        <v>0</v>
      </c>
    </row>
    <row r="56" spans="1:18" x14ac:dyDescent="0.25">
      <c r="A56">
        <f>IF(AND(B56="", D56&lt;&gt;""), A55, A55+1)</f>
        <v>50</v>
      </c>
      <c r="B56" s="4"/>
      <c r="I56" s="8"/>
      <c r="J56" s="5" t="str">
        <f>IF(I56="", "", IF(I56&gt;0, I56/100 +1, -100/I56 +1))</f>
        <v/>
      </c>
      <c r="K56" s="3"/>
      <c r="L56" s="3"/>
      <c r="N56" s="3" t="str">
        <f>IF(M56="", "", IF(M56="Draw", 0, IF(M56="win", L56, -1*K56)))</f>
        <v/>
      </c>
      <c r="O56" s="6" t="str">
        <f t="shared" si="0"/>
        <v/>
      </c>
      <c r="P56" s="7">
        <f>IF(M55="", P55, IF(C56="", P55, P55+LOOKUP(2, 1/($N$2:$N55&lt;&gt;""),$N$2:$N55) +Q56))</f>
        <v>141.32499999999999</v>
      </c>
      <c r="R56" t="b">
        <f>AND(ISNUMBER(FIND($E56,Tables!$I$2)), ISNUMBER(FIND($D56,Tables!$J$2)), $E56&lt;&gt;"")</f>
        <v>0</v>
      </c>
    </row>
    <row r="57" spans="1:18" x14ac:dyDescent="0.25">
      <c r="A57">
        <f>IF(AND(B57="", D57&lt;&gt;""), A56, A56+1)</f>
        <v>51</v>
      </c>
      <c r="B57" s="4"/>
      <c r="I57" s="8"/>
      <c r="J57" s="5" t="str">
        <f>IF(I57="", "", IF(I57&gt;0, I57/100 +1, -100/I57 +1))</f>
        <v/>
      </c>
      <c r="K57" s="3"/>
      <c r="L57" s="3"/>
      <c r="N57" s="3" t="str">
        <f>IF(M57="", "", IF(M57="Draw", 0, IF(M57="win", L57, -1*K57)))</f>
        <v/>
      </c>
      <c r="O57" s="6" t="str">
        <f t="shared" si="0"/>
        <v/>
      </c>
      <c r="P57" s="7">
        <f>IF(M56="", P56, IF(C57="", P56, P56+LOOKUP(2, 1/($N$2:$N56&lt;&gt;""),$N$2:$N56) +Q57))</f>
        <v>141.32499999999999</v>
      </c>
      <c r="R57" t="b">
        <f>AND(ISNUMBER(FIND($E57,Tables!$I$2)), ISNUMBER(FIND($D57,Tables!$J$2)), $E57&lt;&gt;"")</f>
        <v>0</v>
      </c>
    </row>
    <row r="58" spans="1:18" x14ac:dyDescent="0.25">
      <c r="A58">
        <f>IF(AND(B58="", D58&lt;&gt;""), A57, A57+1)</f>
        <v>52</v>
      </c>
      <c r="B58" s="4"/>
      <c r="I58" s="8"/>
      <c r="J58" s="5" t="str">
        <f>IF(I58="", "", IF(I58&gt;0, I58/100 +1, -100/I58 +1))</f>
        <v/>
      </c>
      <c r="K58" s="3"/>
      <c r="L58" s="3"/>
      <c r="N58" s="3" t="str">
        <f>IF(M58="", "", IF(M58="Draw", 0, IF(M58="win", L58, -1*K58)))</f>
        <v/>
      </c>
      <c r="O58" s="6" t="str">
        <f t="shared" si="0"/>
        <v/>
      </c>
      <c r="P58" s="7">
        <f>IF(M57="", P57, IF(C58="", P57, P57+LOOKUP(2, 1/($N$2:$N57&lt;&gt;""),$N$2:$N57) +Q58))</f>
        <v>141.32499999999999</v>
      </c>
      <c r="R58" t="b">
        <f>AND(ISNUMBER(FIND($E58,Tables!$I$2)), ISNUMBER(FIND($D58,Tables!$J$2)), $E58&lt;&gt;"")</f>
        <v>0</v>
      </c>
    </row>
    <row r="59" spans="1:18" x14ac:dyDescent="0.25">
      <c r="A59">
        <f>IF(AND(B59="", D59&lt;&gt;""), A58, A58+1)</f>
        <v>53</v>
      </c>
      <c r="B59" s="4"/>
      <c r="I59" s="8"/>
      <c r="J59" s="5" t="str">
        <f>IF(I59="", "", IF(I59&gt;0, I59/100 +1, -100/I59 +1))</f>
        <v/>
      </c>
      <c r="K59" s="3"/>
      <c r="L59" s="3"/>
      <c r="N59" s="3" t="str">
        <f>IF(M59="", "", IF(M59="Draw", 0, IF(M59="win", L59, -1*K59)))</f>
        <v/>
      </c>
      <c r="O59" s="6" t="str">
        <f t="shared" si="0"/>
        <v/>
      </c>
      <c r="P59" s="7">
        <f>IF(M58="", P58, IF(C59="", P58, P58+LOOKUP(2, 1/($N$2:$N58&lt;&gt;""),$N$2:$N58) +Q59))</f>
        <v>141.32499999999999</v>
      </c>
      <c r="R59" t="b">
        <f>AND(ISNUMBER(FIND($E59,Tables!$I$2)), ISNUMBER(FIND($D59,Tables!$J$2)), $E59&lt;&gt;"")</f>
        <v>0</v>
      </c>
    </row>
    <row r="60" spans="1:18" x14ac:dyDescent="0.25">
      <c r="A60">
        <f>IF(AND(B60="", D60&lt;&gt;""), A59, A59+1)</f>
        <v>54</v>
      </c>
      <c r="B60" s="4"/>
      <c r="I60" s="8"/>
      <c r="J60" s="5" t="str">
        <f>IF(I60="", "", IF(I60&gt;0, I60/100 +1, -100/I60 +1))</f>
        <v/>
      </c>
      <c r="K60" s="3"/>
      <c r="L60" s="3"/>
      <c r="N60" s="3" t="str">
        <f>IF(M60="", "", IF(M60="Draw", 0, IF(M60="win", L60, -1*K60)))</f>
        <v/>
      </c>
      <c r="O60" s="6" t="str">
        <f t="shared" si="0"/>
        <v/>
      </c>
      <c r="P60" s="7">
        <f>IF(M59="", P59, IF(C60="", P59, P59+LOOKUP(2, 1/($N$2:$N59&lt;&gt;""),$N$2:$N59) +Q60))</f>
        <v>141.32499999999999</v>
      </c>
      <c r="R60" t="b">
        <f>AND(ISNUMBER(FIND($E60,Tables!$I$2)), ISNUMBER(FIND($D60,Tables!$J$2)), $E60&lt;&gt;"")</f>
        <v>0</v>
      </c>
    </row>
    <row r="61" spans="1:18" x14ac:dyDescent="0.25">
      <c r="A61">
        <f>IF(AND(B61="", D61&lt;&gt;""), A60, A60+1)</f>
        <v>55</v>
      </c>
      <c r="B61" s="4"/>
      <c r="I61" s="8"/>
      <c r="J61" s="5" t="str">
        <f>IF(I61="", "", IF(I61&gt;0, I61/100 +1, -100/I61 +1))</f>
        <v/>
      </c>
      <c r="K61" s="3"/>
      <c r="L61" s="3"/>
      <c r="N61" s="3" t="str">
        <f>IF(M61="", "", IF(M61="Draw", 0, IF(M61="win", L61, -1*K61)))</f>
        <v/>
      </c>
      <c r="O61" s="6" t="str">
        <f t="shared" si="0"/>
        <v/>
      </c>
      <c r="P61" s="7">
        <f>IF(M60="", P60, IF(C61="", P60, P60+LOOKUP(2, 1/($N$2:$N60&lt;&gt;""),$N$2:$N60) +Q61))</f>
        <v>141.32499999999999</v>
      </c>
      <c r="R61" t="b">
        <f>AND(ISNUMBER(FIND($E61,Tables!$I$2)), ISNUMBER(FIND($D61,Tables!$J$2)), $E61&lt;&gt;"")</f>
        <v>0</v>
      </c>
    </row>
    <row r="62" spans="1:18" x14ac:dyDescent="0.25">
      <c r="A62">
        <f>IF(AND(B62="", D62&lt;&gt;""), A61, A61+1)</f>
        <v>56</v>
      </c>
      <c r="B62" s="4"/>
      <c r="I62" s="8"/>
      <c r="J62" s="5" t="str">
        <f>IF(I62="", "", IF(I62&gt;0, I62/100 +1, -100/I62 +1))</f>
        <v/>
      </c>
      <c r="K62" s="3"/>
      <c r="L62" s="3"/>
      <c r="N62" s="3" t="str">
        <f>IF(M62="", "", IF(M62="Draw", 0, IF(M62="win", L62, -1*K62)))</f>
        <v/>
      </c>
      <c r="O62" s="6" t="str">
        <f t="shared" si="0"/>
        <v/>
      </c>
      <c r="P62" s="7">
        <f>IF(M61="", P61, IF(C62="", P61, P61+LOOKUP(2, 1/($N$2:$N61&lt;&gt;""),$N$2:$N61) +Q62))</f>
        <v>141.32499999999999</v>
      </c>
      <c r="R62" t="b">
        <f>AND(ISNUMBER(FIND($E62,Tables!$I$2)), ISNUMBER(FIND($D62,Tables!$J$2)), $E62&lt;&gt;"")</f>
        <v>0</v>
      </c>
    </row>
    <row r="63" spans="1:18" x14ac:dyDescent="0.25">
      <c r="A63">
        <f>IF(AND(B63="", D63&lt;&gt;""), A62, A62+1)</f>
        <v>57</v>
      </c>
      <c r="B63" s="4"/>
      <c r="I63" s="8"/>
      <c r="J63" s="5" t="str">
        <f>IF(I63="", "", IF(I63&gt;0, I63/100 +1, -100/I63 +1))</f>
        <v/>
      </c>
      <c r="K63" s="3"/>
      <c r="L63" s="3"/>
      <c r="N63" s="3" t="str">
        <f>IF(M63="", "", IF(M63="Draw", 0, IF(M63="win", L63, -1*K63)))</f>
        <v/>
      </c>
      <c r="O63" s="6" t="str">
        <f t="shared" si="0"/>
        <v/>
      </c>
      <c r="P63" s="7">
        <f>IF(M62="", P62, IF(C63="", P62, P62+LOOKUP(2, 1/($N$2:$N62&lt;&gt;""),$N$2:$N62) +Q63))</f>
        <v>141.32499999999999</v>
      </c>
      <c r="R63" t="b">
        <f>AND(ISNUMBER(FIND($E63,Tables!$I$2)), ISNUMBER(FIND($D63,Tables!$J$2)), $E63&lt;&gt;"")</f>
        <v>0</v>
      </c>
    </row>
    <row r="64" spans="1:18" x14ac:dyDescent="0.25">
      <c r="A64">
        <f>IF(AND(B64="", D64&lt;&gt;""), A63, A63+1)</f>
        <v>58</v>
      </c>
      <c r="B64" s="4"/>
      <c r="I64" s="8"/>
      <c r="J64" s="5" t="str">
        <f>IF(I64="", "", IF(I64&gt;0, I64/100 +1, -100/I64 +1))</f>
        <v/>
      </c>
      <c r="K64" s="3"/>
      <c r="L64" s="3"/>
      <c r="N64" s="3" t="str">
        <f>IF(M64="", "", IF(M64="Draw", 0, IF(M64="win", L64, -1*K64)))</f>
        <v/>
      </c>
      <c r="O64" s="6" t="str">
        <f t="shared" si="0"/>
        <v/>
      </c>
      <c r="P64" s="7">
        <f>IF(M63="", P63, IF(C64="", P63, P63+LOOKUP(2, 1/($N$2:$N63&lt;&gt;""),$N$2:$N63) +Q64))</f>
        <v>141.32499999999999</v>
      </c>
      <c r="R64" t="b">
        <f>AND(ISNUMBER(FIND($E64,Tables!$I$2)), ISNUMBER(FIND($D64,Tables!$J$2)), $E64&lt;&gt;"")</f>
        <v>0</v>
      </c>
    </row>
    <row r="65" spans="1:18" x14ac:dyDescent="0.25">
      <c r="A65">
        <f>IF(AND(B65="", D65&lt;&gt;""), A64, A64+1)</f>
        <v>59</v>
      </c>
      <c r="B65" s="4"/>
      <c r="I65" s="8"/>
      <c r="J65" s="5" t="str">
        <f>IF(I65="", "", IF(I65&gt;0, I65/100 +1, -100/I65 +1))</f>
        <v/>
      </c>
      <c r="K65" s="3"/>
      <c r="L65" s="3"/>
      <c r="N65" s="3" t="str">
        <f>IF(M65="", "", IF(M65="Draw", 0, IF(M65="win", L65, -1*K65)))</f>
        <v/>
      </c>
      <c r="O65" s="6" t="str">
        <f t="shared" si="0"/>
        <v/>
      </c>
      <c r="P65" s="7">
        <f>IF(M64="", P64, IF(C65="", P64, P64+LOOKUP(2, 1/($N$2:$N64&lt;&gt;""),$N$2:$N64) +Q65))</f>
        <v>141.32499999999999</v>
      </c>
      <c r="R65" t="b">
        <f>AND(ISNUMBER(FIND($E65,Tables!$I$2)), ISNUMBER(FIND($D65,Tables!$J$2)), $E65&lt;&gt;"")</f>
        <v>0</v>
      </c>
    </row>
    <row r="66" spans="1:18" x14ac:dyDescent="0.25">
      <c r="A66">
        <f>IF(AND(B66="", D66&lt;&gt;""), A65, A65+1)</f>
        <v>60</v>
      </c>
      <c r="B66" s="4"/>
      <c r="I66" s="8"/>
      <c r="J66" s="5" t="str">
        <f>IF(I66="", "", IF(I66&gt;0, I66/100 +1, -100/I66 +1))</f>
        <v/>
      </c>
      <c r="K66" s="3"/>
      <c r="L66" s="3"/>
      <c r="N66" s="3" t="str">
        <f>IF(M66="", "", IF(M66="Draw", 0, IF(M66="win", L66, -1*K66)))</f>
        <v/>
      </c>
      <c r="O66" s="6" t="str">
        <f t="shared" si="0"/>
        <v/>
      </c>
      <c r="P66" s="7">
        <f>IF(M65="", P65, IF(C66="", P65, P65+LOOKUP(2, 1/($N$2:$N65&lt;&gt;""),$N$2:$N65) +Q66))</f>
        <v>141.32499999999999</v>
      </c>
      <c r="R66" t="b">
        <f>AND(ISNUMBER(FIND($E66,Tables!$I$2)), ISNUMBER(FIND($D66,Tables!$J$2)), $E66&lt;&gt;"")</f>
        <v>0</v>
      </c>
    </row>
    <row r="67" spans="1:18" x14ac:dyDescent="0.25">
      <c r="A67">
        <f>IF(AND(B67="", D67&lt;&gt;""), A66, A66+1)</f>
        <v>61</v>
      </c>
      <c r="B67" s="4"/>
      <c r="I67" s="8"/>
      <c r="J67" s="5" t="str">
        <f>IF(I67="", "", IF(I67&gt;0, I67/100 +1, -100/I67 +1))</f>
        <v/>
      </c>
      <c r="K67" s="3"/>
      <c r="L67" s="3"/>
      <c r="N67" s="3" t="str">
        <f>IF(M67="", "", IF(M67="Draw", 0, IF(M67="win", L67, -1*K67)))</f>
        <v/>
      </c>
      <c r="O67" s="6" t="str">
        <f t="shared" ref="O67:O130" si="1">IFERROR(K67/VLOOKUP(_xlfn.MINIFS(A:A,B:B,B67,C:C,C67),A:P,16),"")</f>
        <v/>
      </c>
      <c r="P67" s="7">
        <f>IF(M66="", P66, IF(C67="", P66, P66+LOOKUP(2, 1/($N$2:$N66&lt;&gt;""),$N$2:$N66) +Q67))</f>
        <v>141.32499999999999</v>
      </c>
      <c r="R67" t="b">
        <f>AND(ISNUMBER(FIND($E67,Tables!$I$2)), ISNUMBER(FIND($D67,Tables!$J$2)), $E67&lt;&gt;"")</f>
        <v>0</v>
      </c>
    </row>
    <row r="68" spans="1:18" x14ac:dyDescent="0.25">
      <c r="A68">
        <f>IF(AND(B68="", D68&lt;&gt;""), A67, A67+1)</f>
        <v>62</v>
      </c>
      <c r="B68" s="4"/>
      <c r="I68" s="8"/>
      <c r="J68" s="5" t="str">
        <f>IF(I68="", "", IF(I68&gt;0, I68/100 +1, -100/I68 +1))</f>
        <v/>
      </c>
      <c r="K68" s="3"/>
      <c r="L68" s="3"/>
      <c r="N68" s="3" t="str">
        <f>IF(M68="", "", IF(M68="Draw", 0, IF(M68="win", L68, -1*K68)))</f>
        <v/>
      </c>
      <c r="O68" s="6" t="str">
        <f t="shared" si="1"/>
        <v/>
      </c>
      <c r="P68" s="7">
        <f>IF(M67="", P67, IF(C68="", P67, P67+LOOKUP(2, 1/($N$2:$N67&lt;&gt;""),$N$2:$N67) +Q68))</f>
        <v>141.32499999999999</v>
      </c>
      <c r="R68" t="b">
        <f>AND(ISNUMBER(FIND($E68,Tables!$I$2)), ISNUMBER(FIND($D68,Tables!$J$2)), $E68&lt;&gt;"")</f>
        <v>0</v>
      </c>
    </row>
    <row r="69" spans="1:18" x14ac:dyDescent="0.25">
      <c r="A69">
        <f>IF(AND(B69="", D69&lt;&gt;""), A68, A68+1)</f>
        <v>63</v>
      </c>
      <c r="B69" s="4"/>
      <c r="I69" s="8"/>
      <c r="J69" s="5" t="str">
        <f>IF(I69="", "", IF(I69&gt;0, I69/100 +1, -100/I69 +1))</f>
        <v/>
      </c>
      <c r="K69" s="3"/>
      <c r="L69" s="3"/>
      <c r="N69" s="3" t="str">
        <f>IF(M69="", "", IF(M69="Draw", 0, IF(M69="win", L69, -1*K69)))</f>
        <v/>
      </c>
      <c r="O69" s="6" t="str">
        <f t="shared" si="1"/>
        <v/>
      </c>
      <c r="P69" s="7">
        <f>IF(M68="", P68, IF(C69="", P68, P68+LOOKUP(2, 1/($N$2:$N68&lt;&gt;""),$N$2:$N68) +Q69))</f>
        <v>141.32499999999999</v>
      </c>
      <c r="R69" t="b">
        <f>AND(ISNUMBER(FIND($E69,Tables!$I$2)), ISNUMBER(FIND($D69,Tables!$J$2)), $E69&lt;&gt;"")</f>
        <v>0</v>
      </c>
    </row>
    <row r="70" spans="1:18" x14ac:dyDescent="0.25">
      <c r="A70">
        <f>IF(AND(B70="", D70&lt;&gt;""), A69, A69+1)</f>
        <v>64</v>
      </c>
      <c r="B70" s="4"/>
      <c r="I70" s="8"/>
      <c r="J70" s="5" t="str">
        <f>IF(I70="", "", IF(I70&gt;0, I70/100 +1, -100/I70 +1))</f>
        <v/>
      </c>
      <c r="K70" s="3"/>
      <c r="L70" s="3"/>
      <c r="N70" s="3" t="str">
        <f>IF(M70="", "", IF(M70="Draw", 0, IF(M70="win", L70, -1*K70)))</f>
        <v/>
      </c>
      <c r="O70" s="6" t="str">
        <f t="shared" si="1"/>
        <v/>
      </c>
      <c r="P70" s="7">
        <f>IF(M69="", P69, IF(C70="", P69, P69+LOOKUP(2, 1/($N$2:$N69&lt;&gt;""),$N$2:$N69) +Q70))</f>
        <v>141.32499999999999</v>
      </c>
      <c r="R70" t="b">
        <f>AND(ISNUMBER(FIND($E70,Tables!$I$2)), ISNUMBER(FIND($D70,Tables!$J$2)), $E70&lt;&gt;"")</f>
        <v>0</v>
      </c>
    </row>
    <row r="71" spans="1:18" x14ac:dyDescent="0.25">
      <c r="A71">
        <f>IF(AND(B71="", D71&lt;&gt;""), A70, A70+1)</f>
        <v>65</v>
      </c>
      <c r="B71" s="4"/>
      <c r="I71" s="8"/>
      <c r="J71" s="5" t="str">
        <f>IF(I71="", "", IF(I71&gt;0, I71/100 +1, -100/I71 +1))</f>
        <v/>
      </c>
      <c r="K71" s="3"/>
      <c r="L71" s="3"/>
      <c r="N71" s="3" t="str">
        <f>IF(M71="", "", IF(M71="Draw", 0, IF(M71="win", L71, -1*K71)))</f>
        <v/>
      </c>
      <c r="O71" s="6" t="str">
        <f t="shared" si="1"/>
        <v/>
      </c>
      <c r="P71" s="7">
        <f>IF(M70="", P70, IF(C71="", P70, P70+LOOKUP(2, 1/($N$2:$N70&lt;&gt;""),$N$2:$N70) +Q71))</f>
        <v>141.32499999999999</v>
      </c>
      <c r="R71" t="b">
        <f>AND(ISNUMBER(FIND($E71,Tables!$I$2)), ISNUMBER(FIND($D71,Tables!$J$2)), $E71&lt;&gt;"")</f>
        <v>0</v>
      </c>
    </row>
    <row r="72" spans="1:18" x14ac:dyDescent="0.25">
      <c r="A72">
        <f>IF(AND(B72="", D72&lt;&gt;""), A71, A71+1)</f>
        <v>66</v>
      </c>
      <c r="B72" s="4"/>
      <c r="I72" s="8"/>
      <c r="J72" s="5" t="str">
        <f>IF(I72="", "", IF(I72&gt;0, I72/100 +1, -100/I72 +1))</f>
        <v/>
      </c>
      <c r="K72" s="3"/>
      <c r="L72" s="3"/>
      <c r="N72" s="3" t="str">
        <f>IF(M72="", "", IF(M72="Draw", 0, IF(M72="win", L72, -1*K72)))</f>
        <v/>
      </c>
      <c r="O72" s="6" t="str">
        <f t="shared" si="1"/>
        <v/>
      </c>
      <c r="P72" s="7">
        <f>IF(M71="", P71, IF(C72="", P71, P71+LOOKUP(2, 1/($N$2:$N71&lt;&gt;""),$N$2:$N71) +Q72))</f>
        <v>141.32499999999999</v>
      </c>
      <c r="R72" t="b">
        <f>AND(ISNUMBER(FIND($E72,Tables!$I$2)), ISNUMBER(FIND($D72,Tables!$J$2)), $E72&lt;&gt;"")</f>
        <v>0</v>
      </c>
    </row>
    <row r="73" spans="1:18" x14ac:dyDescent="0.25">
      <c r="A73">
        <f>IF(AND(B73="", D73&lt;&gt;""), A72, A72+1)</f>
        <v>67</v>
      </c>
      <c r="B73" s="4"/>
      <c r="I73" s="8"/>
      <c r="J73" s="5" t="str">
        <f>IF(I73="", "", IF(I73&gt;0, I73/100 +1, -100/I73 +1))</f>
        <v/>
      </c>
      <c r="K73" s="3"/>
      <c r="L73" s="3"/>
      <c r="N73" s="3" t="str">
        <f>IF(M73="", "", IF(M73="Draw", 0, IF(M73="win", L73, -1*K73)))</f>
        <v/>
      </c>
      <c r="O73" s="6" t="str">
        <f t="shared" si="1"/>
        <v/>
      </c>
      <c r="P73" s="7">
        <f>IF(M72="", P72, IF(C73="", P72, P72+LOOKUP(2, 1/($N$2:$N72&lt;&gt;""),$N$2:$N72) +Q73))</f>
        <v>141.32499999999999</v>
      </c>
      <c r="R73" t="b">
        <f>AND(ISNUMBER(FIND($E73,Tables!$I$2)), ISNUMBER(FIND($D73,Tables!$J$2)), $E73&lt;&gt;"")</f>
        <v>0</v>
      </c>
    </row>
    <row r="74" spans="1:18" x14ac:dyDescent="0.25">
      <c r="A74">
        <f>IF(AND(B74="", D74&lt;&gt;""), A73, A73+1)</f>
        <v>68</v>
      </c>
      <c r="B74" s="4"/>
      <c r="I74" s="8"/>
      <c r="J74" s="5" t="str">
        <f>IF(I74="", "", IF(I74&gt;0, I74/100 +1, -100/I74 +1))</f>
        <v/>
      </c>
      <c r="K74" s="3"/>
      <c r="L74" s="3"/>
      <c r="N74" s="3" t="str">
        <f>IF(M74="", "", IF(M74="Draw", 0, IF(M74="win", L74, -1*K74)))</f>
        <v/>
      </c>
      <c r="O74" s="6" t="str">
        <f t="shared" si="1"/>
        <v/>
      </c>
      <c r="P74" s="7">
        <f>IF(M73="", P73, IF(C74="", P73, P73+LOOKUP(2, 1/($N$2:$N73&lt;&gt;""),$N$2:$N73) +Q74))</f>
        <v>141.32499999999999</v>
      </c>
      <c r="R74" t="b">
        <f>AND(ISNUMBER(FIND($E74,Tables!$I$2)), ISNUMBER(FIND($D74,Tables!$J$2)), $E74&lt;&gt;"")</f>
        <v>0</v>
      </c>
    </row>
    <row r="75" spans="1:18" x14ac:dyDescent="0.25">
      <c r="A75">
        <f>IF(AND(B75="", D75&lt;&gt;""), A74, A74+1)</f>
        <v>69</v>
      </c>
      <c r="B75" s="4"/>
      <c r="I75" s="8"/>
      <c r="J75" s="5" t="str">
        <f>IF(I75="", "", IF(I75&gt;0, I75/100 +1, -100/I75 +1))</f>
        <v/>
      </c>
      <c r="K75" s="3"/>
      <c r="L75" s="3"/>
      <c r="N75" s="3" t="str">
        <f>IF(M75="", "", IF(M75="Draw", 0, IF(M75="win", L75, -1*K75)))</f>
        <v/>
      </c>
      <c r="O75" s="6" t="str">
        <f t="shared" si="1"/>
        <v/>
      </c>
      <c r="P75" s="7">
        <f>IF(M74="", P74, IF(C75="", P74, P74+LOOKUP(2, 1/($N$2:$N74&lt;&gt;""),$N$2:$N74) +Q75))</f>
        <v>141.32499999999999</v>
      </c>
      <c r="R75" t="b">
        <f>AND(ISNUMBER(FIND($E75,Tables!$I$2)), ISNUMBER(FIND($D75,Tables!$J$2)), $E75&lt;&gt;"")</f>
        <v>0</v>
      </c>
    </row>
    <row r="76" spans="1:18" x14ac:dyDescent="0.25">
      <c r="A76">
        <f>IF(AND(B76="", D76&lt;&gt;""), A75, A75+1)</f>
        <v>70</v>
      </c>
      <c r="B76" s="4"/>
      <c r="I76" s="8"/>
      <c r="J76" s="5" t="str">
        <f>IF(I76="", "", IF(I76&gt;0, I76/100 +1, -100/I76 +1))</f>
        <v/>
      </c>
      <c r="K76" s="3"/>
      <c r="L76" s="3"/>
      <c r="N76" s="3" t="str">
        <f>IF(M76="", "", IF(M76="Draw", 0, IF(M76="win", L76, -1*K76)))</f>
        <v/>
      </c>
      <c r="O76" s="6" t="str">
        <f t="shared" si="1"/>
        <v/>
      </c>
      <c r="P76" s="7">
        <f>IF(M75="", P75, IF(C76="", P75, P75+LOOKUP(2, 1/($N$2:$N75&lt;&gt;""),$N$2:$N75) +Q76))</f>
        <v>141.32499999999999</v>
      </c>
      <c r="R76" t="b">
        <f>AND(ISNUMBER(FIND($E76,Tables!$I$2)), ISNUMBER(FIND($D76,Tables!$J$2)), $E76&lt;&gt;"")</f>
        <v>0</v>
      </c>
    </row>
    <row r="77" spans="1:18" x14ac:dyDescent="0.25">
      <c r="A77">
        <f>IF(AND(B77="", D77&lt;&gt;""), A76, A76+1)</f>
        <v>71</v>
      </c>
      <c r="B77" s="4"/>
      <c r="I77" s="8"/>
      <c r="J77" s="5" t="str">
        <f>IF(I77="", "", IF(I77&gt;0, I77/100 +1, -100/I77 +1))</f>
        <v/>
      </c>
      <c r="K77" s="3"/>
      <c r="L77" s="3"/>
      <c r="N77" s="3" t="str">
        <f>IF(M77="", "", IF(M77="Draw", 0, IF(M77="win", L77, -1*K77)))</f>
        <v/>
      </c>
      <c r="O77" s="6" t="str">
        <f t="shared" si="1"/>
        <v/>
      </c>
      <c r="P77" s="7">
        <f>IF(M76="", P76, IF(C77="", P76, P76+LOOKUP(2, 1/($N$2:$N76&lt;&gt;""),$N$2:$N76) +Q77))</f>
        <v>141.32499999999999</v>
      </c>
      <c r="R77" t="b">
        <f>AND(ISNUMBER(FIND($E77,Tables!$I$2)), ISNUMBER(FIND($D77,Tables!$J$2)), $E77&lt;&gt;"")</f>
        <v>0</v>
      </c>
    </row>
    <row r="78" spans="1:18" x14ac:dyDescent="0.25">
      <c r="A78">
        <f>IF(AND(B78="", D78&lt;&gt;""), A77, A77+1)</f>
        <v>72</v>
      </c>
      <c r="B78" s="4"/>
      <c r="I78" s="8"/>
      <c r="J78" s="5" t="str">
        <f>IF(I78="", "", IF(I78&gt;0, I78/100 +1, -100/I78 +1))</f>
        <v/>
      </c>
      <c r="K78" s="3"/>
      <c r="L78" s="3"/>
      <c r="N78" s="3" t="str">
        <f>IF(M78="", "", IF(M78="Draw", 0, IF(M78="win", L78, -1*K78)))</f>
        <v/>
      </c>
      <c r="O78" s="6" t="str">
        <f t="shared" si="1"/>
        <v/>
      </c>
      <c r="P78" s="7">
        <f>IF(M77="", P77, IF(C78="", P77, P77+LOOKUP(2, 1/($N$2:$N77&lt;&gt;""),$N$2:$N77) +Q78))</f>
        <v>141.32499999999999</v>
      </c>
      <c r="R78" t="b">
        <f>AND(ISNUMBER(FIND($E78,Tables!$I$2)), ISNUMBER(FIND($D78,Tables!$J$2)), $E78&lt;&gt;"")</f>
        <v>0</v>
      </c>
    </row>
    <row r="79" spans="1:18" x14ac:dyDescent="0.25">
      <c r="A79">
        <f>IF(AND(B79="", D79&lt;&gt;""), A78, A78+1)</f>
        <v>73</v>
      </c>
      <c r="B79" s="4"/>
      <c r="I79" s="8"/>
      <c r="J79" s="5" t="str">
        <f>IF(I79="", "", IF(I79&gt;0, I79/100 +1, -100/I79 +1))</f>
        <v/>
      </c>
      <c r="K79" s="3"/>
      <c r="L79" s="3"/>
      <c r="N79" s="3" t="str">
        <f>IF(M79="", "", IF(M79="Draw", 0, IF(M79="win", L79, -1*K79)))</f>
        <v/>
      </c>
      <c r="O79" s="6" t="str">
        <f t="shared" si="1"/>
        <v/>
      </c>
      <c r="P79" s="7">
        <f>IF(M78="", P78, IF(C79="", P78, P78+LOOKUP(2, 1/($N$2:$N78&lt;&gt;""),$N$2:$N78) +Q79))</f>
        <v>141.32499999999999</v>
      </c>
      <c r="R79" t="b">
        <f>AND(ISNUMBER(FIND($E79,Tables!$I$2)), ISNUMBER(FIND($D79,Tables!$J$2)), $E79&lt;&gt;"")</f>
        <v>0</v>
      </c>
    </row>
    <row r="80" spans="1:18" x14ac:dyDescent="0.25">
      <c r="A80">
        <f>IF(AND(B80="", D80&lt;&gt;""), A79, A79+1)</f>
        <v>74</v>
      </c>
      <c r="B80" s="4"/>
      <c r="I80" s="8"/>
      <c r="J80" s="5" t="str">
        <f>IF(I80="", "", IF(I80&gt;0, I80/100 +1, -100/I80 +1))</f>
        <v/>
      </c>
      <c r="K80" s="3"/>
      <c r="L80" s="3"/>
      <c r="N80" s="3" t="str">
        <f>IF(M80="", "", IF(M80="Draw", 0, IF(M80="win", L80, -1*K80)))</f>
        <v/>
      </c>
      <c r="O80" s="6" t="str">
        <f t="shared" si="1"/>
        <v/>
      </c>
      <c r="P80" s="7">
        <f>IF(M79="", P79, IF(C80="", P79, P79+LOOKUP(2, 1/($N$2:$N79&lt;&gt;""),$N$2:$N79) +Q80))</f>
        <v>141.32499999999999</v>
      </c>
      <c r="R80" t="b">
        <f>AND(ISNUMBER(FIND($E80,Tables!$I$2)), ISNUMBER(FIND($D80,Tables!$J$2)), $E80&lt;&gt;"")</f>
        <v>0</v>
      </c>
    </row>
    <row r="81" spans="1:18" x14ac:dyDescent="0.25">
      <c r="A81">
        <f>IF(AND(B81="", D81&lt;&gt;""), A80, A80+1)</f>
        <v>75</v>
      </c>
      <c r="B81" s="4"/>
      <c r="I81" s="8"/>
      <c r="J81" s="5" t="str">
        <f>IF(I81="", "", IF(I81&gt;0, I81/100 +1, -100/I81 +1))</f>
        <v/>
      </c>
      <c r="K81" s="3"/>
      <c r="L81" s="3"/>
      <c r="N81" s="3" t="str">
        <f>IF(M81="", "", IF(M81="Draw", 0, IF(M81="win", L81, -1*K81)))</f>
        <v/>
      </c>
      <c r="O81" s="6" t="str">
        <f t="shared" si="1"/>
        <v/>
      </c>
      <c r="P81" s="7">
        <f>IF(M80="", P80, IF(C81="", P80, P80+LOOKUP(2, 1/($N$2:$N80&lt;&gt;""),$N$2:$N80) +Q81))</f>
        <v>141.32499999999999</v>
      </c>
      <c r="R81" t="b">
        <f>AND(ISNUMBER(FIND($E81,Tables!$I$2)), ISNUMBER(FIND($D81,Tables!$J$2)), $E81&lt;&gt;"")</f>
        <v>0</v>
      </c>
    </row>
    <row r="82" spans="1:18" x14ac:dyDescent="0.25">
      <c r="A82">
        <f>IF(AND(B82="", D82&lt;&gt;""), A81, A81+1)</f>
        <v>76</v>
      </c>
      <c r="B82" s="4"/>
      <c r="I82" s="8"/>
      <c r="J82" s="5" t="str">
        <f>IF(I82="", "", IF(I82&gt;0, I82/100 +1, -100/I82 +1))</f>
        <v/>
      </c>
      <c r="K82" s="3"/>
      <c r="L82" s="3"/>
      <c r="N82" s="3" t="str">
        <f>IF(M82="", "", IF(M82="Draw", 0, IF(M82="win", L82, -1*K82)))</f>
        <v/>
      </c>
      <c r="O82" s="6" t="str">
        <f t="shared" si="1"/>
        <v/>
      </c>
      <c r="P82" s="7">
        <f>IF(M81="", P81, IF(C82="", P81, P81+LOOKUP(2, 1/($N$2:$N81&lt;&gt;""),$N$2:$N81) +Q82))</f>
        <v>141.32499999999999</v>
      </c>
      <c r="R82" t="b">
        <f>AND(ISNUMBER(FIND($E82,Tables!$I$2)), ISNUMBER(FIND($D82,Tables!$J$2)), $E82&lt;&gt;"")</f>
        <v>0</v>
      </c>
    </row>
    <row r="83" spans="1:18" x14ac:dyDescent="0.25">
      <c r="A83">
        <f>IF(AND(B83="", D83&lt;&gt;""), A82, A82+1)</f>
        <v>77</v>
      </c>
      <c r="B83" s="4"/>
      <c r="I83" s="8"/>
      <c r="J83" s="5" t="str">
        <f>IF(I83="", "", IF(I83&gt;0, I83/100 +1, -100/I83 +1))</f>
        <v/>
      </c>
      <c r="K83" s="3"/>
      <c r="L83" s="3"/>
      <c r="N83" s="3" t="str">
        <f>IF(M83="", "", IF(M83="Draw", 0, IF(M83="win", L83, -1*K83)))</f>
        <v/>
      </c>
      <c r="O83" s="6" t="str">
        <f t="shared" si="1"/>
        <v/>
      </c>
      <c r="P83" s="7">
        <f>IF(M82="", P82, IF(C83="", P82, P82+LOOKUP(2, 1/($N$2:$N82&lt;&gt;""),$N$2:$N82) +Q83))</f>
        <v>141.32499999999999</v>
      </c>
      <c r="R83" t="b">
        <f>AND(ISNUMBER(FIND($E83,Tables!$I$2)), ISNUMBER(FIND($D83,Tables!$J$2)), $E83&lt;&gt;"")</f>
        <v>0</v>
      </c>
    </row>
    <row r="84" spans="1:18" x14ac:dyDescent="0.25">
      <c r="A84">
        <f>IF(AND(B84="", D84&lt;&gt;""), A83, A83+1)</f>
        <v>78</v>
      </c>
      <c r="B84" s="4"/>
      <c r="I84" s="8"/>
      <c r="J84" s="5" t="str">
        <f>IF(I84="", "", IF(I84&gt;0, I84/100 +1, -100/I84 +1))</f>
        <v/>
      </c>
      <c r="K84" s="3"/>
      <c r="L84" s="3"/>
      <c r="N84" s="3" t="str">
        <f>IF(M84="", "", IF(M84="Draw", 0, IF(M84="win", L84, -1*K84)))</f>
        <v/>
      </c>
      <c r="O84" s="6" t="str">
        <f t="shared" si="1"/>
        <v/>
      </c>
      <c r="P84" s="7">
        <f>IF(M83="", P83, IF(C84="", P83, P83+LOOKUP(2, 1/($N$2:$N83&lt;&gt;""),$N$2:$N83) +Q84))</f>
        <v>141.32499999999999</v>
      </c>
      <c r="R84" t="b">
        <f>AND(ISNUMBER(FIND($E84,Tables!$I$2)), ISNUMBER(FIND($D84,Tables!$J$2)), $E84&lt;&gt;"")</f>
        <v>0</v>
      </c>
    </row>
    <row r="85" spans="1:18" x14ac:dyDescent="0.25">
      <c r="A85">
        <f>IF(AND(B85="", D85&lt;&gt;""), A84, A84+1)</f>
        <v>79</v>
      </c>
      <c r="B85" s="4"/>
      <c r="I85" s="8"/>
      <c r="J85" s="5" t="str">
        <f>IF(I85="", "", IF(I85&gt;0, I85/100 +1, -100/I85 +1))</f>
        <v/>
      </c>
      <c r="K85" s="3"/>
      <c r="L85" s="3"/>
      <c r="N85" s="3" t="str">
        <f>IF(M85="", "", IF(M85="Draw", 0, IF(M85="win", L85, -1*K85)))</f>
        <v/>
      </c>
      <c r="O85" s="6" t="str">
        <f t="shared" si="1"/>
        <v/>
      </c>
      <c r="P85" s="7">
        <f>IF(M84="", P84, IF(C85="", P84, P84+LOOKUP(2, 1/($N$2:$N84&lt;&gt;""),$N$2:$N84) +Q85))</f>
        <v>141.32499999999999</v>
      </c>
      <c r="R85" t="b">
        <f>AND(ISNUMBER(FIND($E85,Tables!$I$2)), ISNUMBER(FIND($D85,Tables!$J$2)), $E85&lt;&gt;"")</f>
        <v>0</v>
      </c>
    </row>
    <row r="86" spans="1:18" x14ac:dyDescent="0.25">
      <c r="A86">
        <f>IF(AND(B86="", D86&lt;&gt;""), A85, A85+1)</f>
        <v>80</v>
      </c>
      <c r="B86" s="4"/>
      <c r="I86" s="8"/>
      <c r="J86" s="5" t="str">
        <f>IF(I86="", "", IF(I86&gt;0, I86/100 +1, -100/I86 +1))</f>
        <v/>
      </c>
      <c r="K86" s="3"/>
      <c r="L86" s="3"/>
      <c r="N86" s="3" t="str">
        <f>IF(M86="", "", IF(M86="Draw", 0, IF(M86="win", L86, -1*K86)))</f>
        <v/>
      </c>
      <c r="O86" s="6" t="str">
        <f t="shared" si="1"/>
        <v/>
      </c>
      <c r="P86" s="7">
        <f>IF(M85="", P85, IF(C86="", P85, P85+LOOKUP(2, 1/($N$2:$N85&lt;&gt;""),$N$2:$N85) +Q86))</f>
        <v>141.32499999999999</v>
      </c>
      <c r="R86" t="b">
        <f>AND(ISNUMBER(FIND($E86,Tables!$I$2)), ISNUMBER(FIND($D86,Tables!$J$2)), $E86&lt;&gt;"")</f>
        <v>0</v>
      </c>
    </row>
    <row r="87" spans="1:18" x14ac:dyDescent="0.25">
      <c r="A87">
        <f>IF(AND(B87="", D87&lt;&gt;""), A86, A86+1)</f>
        <v>81</v>
      </c>
      <c r="B87" s="4"/>
      <c r="I87" s="8"/>
      <c r="J87" s="5" t="str">
        <f>IF(I87="", "", IF(I87&gt;0, I87/100 +1, -100/I87 +1))</f>
        <v/>
      </c>
      <c r="K87" s="3"/>
      <c r="L87" s="3"/>
      <c r="N87" s="3" t="str">
        <f>IF(M87="", "", IF(M87="Draw", 0, IF(M87="win", L87, -1*K87)))</f>
        <v/>
      </c>
      <c r="O87" s="6" t="str">
        <f t="shared" si="1"/>
        <v/>
      </c>
      <c r="P87" s="7">
        <f>IF(M86="", P86, IF(C87="", P86, P86+LOOKUP(2, 1/($N$2:$N86&lt;&gt;""),$N$2:$N86) +Q87))</f>
        <v>141.32499999999999</v>
      </c>
      <c r="R87" t="b">
        <f>AND(ISNUMBER(FIND($E87,Tables!$I$2)), ISNUMBER(FIND($D87,Tables!$J$2)), $E87&lt;&gt;"")</f>
        <v>0</v>
      </c>
    </row>
    <row r="88" spans="1:18" x14ac:dyDescent="0.25">
      <c r="A88">
        <f>IF(AND(B88="", D88&lt;&gt;""), A87, A87+1)</f>
        <v>82</v>
      </c>
      <c r="B88" s="4"/>
      <c r="I88" s="8"/>
      <c r="J88" s="5" t="str">
        <f>IF(I88="", "", IF(I88&gt;0, I88/100 +1, -100/I88 +1))</f>
        <v/>
      </c>
      <c r="K88" s="3"/>
      <c r="L88" s="3"/>
      <c r="N88" s="3" t="str">
        <f>IF(M88="", "", IF(M88="Draw", 0, IF(M88="win", L88, -1*K88)))</f>
        <v/>
      </c>
      <c r="O88" s="6" t="str">
        <f t="shared" si="1"/>
        <v/>
      </c>
      <c r="P88" s="7">
        <f>IF(M87="", P87, IF(C88="", P87, P87+LOOKUP(2, 1/($N$2:$N87&lt;&gt;""),$N$2:$N87) +Q88))</f>
        <v>141.32499999999999</v>
      </c>
      <c r="R88" t="b">
        <f>AND(ISNUMBER(FIND($E88,Tables!$I$2)), ISNUMBER(FIND($D88,Tables!$J$2)), $E88&lt;&gt;"")</f>
        <v>0</v>
      </c>
    </row>
    <row r="89" spans="1:18" x14ac:dyDescent="0.25">
      <c r="A89">
        <f>IF(AND(B89="", D89&lt;&gt;""), A88, A88+1)</f>
        <v>83</v>
      </c>
      <c r="B89" s="4"/>
      <c r="I89" s="8"/>
      <c r="J89" s="5" t="str">
        <f>IF(I89="", "", IF(I89&gt;0, I89/100 +1, -100/I89 +1))</f>
        <v/>
      </c>
      <c r="K89" s="3"/>
      <c r="L89" s="3"/>
      <c r="N89" s="3" t="str">
        <f>IF(M89="", "", IF(M89="Draw", 0, IF(M89="win", L89, -1*K89)))</f>
        <v/>
      </c>
      <c r="O89" s="6" t="str">
        <f t="shared" si="1"/>
        <v/>
      </c>
      <c r="P89" s="7">
        <f>IF(M88="", P88, IF(C89="", P88, P88+LOOKUP(2, 1/($N$2:$N88&lt;&gt;""),$N$2:$N88) +Q89))</f>
        <v>141.32499999999999</v>
      </c>
      <c r="R89" t="b">
        <f>AND(ISNUMBER(FIND($E89,Tables!$I$2)), ISNUMBER(FIND($D89,Tables!$J$2)), $E89&lt;&gt;"")</f>
        <v>0</v>
      </c>
    </row>
    <row r="90" spans="1:18" x14ac:dyDescent="0.25">
      <c r="A90">
        <f>IF(AND(B90="", D90&lt;&gt;""), A89, A89+1)</f>
        <v>84</v>
      </c>
      <c r="B90" s="4"/>
      <c r="I90" s="8"/>
      <c r="J90" s="5" t="str">
        <f>IF(I90="", "", IF(I90&gt;0, I90/100 +1, -100/I90 +1))</f>
        <v/>
      </c>
      <c r="K90" s="3"/>
      <c r="L90" s="3"/>
      <c r="N90" s="3" t="str">
        <f>IF(M90="", "", IF(M90="Draw", 0, IF(M90="win", L90, -1*K90)))</f>
        <v/>
      </c>
      <c r="O90" s="6" t="str">
        <f t="shared" si="1"/>
        <v/>
      </c>
      <c r="P90" s="7">
        <f>IF(M89="", P89, IF(C90="", P89, P89+LOOKUP(2, 1/($N$2:$N89&lt;&gt;""),$N$2:$N89) +Q90))</f>
        <v>141.32499999999999</v>
      </c>
      <c r="R90" t="b">
        <f>AND(ISNUMBER(FIND($E90,Tables!$I$2)), ISNUMBER(FIND($D90,Tables!$J$2)), $E90&lt;&gt;"")</f>
        <v>0</v>
      </c>
    </row>
    <row r="91" spans="1:18" x14ac:dyDescent="0.25">
      <c r="A91">
        <f>IF(AND(B91="", D91&lt;&gt;""), A90, A90+1)</f>
        <v>85</v>
      </c>
      <c r="B91" s="4"/>
      <c r="I91" s="8"/>
      <c r="J91" s="5" t="str">
        <f>IF(I91="", "", IF(I91&gt;0, I91/100 +1, -100/I91 +1))</f>
        <v/>
      </c>
      <c r="K91" s="3"/>
      <c r="L91" s="3"/>
      <c r="N91" s="3" t="str">
        <f>IF(M91="", "", IF(M91="Draw", 0, IF(M91="win", L91, -1*K91)))</f>
        <v/>
      </c>
      <c r="O91" s="6" t="str">
        <f t="shared" si="1"/>
        <v/>
      </c>
      <c r="P91" s="7">
        <f>IF(M90="", P90, IF(C91="", P90, P90+LOOKUP(2, 1/($N$2:$N90&lt;&gt;""),$N$2:$N90) +Q91))</f>
        <v>141.32499999999999</v>
      </c>
      <c r="R91" t="b">
        <f>AND(ISNUMBER(FIND($E91,Tables!$I$2)), ISNUMBER(FIND($D91,Tables!$J$2)), $E91&lt;&gt;"")</f>
        <v>0</v>
      </c>
    </row>
    <row r="92" spans="1:18" x14ac:dyDescent="0.25">
      <c r="A92">
        <f>IF(AND(B92="", D92&lt;&gt;""), A91, A91+1)</f>
        <v>86</v>
      </c>
      <c r="B92" s="4"/>
      <c r="I92" s="8"/>
      <c r="J92" s="5" t="str">
        <f>IF(I92="", "", IF(I92&gt;0, I92/100 +1, -100/I92 +1))</f>
        <v/>
      </c>
      <c r="K92" s="3"/>
      <c r="L92" s="3"/>
      <c r="N92" s="3" t="str">
        <f>IF(M92="", "", IF(M92="Draw", 0, IF(M92="win", L92, -1*K92)))</f>
        <v/>
      </c>
      <c r="O92" s="6" t="str">
        <f t="shared" si="1"/>
        <v/>
      </c>
      <c r="P92" s="7">
        <f>IF(M91="", P91, IF(C92="", P91, P91+LOOKUP(2, 1/($N$2:$N91&lt;&gt;""),$N$2:$N91) +Q92))</f>
        <v>141.32499999999999</v>
      </c>
      <c r="R92" t="b">
        <f>AND(ISNUMBER(FIND($E92,Tables!$I$2)), ISNUMBER(FIND($D92,Tables!$J$2)), $E92&lt;&gt;"")</f>
        <v>0</v>
      </c>
    </row>
    <row r="93" spans="1:18" x14ac:dyDescent="0.25">
      <c r="A93">
        <f>IF(AND(B93="", D93&lt;&gt;""), A92, A92+1)</f>
        <v>87</v>
      </c>
      <c r="B93" s="4"/>
      <c r="I93" s="8"/>
      <c r="J93" s="5" t="str">
        <f>IF(I93="", "", IF(I93&gt;0, I93/100 +1, -100/I93 +1))</f>
        <v/>
      </c>
      <c r="K93" s="3"/>
      <c r="L93" s="3"/>
      <c r="N93" s="3" t="str">
        <f>IF(M93="", "", IF(M93="Draw", 0, IF(M93="win", L93, -1*K93)))</f>
        <v/>
      </c>
      <c r="O93" s="6" t="str">
        <f t="shared" si="1"/>
        <v/>
      </c>
      <c r="P93" s="7">
        <f>IF(M92="", P92, IF(C93="", P92, P92+LOOKUP(2, 1/($N$2:$N92&lt;&gt;""),$N$2:$N92) +Q93))</f>
        <v>141.32499999999999</v>
      </c>
      <c r="R93" t="b">
        <f>AND(ISNUMBER(FIND($E93,Tables!$I$2)), ISNUMBER(FIND($D93,Tables!$J$2)), $E93&lt;&gt;"")</f>
        <v>0</v>
      </c>
    </row>
    <row r="94" spans="1:18" x14ac:dyDescent="0.25">
      <c r="A94">
        <f>IF(AND(B94="", D94&lt;&gt;""), A93, A93+1)</f>
        <v>88</v>
      </c>
      <c r="B94" s="4"/>
      <c r="I94" s="8"/>
      <c r="J94" s="5" t="str">
        <f>IF(I94="", "", IF(I94&gt;0, I94/100 +1, -100/I94 +1))</f>
        <v/>
      </c>
      <c r="K94" s="3"/>
      <c r="L94" s="3"/>
      <c r="N94" s="3" t="str">
        <f>IF(M94="", "", IF(M94="Draw", 0, IF(M94="win", L94, -1*K94)))</f>
        <v/>
      </c>
      <c r="O94" s="6" t="str">
        <f t="shared" si="1"/>
        <v/>
      </c>
      <c r="P94" s="7">
        <f>IF(M93="", P93, IF(C94="", P93, P93+LOOKUP(2, 1/($N$2:$N93&lt;&gt;""),$N$2:$N93) +Q94))</f>
        <v>141.32499999999999</v>
      </c>
      <c r="R94" t="b">
        <f>AND(ISNUMBER(FIND($E94,Tables!$I$2)), ISNUMBER(FIND($D94,Tables!$J$2)), $E94&lt;&gt;"")</f>
        <v>0</v>
      </c>
    </row>
    <row r="95" spans="1:18" x14ac:dyDescent="0.25">
      <c r="A95">
        <f>IF(AND(B95="", D95&lt;&gt;""), A94, A94+1)</f>
        <v>89</v>
      </c>
      <c r="B95" s="4"/>
      <c r="I95" s="8"/>
      <c r="J95" s="5" t="str">
        <f>IF(I95="", "", IF(I95&gt;0, I95/100 +1, -100/I95 +1))</f>
        <v/>
      </c>
      <c r="K95" s="3"/>
      <c r="L95" s="3"/>
      <c r="N95" s="3" t="str">
        <f>IF(M95="", "", IF(M95="Draw", 0, IF(M95="win", L95, -1*K95)))</f>
        <v/>
      </c>
      <c r="O95" s="6" t="str">
        <f t="shared" si="1"/>
        <v/>
      </c>
      <c r="P95" s="7">
        <f>IF(M94="", P94, IF(C95="", P94, P94+LOOKUP(2, 1/($N$2:$N94&lt;&gt;""),$N$2:$N94) +Q95))</f>
        <v>141.32499999999999</v>
      </c>
      <c r="R95" t="b">
        <f>AND(ISNUMBER(FIND($E95,Tables!$I$2)), ISNUMBER(FIND($D95,Tables!$J$2)), $E95&lt;&gt;"")</f>
        <v>0</v>
      </c>
    </row>
    <row r="96" spans="1:18" x14ac:dyDescent="0.25">
      <c r="A96">
        <f>IF(AND(B96="", D96&lt;&gt;""), A95, A95+1)</f>
        <v>90</v>
      </c>
      <c r="B96" s="4"/>
      <c r="I96" s="8"/>
      <c r="J96" s="5" t="str">
        <f>IF(I96="", "", IF(I96&gt;0, I96/100 +1, -100/I96 +1))</f>
        <v/>
      </c>
      <c r="K96" s="3"/>
      <c r="L96" s="3"/>
      <c r="N96" s="3" t="str">
        <f>IF(M96="", "", IF(M96="Draw", 0, IF(M96="win", L96, -1*K96)))</f>
        <v/>
      </c>
      <c r="O96" s="6" t="str">
        <f t="shared" si="1"/>
        <v/>
      </c>
      <c r="P96" s="7">
        <f>IF(M95="", P95, IF(C96="", P95, P95+LOOKUP(2, 1/($N$2:$N95&lt;&gt;""),$N$2:$N95) +Q96))</f>
        <v>141.32499999999999</v>
      </c>
      <c r="R96" t="b">
        <f>AND(ISNUMBER(FIND($E96,Tables!$I$2)), ISNUMBER(FIND($D96,Tables!$J$2)), $E96&lt;&gt;"")</f>
        <v>0</v>
      </c>
    </row>
    <row r="97" spans="1:18" x14ac:dyDescent="0.25">
      <c r="A97">
        <f>IF(AND(B97="", D97&lt;&gt;""), A96, A96+1)</f>
        <v>91</v>
      </c>
      <c r="B97" s="4"/>
      <c r="I97" s="8"/>
      <c r="J97" s="5" t="str">
        <f>IF(I97="", "", IF(I97&gt;0, I97/100 +1, -100/I97 +1))</f>
        <v/>
      </c>
      <c r="K97" s="3"/>
      <c r="L97" s="3"/>
      <c r="N97" s="3" t="str">
        <f>IF(M97="", "", IF(M97="Draw", 0, IF(M97="win", L97, -1*K97)))</f>
        <v/>
      </c>
      <c r="O97" s="6" t="str">
        <f t="shared" si="1"/>
        <v/>
      </c>
      <c r="P97" s="7">
        <f>IF(M96="", P96, IF(C97="", P96, P96+LOOKUP(2, 1/($N$2:$N96&lt;&gt;""),$N$2:$N96) +Q97))</f>
        <v>141.32499999999999</v>
      </c>
      <c r="R97" t="b">
        <f>AND(ISNUMBER(FIND($E97,Tables!$I$2)), ISNUMBER(FIND($D97,Tables!$J$2)), $E97&lt;&gt;"")</f>
        <v>0</v>
      </c>
    </row>
    <row r="98" spans="1:18" x14ac:dyDescent="0.25">
      <c r="A98">
        <f>IF(AND(B98="", D98&lt;&gt;""), A97, A97+1)</f>
        <v>92</v>
      </c>
      <c r="B98" s="4"/>
      <c r="I98" s="8"/>
      <c r="J98" s="5" t="str">
        <f>IF(I98="", "", IF(I98&gt;0, I98/100 +1, -100/I98 +1))</f>
        <v/>
      </c>
      <c r="K98" s="3"/>
      <c r="L98" s="3"/>
      <c r="N98" s="3" t="str">
        <f>IF(M98="", "", IF(M98="Draw", 0, IF(M98="win", L98, -1*K98)))</f>
        <v/>
      </c>
      <c r="O98" s="6" t="str">
        <f t="shared" si="1"/>
        <v/>
      </c>
      <c r="P98" s="7">
        <f>IF(M97="", P97, IF(C98="", P97, P97+LOOKUP(2, 1/($N$2:$N97&lt;&gt;""),$N$2:$N97) +Q98))</f>
        <v>141.32499999999999</v>
      </c>
      <c r="R98" t="b">
        <f>AND(ISNUMBER(FIND($E98,Tables!$I$2)), ISNUMBER(FIND($D98,Tables!$J$2)), $E98&lt;&gt;"")</f>
        <v>0</v>
      </c>
    </row>
    <row r="99" spans="1:18" x14ac:dyDescent="0.25">
      <c r="A99">
        <f>IF(AND(B99="", D99&lt;&gt;""), A98, A98+1)</f>
        <v>93</v>
      </c>
      <c r="B99" s="4"/>
      <c r="I99" s="8"/>
      <c r="J99" s="5" t="str">
        <f>IF(I99="", "", IF(I99&gt;0, I99/100 +1, -100/I99 +1))</f>
        <v/>
      </c>
      <c r="K99" s="3"/>
      <c r="L99" s="3"/>
      <c r="N99" s="3" t="str">
        <f>IF(M99="", "", IF(M99="Draw", 0, IF(M99="win", L99, -1*K99)))</f>
        <v/>
      </c>
      <c r="O99" s="6" t="str">
        <f t="shared" si="1"/>
        <v/>
      </c>
      <c r="P99" s="7">
        <f>IF(M98="", P98, IF(C99="", P98, P98+LOOKUP(2, 1/($N$2:$N98&lt;&gt;""),$N$2:$N98) +Q99))</f>
        <v>141.32499999999999</v>
      </c>
      <c r="R99" t="b">
        <f>AND(ISNUMBER(FIND($E99,Tables!$I$2)), ISNUMBER(FIND($D99,Tables!$J$2)), $E99&lt;&gt;"")</f>
        <v>0</v>
      </c>
    </row>
    <row r="100" spans="1:18" x14ac:dyDescent="0.25">
      <c r="A100">
        <f>IF(AND(B100="", D100&lt;&gt;""), A99, A99+1)</f>
        <v>94</v>
      </c>
      <c r="B100" s="4"/>
      <c r="I100" s="8"/>
      <c r="J100" s="5" t="str">
        <f>IF(I100="", "", IF(I100&gt;0, I100/100 +1, -100/I100 +1))</f>
        <v/>
      </c>
      <c r="K100" s="3"/>
      <c r="L100" s="3"/>
      <c r="N100" s="3" t="str">
        <f>IF(M100="", "", IF(M100="Draw", 0, IF(M100="win", L100, -1*K100)))</f>
        <v/>
      </c>
      <c r="O100" s="6" t="str">
        <f t="shared" si="1"/>
        <v/>
      </c>
      <c r="P100" s="7">
        <f>IF(M99="", P99, IF(C100="", P99, P99+LOOKUP(2, 1/($N$2:$N99&lt;&gt;""),$N$2:$N99) +Q100))</f>
        <v>141.32499999999999</v>
      </c>
      <c r="R100" t="b">
        <f>AND(ISNUMBER(FIND($E100,Tables!$I$2)), ISNUMBER(FIND($D100,Tables!$J$2)), $E100&lt;&gt;"")</f>
        <v>0</v>
      </c>
    </row>
    <row r="101" spans="1:18" x14ac:dyDescent="0.25">
      <c r="A101">
        <f>IF(AND(B101="", D101&lt;&gt;""), A100, A100+1)</f>
        <v>95</v>
      </c>
      <c r="B101" s="4"/>
      <c r="I101" s="8"/>
      <c r="J101" s="5" t="str">
        <f>IF(I101="", "", IF(I101&gt;0, I101/100 +1, -100/I101 +1))</f>
        <v/>
      </c>
      <c r="K101" s="3"/>
      <c r="L101" s="3"/>
      <c r="N101" s="3" t="str">
        <f>IF(M101="", "", IF(M101="Draw", 0, IF(M101="win", L101, -1*K101)))</f>
        <v/>
      </c>
      <c r="O101" s="6" t="str">
        <f t="shared" si="1"/>
        <v/>
      </c>
      <c r="P101" s="7">
        <f>IF(M100="", P100, IF(C101="", P100, P100+LOOKUP(2, 1/($N$2:$N100&lt;&gt;""),$N$2:$N100) +Q101))</f>
        <v>141.32499999999999</v>
      </c>
      <c r="R101" t="b">
        <f>AND(ISNUMBER(FIND($E101,Tables!$I$2)), ISNUMBER(FIND($D101,Tables!$J$2)), $E101&lt;&gt;"")</f>
        <v>0</v>
      </c>
    </row>
    <row r="102" spans="1:18" x14ac:dyDescent="0.25">
      <c r="A102">
        <f>IF(AND(B102="", D102&lt;&gt;""), A101, A101+1)</f>
        <v>96</v>
      </c>
      <c r="B102" s="4"/>
      <c r="I102" s="8"/>
      <c r="J102" s="5" t="str">
        <f>IF(I102="", "", IF(I102&gt;0, I102/100 +1, -100/I102 +1))</f>
        <v/>
      </c>
      <c r="K102" s="3"/>
      <c r="L102" s="3"/>
      <c r="N102" s="3" t="str">
        <f>IF(M102="", "", IF(M102="Draw", 0, IF(M102="win", L102, -1*K102)))</f>
        <v/>
      </c>
      <c r="O102" s="6" t="str">
        <f t="shared" si="1"/>
        <v/>
      </c>
      <c r="P102" s="7">
        <f>IF(M101="", P101, IF(C102="", P101, P101+LOOKUP(2, 1/($N$2:$N101&lt;&gt;""),$N$2:$N101) +Q102))</f>
        <v>141.32499999999999</v>
      </c>
      <c r="R102" t="b">
        <f>AND(ISNUMBER(FIND($E102,Tables!$I$2)), ISNUMBER(FIND($D102,Tables!$J$2)), $E102&lt;&gt;"")</f>
        <v>0</v>
      </c>
    </row>
    <row r="103" spans="1:18" x14ac:dyDescent="0.25">
      <c r="A103">
        <f>IF(AND(B103="", D103&lt;&gt;""), A102, A102+1)</f>
        <v>97</v>
      </c>
      <c r="B103" s="4"/>
      <c r="I103" s="8"/>
      <c r="J103" s="5" t="str">
        <f>IF(I103="", "", IF(I103&gt;0, I103/100 +1, -100/I103 +1))</f>
        <v/>
      </c>
      <c r="K103" s="3"/>
      <c r="L103" s="3"/>
      <c r="N103" s="3" t="str">
        <f>IF(M103="", "", IF(M103="Draw", 0, IF(M103="win", L103, -1*K103)))</f>
        <v/>
      </c>
      <c r="O103" s="6" t="str">
        <f t="shared" si="1"/>
        <v/>
      </c>
      <c r="P103" s="7">
        <f>IF(M102="", P102, IF(C103="", P102, P102+LOOKUP(2, 1/($N$2:$N102&lt;&gt;""),$N$2:$N102) +Q103))</f>
        <v>141.32499999999999</v>
      </c>
      <c r="R103" t="b">
        <f>AND(ISNUMBER(FIND($E103,Tables!$I$2)), ISNUMBER(FIND($D103,Tables!$J$2)), $E103&lt;&gt;"")</f>
        <v>0</v>
      </c>
    </row>
    <row r="104" spans="1:18" x14ac:dyDescent="0.25">
      <c r="A104">
        <f>IF(AND(B104="", D104&lt;&gt;""), A103, A103+1)</f>
        <v>98</v>
      </c>
      <c r="B104" s="4"/>
      <c r="I104" s="8"/>
      <c r="J104" s="5" t="str">
        <f>IF(I104="", "", IF(I104&gt;0, I104/100 +1, -100/I104 +1))</f>
        <v/>
      </c>
      <c r="K104" s="3"/>
      <c r="L104" s="3"/>
      <c r="N104" s="3" t="str">
        <f>IF(M104="", "", IF(M104="Draw", 0, IF(M104="win", L104, -1*K104)))</f>
        <v/>
      </c>
      <c r="O104" s="6" t="str">
        <f t="shared" si="1"/>
        <v/>
      </c>
      <c r="P104" s="7">
        <f>IF(M103="", P103, IF(C104="", P103, P103+LOOKUP(2, 1/($N$2:$N103&lt;&gt;""),$N$2:$N103) +Q104))</f>
        <v>141.32499999999999</v>
      </c>
      <c r="R104" t="b">
        <f>AND(ISNUMBER(FIND($E104,Tables!$I$2)), ISNUMBER(FIND($D104,Tables!$J$2)), $E104&lt;&gt;"")</f>
        <v>0</v>
      </c>
    </row>
    <row r="105" spans="1:18" x14ac:dyDescent="0.25">
      <c r="A105">
        <f>IF(AND(B105="", D105&lt;&gt;""), A104, A104+1)</f>
        <v>99</v>
      </c>
      <c r="B105" s="4"/>
      <c r="I105" s="8"/>
      <c r="J105" s="5" t="str">
        <f>IF(I105="", "", IF(I105&gt;0, I105/100 +1, -100/I105 +1))</f>
        <v/>
      </c>
      <c r="K105" s="3"/>
      <c r="L105" s="3"/>
      <c r="N105" s="3" t="str">
        <f>IF(M105="", "", IF(M105="Draw", 0, IF(M105="win", L105, -1*K105)))</f>
        <v/>
      </c>
      <c r="O105" s="6" t="str">
        <f t="shared" si="1"/>
        <v/>
      </c>
      <c r="P105" s="7">
        <f>IF(M104="", P104, IF(C105="", P104, P104+LOOKUP(2, 1/($N$2:$N104&lt;&gt;""),$N$2:$N104) +Q105))</f>
        <v>141.32499999999999</v>
      </c>
      <c r="R105" t="b">
        <f>AND(ISNUMBER(FIND($E105,Tables!$I$2)), ISNUMBER(FIND($D105,Tables!$J$2)), $E105&lt;&gt;"")</f>
        <v>0</v>
      </c>
    </row>
    <row r="106" spans="1:18" x14ac:dyDescent="0.25">
      <c r="A106">
        <f>IF(AND(B106="", D106&lt;&gt;""), A105, A105+1)</f>
        <v>100</v>
      </c>
      <c r="B106" s="4"/>
      <c r="I106" s="8"/>
      <c r="J106" s="5" t="str">
        <f>IF(I106="", "", IF(I106&gt;0, I106/100 +1, -100/I106 +1))</f>
        <v/>
      </c>
      <c r="K106" s="3"/>
      <c r="L106" s="3"/>
      <c r="N106" s="3" t="str">
        <f>IF(M106="", "", IF(M106="Draw", 0, IF(M106="win", L106, -1*K106)))</f>
        <v/>
      </c>
      <c r="O106" s="6" t="str">
        <f t="shared" si="1"/>
        <v/>
      </c>
      <c r="P106" s="7">
        <f>IF(M105="", P105, IF(C106="", P105, P105+LOOKUP(2, 1/($N$2:$N105&lt;&gt;""),$N$2:$N105) +Q106))</f>
        <v>141.32499999999999</v>
      </c>
      <c r="R106" t="b">
        <f>AND(ISNUMBER(FIND($E106,Tables!$I$2)), ISNUMBER(FIND($D106,Tables!$J$2)), $E106&lt;&gt;"")</f>
        <v>0</v>
      </c>
    </row>
    <row r="107" spans="1:18" x14ac:dyDescent="0.25">
      <c r="A107">
        <f>IF(AND(B107="", D107&lt;&gt;""), A106, A106+1)</f>
        <v>101</v>
      </c>
      <c r="B107" s="4"/>
      <c r="I107" s="8"/>
      <c r="J107" s="5" t="str">
        <f>IF(I107="", "", IF(I107&gt;0, I107/100 +1, -100/I107 +1))</f>
        <v/>
      </c>
      <c r="K107" s="3"/>
      <c r="L107" s="3"/>
      <c r="N107" s="3" t="str">
        <f>IF(M107="", "", IF(M107="Draw", 0, IF(M107="win", L107, -1*K107)))</f>
        <v/>
      </c>
      <c r="O107" s="6" t="str">
        <f t="shared" si="1"/>
        <v/>
      </c>
      <c r="P107" s="7">
        <f>IF(M106="", P106, IF(C107="", P106, P106+LOOKUP(2, 1/($N$2:$N106&lt;&gt;""),$N$2:$N106) +Q107))</f>
        <v>141.32499999999999</v>
      </c>
      <c r="R107" t="b">
        <f>AND(ISNUMBER(FIND($E107,Tables!$I$2)), ISNUMBER(FIND($D107,Tables!$J$2)), $E107&lt;&gt;"")</f>
        <v>0</v>
      </c>
    </row>
    <row r="108" spans="1:18" x14ac:dyDescent="0.25">
      <c r="A108">
        <f>IF(AND(B108="", D108&lt;&gt;""), A107, A107+1)</f>
        <v>102</v>
      </c>
      <c r="B108" s="4"/>
      <c r="I108" s="8"/>
      <c r="J108" s="5" t="str">
        <f>IF(I108="", "", IF(I108&gt;0, I108/100 +1, -100/I108 +1))</f>
        <v/>
      </c>
      <c r="K108" s="3"/>
      <c r="L108" s="3"/>
      <c r="N108" s="3" t="str">
        <f>IF(M108="", "", IF(M108="Draw", 0, IF(M108="win", L108, -1*K108)))</f>
        <v/>
      </c>
      <c r="O108" s="6" t="str">
        <f t="shared" si="1"/>
        <v/>
      </c>
      <c r="P108" s="7">
        <f>IF(M107="", P107, IF(C108="", P107, P107+LOOKUP(2, 1/($N$2:$N107&lt;&gt;""),$N$2:$N107) +Q108))</f>
        <v>141.32499999999999</v>
      </c>
      <c r="R108" t="b">
        <f>AND(ISNUMBER(FIND($E108,Tables!$I$2)), ISNUMBER(FIND($D108,Tables!$J$2)), $E108&lt;&gt;"")</f>
        <v>0</v>
      </c>
    </row>
    <row r="109" spans="1:18" x14ac:dyDescent="0.25">
      <c r="A109">
        <f>IF(AND(B109="", D109&lt;&gt;""), A108, A108+1)</f>
        <v>103</v>
      </c>
      <c r="B109" s="4"/>
      <c r="I109" s="8"/>
      <c r="J109" s="5" t="str">
        <f>IF(I109="", "", IF(I109&gt;0, I109/100 +1, -100/I109 +1))</f>
        <v/>
      </c>
      <c r="K109" s="3"/>
      <c r="L109" s="3"/>
      <c r="N109" s="3" t="str">
        <f>IF(M109="", "", IF(M109="Draw", 0, IF(M109="win", L109, -1*K109)))</f>
        <v/>
      </c>
      <c r="O109" s="6" t="str">
        <f t="shared" si="1"/>
        <v/>
      </c>
      <c r="P109" s="7">
        <f>IF(M108="", P108, IF(C109="", P108, P108+LOOKUP(2, 1/($N$2:$N108&lt;&gt;""),$N$2:$N108) +Q109))</f>
        <v>141.32499999999999</v>
      </c>
      <c r="R109" t="b">
        <f>AND(ISNUMBER(FIND($E109,Tables!$I$2)), ISNUMBER(FIND($D109,Tables!$J$2)), $E109&lt;&gt;"")</f>
        <v>0</v>
      </c>
    </row>
    <row r="110" spans="1:18" x14ac:dyDescent="0.25">
      <c r="A110">
        <f>IF(AND(B110="", D110&lt;&gt;""), A109, A109+1)</f>
        <v>104</v>
      </c>
      <c r="B110" s="4"/>
      <c r="I110" s="8"/>
      <c r="J110" s="5" t="str">
        <f>IF(I110="", "", IF(I110&gt;0, I110/100 +1, -100/I110 +1))</f>
        <v/>
      </c>
      <c r="K110" s="3"/>
      <c r="L110" s="3"/>
      <c r="N110" s="3" t="str">
        <f>IF(M110="", "", IF(M110="Draw", 0, IF(M110="win", L110, -1*K110)))</f>
        <v/>
      </c>
      <c r="O110" s="6" t="str">
        <f t="shared" si="1"/>
        <v/>
      </c>
      <c r="P110" s="7">
        <f>IF(M109="", P109, IF(C110="", P109, P109+LOOKUP(2, 1/($N$2:$N109&lt;&gt;""),$N$2:$N109) +Q110))</f>
        <v>141.32499999999999</v>
      </c>
      <c r="R110" t="b">
        <f>AND(ISNUMBER(FIND($E110,Tables!$I$2)), ISNUMBER(FIND($D110,Tables!$J$2)), $E110&lt;&gt;"")</f>
        <v>0</v>
      </c>
    </row>
    <row r="111" spans="1:18" x14ac:dyDescent="0.25">
      <c r="A111">
        <f>IF(AND(B111="", D111&lt;&gt;""), A110, A110+1)</f>
        <v>105</v>
      </c>
      <c r="B111" s="4"/>
      <c r="I111" s="8"/>
      <c r="J111" s="5" t="str">
        <f>IF(I111="", "", IF(I111&gt;0, I111/100 +1, -100/I111 +1))</f>
        <v/>
      </c>
      <c r="K111" s="3"/>
      <c r="L111" s="3"/>
      <c r="N111" s="3" t="str">
        <f>IF(M111="", "", IF(M111="Draw", 0, IF(M111="win", L111, -1*K111)))</f>
        <v/>
      </c>
      <c r="O111" s="6" t="str">
        <f t="shared" si="1"/>
        <v/>
      </c>
      <c r="P111" s="7">
        <f>IF(M110="", P110, IF(C111="", P110, P110+LOOKUP(2, 1/($N$2:$N110&lt;&gt;""),$N$2:$N110) +Q111))</f>
        <v>141.32499999999999</v>
      </c>
      <c r="R111" t="b">
        <f>AND(ISNUMBER(FIND($E111,Tables!$I$2)), ISNUMBER(FIND($D111,Tables!$J$2)), $E111&lt;&gt;"")</f>
        <v>0</v>
      </c>
    </row>
    <row r="112" spans="1:18" x14ac:dyDescent="0.25">
      <c r="A112">
        <f>IF(AND(B112="", D112&lt;&gt;""), A111, A111+1)</f>
        <v>106</v>
      </c>
      <c r="B112" s="4"/>
      <c r="I112" s="8"/>
      <c r="J112" s="5" t="str">
        <f>IF(I112="", "", IF(I112&gt;0, I112/100 +1, -100/I112 +1))</f>
        <v/>
      </c>
      <c r="K112" s="3"/>
      <c r="L112" s="3"/>
      <c r="N112" s="3" t="str">
        <f>IF(M112="", "", IF(M112="Draw", 0, IF(M112="win", L112, -1*K112)))</f>
        <v/>
      </c>
      <c r="O112" s="6" t="str">
        <f t="shared" si="1"/>
        <v/>
      </c>
      <c r="P112" s="7">
        <f>IF(M111="", P111, IF(C112="", P111, P111+LOOKUP(2, 1/($N$2:$N111&lt;&gt;""),$N$2:$N111) +Q112))</f>
        <v>141.32499999999999</v>
      </c>
      <c r="R112" t="b">
        <f>AND(ISNUMBER(FIND($E112,Tables!$I$2)), ISNUMBER(FIND($D112,Tables!$J$2)), $E112&lt;&gt;"")</f>
        <v>0</v>
      </c>
    </row>
    <row r="113" spans="1:18" x14ac:dyDescent="0.25">
      <c r="A113">
        <f>IF(AND(B113="", D113&lt;&gt;""), A112, A112+1)</f>
        <v>107</v>
      </c>
      <c r="B113" s="4"/>
      <c r="I113" s="8"/>
      <c r="J113" s="5" t="str">
        <f>IF(I113="", "", IF(I113&gt;0, I113/100 +1, -100/I113 +1))</f>
        <v/>
      </c>
      <c r="K113" s="3"/>
      <c r="L113" s="3"/>
      <c r="N113" s="3" t="str">
        <f>IF(M113="", "", IF(M113="Draw", 0, IF(M113="win", L113, -1*K113)))</f>
        <v/>
      </c>
      <c r="O113" s="6" t="str">
        <f t="shared" si="1"/>
        <v/>
      </c>
      <c r="P113" s="7">
        <f>IF(M112="", P112, IF(C113="", P112, P112+LOOKUP(2, 1/($N$2:$N112&lt;&gt;""),$N$2:$N112) +Q113))</f>
        <v>141.32499999999999</v>
      </c>
      <c r="R113" t="b">
        <f>AND(ISNUMBER(FIND($E113,Tables!$I$2)), ISNUMBER(FIND($D113,Tables!$J$2)), $E113&lt;&gt;"")</f>
        <v>0</v>
      </c>
    </row>
    <row r="114" spans="1:18" x14ac:dyDescent="0.25">
      <c r="A114">
        <f>IF(AND(B114="", D114&lt;&gt;""), A113, A113+1)</f>
        <v>108</v>
      </c>
      <c r="B114" s="4"/>
      <c r="I114" s="8"/>
      <c r="J114" s="5" t="str">
        <f>IF(I114="", "", IF(I114&gt;0, I114/100 +1, -100/I114 +1))</f>
        <v/>
      </c>
      <c r="K114" s="3"/>
      <c r="L114" s="3"/>
      <c r="N114" s="3" t="str">
        <f>IF(M114="", "", IF(M114="Draw", 0, IF(M114="win", L114, -1*K114)))</f>
        <v/>
      </c>
      <c r="O114" s="6" t="str">
        <f t="shared" si="1"/>
        <v/>
      </c>
      <c r="P114" s="7">
        <f>IF(M113="", P113, IF(C114="", P113, P113+LOOKUP(2, 1/($N$2:$N113&lt;&gt;""),$N$2:$N113) +Q114))</f>
        <v>141.32499999999999</v>
      </c>
      <c r="R114" t="b">
        <f>AND(ISNUMBER(FIND($E114,Tables!$I$2)), ISNUMBER(FIND($D114,Tables!$J$2)), $E114&lt;&gt;"")</f>
        <v>0</v>
      </c>
    </row>
    <row r="115" spans="1:18" x14ac:dyDescent="0.25">
      <c r="A115">
        <f>IF(AND(B115="", D115&lt;&gt;""), A114, A114+1)</f>
        <v>109</v>
      </c>
      <c r="B115" s="4"/>
      <c r="I115" s="8"/>
      <c r="J115" s="5" t="str">
        <f>IF(I115="", "", IF(I115&gt;0, I115/100 +1, -100/I115 +1))</f>
        <v/>
      </c>
      <c r="K115" s="3"/>
      <c r="L115" s="3"/>
      <c r="N115" s="3" t="str">
        <f>IF(M115="", "", IF(M115="Draw", 0, IF(M115="win", L115, -1*K115)))</f>
        <v/>
      </c>
      <c r="O115" s="6" t="str">
        <f t="shared" si="1"/>
        <v/>
      </c>
      <c r="P115" s="7">
        <f>IF(M114="", P114, IF(C115="", P114, P114+LOOKUP(2, 1/($N$2:$N114&lt;&gt;""),$N$2:$N114) +Q115))</f>
        <v>141.32499999999999</v>
      </c>
      <c r="R115" t="b">
        <f>AND(ISNUMBER(FIND($E115,Tables!$I$2)), ISNUMBER(FIND($D115,Tables!$J$2)), $E115&lt;&gt;"")</f>
        <v>0</v>
      </c>
    </row>
    <row r="116" spans="1:18" x14ac:dyDescent="0.25">
      <c r="A116">
        <f>IF(AND(B116="", D116&lt;&gt;""), A115, A115+1)</f>
        <v>110</v>
      </c>
      <c r="B116" s="4"/>
      <c r="I116" s="8"/>
      <c r="J116" s="5" t="str">
        <f>IF(I116="", "", IF(I116&gt;0, I116/100 +1, -100/I116 +1))</f>
        <v/>
      </c>
      <c r="K116" s="3"/>
      <c r="L116" s="3"/>
      <c r="N116" s="3" t="str">
        <f>IF(M116="", "", IF(M116="Draw", 0, IF(M116="win", L116, -1*K116)))</f>
        <v/>
      </c>
      <c r="O116" s="6" t="str">
        <f t="shared" si="1"/>
        <v/>
      </c>
      <c r="P116" s="7">
        <f>IF(M115="", P115, IF(C116="", P115, P115+LOOKUP(2, 1/($N$2:$N115&lt;&gt;""),$N$2:$N115) +Q116))</f>
        <v>141.32499999999999</v>
      </c>
      <c r="R116" t="b">
        <f>AND(ISNUMBER(FIND($E116,Tables!$I$2)), ISNUMBER(FIND($D116,Tables!$J$2)), $E116&lt;&gt;"")</f>
        <v>0</v>
      </c>
    </row>
    <row r="117" spans="1:18" x14ac:dyDescent="0.25">
      <c r="A117">
        <f>IF(AND(B117="", D117&lt;&gt;""), A116, A116+1)</f>
        <v>111</v>
      </c>
      <c r="B117" s="4"/>
      <c r="I117" s="8"/>
      <c r="J117" s="5" t="str">
        <f>IF(I117="", "", IF(I117&gt;0, I117/100 +1, -100/I117 +1))</f>
        <v/>
      </c>
      <c r="K117" s="3"/>
      <c r="L117" s="3"/>
      <c r="N117" s="3" t="str">
        <f>IF(M117="", "", IF(M117="Draw", 0, IF(M117="win", L117, -1*K117)))</f>
        <v/>
      </c>
      <c r="O117" s="6" t="str">
        <f t="shared" si="1"/>
        <v/>
      </c>
      <c r="P117" s="7">
        <f>IF(M116="", P116, IF(C117="", P116, P116+LOOKUP(2, 1/($N$2:$N116&lt;&gt;""),$N$2:$N116) +Q117))</f>
        <v>141.32499999999999</v>
      </c>
      <c r="R117" t="b">
        <f>AND(ISNUMBER(FIND($E117,Tables!$I$2)), ISNUMBER(FIND($D117,Tables!$J$2)), $E117&lt;&gt;"")</f>
        <v>0</v>
      </c>
    </row>
    <row r="118" spans="1:18" x14ac:dyDescent="0.25">
      <c r="A118">
        <f>IF(AND(B118="", D118&lt;&gt;""), A117, A117+1)</f>
        <v>112</v>
      </c>
      <c r="B118" s="4"/>
      <c r="I118" s="8"/>
      <c r="J118" s="5" t="str">
        <f>IF(I118="", "", IF(I118&gt;0, I118/100 +1, -100/I118 +1))</f>
        <v/>
      </c>
      <c r="K118" s="3"/>
      <c r="L118" s="3"/>
      <c r="N118" s="3" t="str">
        <f>IF(M118="", "", IF(M118="Draw", 0, IF(M118="win", L118, -1*K118)))</f>
        <v/>
      </c>
      <c r="O118" s="6" t="str">
        <f t="shared" si="1"/>
        <v/>
      </c>
      <c r="P118" s="7">
        <f>IF(M117="", P117, IF(C118="", P117, P117+LOOKUP(2, 1/($N$2:$N117&lt;&gt;""),$N$2:$N117) +Q118))</f>
        <v>141.32499999999999</v>
      </c>
      <c r="R118" t="b">
        <f>AND(ISNUMBER(FIND($E118,Tables!$I$2)), ISNUMBER(FIND($D118,Tables!$J$2)), $E118&lt;&gt;"")</f>
        <v>0</v>
      </c>
    </row>
    <row r="119" spans="1:18" x14ac:dyDescent="0.25">
      <c r="A119">
        <f>IF(AND(B119="", D119&lt;&gt;""), A118, A118+1)</f>
        <v>113</v>
      </c>
      <c r="B119" s="4"/>
      <c r="I119" s="8"/>
      <c r="J119" s="5" t="str">
        <f>IF(I119="", "", IF(I119&gt;0, I119/100 +1, -100/I119 +1))</f>
        <v/>
      </c>
      <c r="K119" s="3"/>
      <c r="L119" s="3"/>
      <c r="N119" s="3" t="str">
        <f>IF(M119="", "", IF(M119="Draw", 0, IF(M119="win", L119, -1*K119)))</f>
        <v/>
      </c>
      <c r="O119" s="6" t="str">
        <f t="shared" si="1"/>
        <v/>
      </c>
      <c r="P119" s="7">
        <f>IF(M118="", P118, IF(C119="", P118, P118+LOOKUP(2, 1/($N$2:$N118&lt;&gt;""),$N$2:$N118) +Q119))</f>
        <v>141.32499999999999</v>
      </c>
      <c r="R119" t="b">
        <f>AND(ISNUMBER(FIND($E119,Tables!$I$2)), ISNUMBER(FIND($D119,Tables!$J$2)), $E119&lt;&gt;"")</f>
        <v>0</v>
      </c>
    </row>
    <row r="120" spans="1:18" x14ac:dyDescent="0.25">
      <c r="A120">
        <f>IF(AND(B120="", D120&lt;&gt;""), A119, A119+1)</f>
        <v>114</v>
      </c>
      <c r="B120" s="4"/>
      <c r="I120" s="8"/>
      <c r="J120" s="5" t="str">
        <f>IF(I120="", "", IF(I120&gt;0, I120/100 +1, -100/I120 +1))</f>
        <v/>
      </c>
      <c r="K120" s="3"/>
      <c r="L120" s="3"/>
      <c r="N120" s="3" t="str">
        <f>IF(M120="", "", IF(M120="Draw", 0, IF(M120="win", L120, -1*K120)))</f>
        <v/>
      </c>
      <c r="O120" s="6" t="str">
        <f t="shared" si="1"/>
        <v/>
      </c>
      <c r="P120" s="7">
        <f>IF(M119="", P119, IF(C120="", P119, P119+LOOKUP(2, 1/($N$2:$N119&lt;&gt;""),$N$2:$N119) +Q120))</f>
        <v>141.32499999999999</v>
      </c>
      <c r="R120" t="b">
        <f>AND(ISNUMBER(FIND($E120,Tables!$I$2)), ISNUMBER(FIND($D120,Tables!$J$2)), $E120&lt;&gt;"")</f>
        <v>0</v>
      </c>
    </row>
    <row r="121" spans="1:18" x14ac:dyDescent="0.25">
      <c r="A121">
        <f>IF(AND(B121="", D121&lt;&gt;""), A120, A120+1)</f>
        <v>115</v>
      </c>
      <c r="B121" s="4"/>
      <c r="I121" s="8"/>
      <c r="J121" s="5" t="str">
        <f>IF(I121="", "", IF(I121&gt;0, I121/100 +1, -100/I121 +1))</f>
        <v/>
      </c>
      <c r="K121" s="3"/>
      <c r="L121" s="3"/>
      <c r="N121" s="3" t="str">
        <f>IF(M121="", "", IF(M121="Draw", 0, IF(M121="win", L121, -1*K121)))</f>
        <v/>
      </c>
      <c r="O121" s="6" t="str">
        <f t="shared" si="1"/>
        <v/>
      </c>
      <c r="P121" s="7">
        <f>IF(M120="", P120, IF(C121="", P120, P120+LOOKUP(2, 1/($N$2:$N120&lt;&gt;""),$N$2:$N120) +Q121))</f>
        <v>141.32499999999999</v>
      </c>
      <c r="R121" t="b">
        <f>AND(ISNUMBER(FIND($E121,Tables!$I$2)), ISNUMBER(FIND($D121,Tables!$J$2)), $E121&lt;&gt;"")</f>
        <v>0</v>
      </c>
    </row>
    <row r="122" spans="1:18" x14ac:dyDescent="0.25">
      <c r="A122">
        <f>IF(AND(B122="", D122&lt;&gt;""), A121, A121+1)</f>
        <v>116</v>
      </c>
      <c r="B122" s="4"/>
      <c r="I122" s="8"/>
      <c r="J122" s="5" t="str">
        <f>IF(I122="", "", IF(I122&gt;0, I122/100 +1, -100/I122 +1))</f>
        <v/>
      </c>
      <c r="K122" s="3"/>
      <c r="L122" s="3"/>
      <c r="N122" s="3" t="str">
        <f>IF(M122="", "", IF(M122="Draw", 0, IF(M122="win", L122, -1*K122)))</f>
        <v/>
      </c>
      <c r="O122" s="6" t="str">
        <f t="shared" si="1"/>
        <v/>
      </c>
      <c r="P122" s="7">
        <f>IF(M121="", P121, IF(C122="", P121, P121+LOOKUP(2, 1/($N$2:$N121&lt;&gt;""),$N$2:$N121) +Q122))</f>
        <v>141.32499999999999</v>
      </c>
      <c r="R122" t="b">
        <f>AND(ISNUMBER(FIND($E122,Tables!$I$2)), ISNUMBER(FIND($D122,Tables!$J$2)), $E122&lt;&gt;"")</f>
        <v>0</v>
      </c>
    </row>
    <row r="123" spans="1:18" x14ac:dyDescent="0.25">
      <c r="A123">
        <f>IF(AND(B123="", D123&lt;&gt;""), A122, A122+1)</f>
        <v>117</v>
      </c>
      <c r="B123" s="4"/>
      <c r="I123" s="8"/>
      <c r="J123" s="5" t="str">
        <f>IF(I123="", "", IF(I123&gt;0, I123/100 +1, -100/I123 +1))</f>
        <v/>
      </c>
      <c r="K123" s="3"/>
      <c r="L123" s="3"/>
      <c r="N123" s="3" t="str">
        <f>IF(M123="", "", IF(M123="Draw", 0, IF(M123="win", L123, -1*K123)))</f>
        <v/>
      </c>
      <c r="O123" s="6" t="str">
        <f t="shared" si="1"/>
        <v/>
      </c>
      <c r="P123" s="7">
        <f>IF(M122="", P122, IF(C123="", P122, P122+LOOKUP(2, 1/($N$2:$N122&lt;&gt;""),$N$2:$N122) +Q123))</f>
        <v>141.32499999999999</v>
      </c>
      <c r="R123" t="b">
        <f>AND(ISNUMBER(FIND($E123,Tables!$I$2)), ISNUMBER(FIND($D123,Tables!$J$2)), $E123&lt;&gt;"")</f>
        <v>0</v>
      </c>
    </row>
    <row r="124" spans="1:18" x14ac:dyDescent="0.25">
      <c r="A124">
        <f>IF(AND(B124="", D124&lt;&gt;""), A123, A123+1)</f>
        <v>118</v>
      </c>
      <c r="B124" s="4"/>
      <c r="I124" s="8"/>
      <c r="J124" s="5" t="str">
        <f>IF(I124="", "", IF(I124&gt;0, I124/100 +1, -100/I124 +1))</f>
        <v/>
      </c>
      <c r="K124" s="3"/>
      <c r="L124" s="3"/>
      <c r="N124" s="3" t="str">
        <f>IF(M124="", "", IF(M124="Draw", 0, IF(M124="win", L124, -1*K124)))</f>
        <v/>
      </c>
      <c r="O124" s="6" t="str">
        <f t="shared" si="1"/>
        <v/>
      </c>
      <c r="P124" s="7">
        <f>IF(M123="", P123, IF(C124="", P123, P123+LOOKUP(2, 1/($N$2:$N123&lt;&gt;""),$N$2:$N123) +Q124))</f>
        <v>141.32499999999999</v>
      </c>
      <c r="R124" t="b">
        <f>AND(ISNUMBER(FIND($E124,Tables!$I$2)), ISNUMBER(FIND($D124,Tables!$J$2)), $E124&lt;&gt;"")</f>
        <v>0</v>
      </c>
    </row>
    <row r="125" spans="1:18" x14ac:dyDescent="0.25">
      <c r="A125">
        <f>IF(AND(B125="", D125&lt;&gt;""), A124, A124+1)</f>
        <v>119</v>
      </c>
      <c r="B125" s="4"/>
      <c r="I125" s="8"/>
      <c r="J125" s="5" t="str">
        <f>IF(I125="", "", IF(I125&gt;0, I125/100 +1, -100/I125 +1))</f>
        <v/>
      </c>
      <c r="K125" s="3"/>
      <c r="L125" s="3"/>
      <c r="N125" s="3" t="str">
        <f>IF(M125="", "", IF(M125="Draw", 0, IF(M125="win", L125, -1*K125)))</f>
        <v/>
      </c>
      <c r="O125" s="6" t="str">
        <f t="shared" si="1"/>
        <v/>
      </c>
      <c r="P125" s="7">
        <f>IF(M124="", P124, IF(C125="", P124, P124+LOOKUP(2, 1/($N$2:$N124&lt;&gt;""),$N$2:$N124) +Q125))</f>
        <v>141.32499999999999</v>
      </c>
      <c r="R125" t="b">
        <f>AND(ISNUMBER(FIND($E125,Tables!$I$2)), ISNUMBER(FIND($D125,Tables!$J$2)), $E125&lt;&gt;"")</f>
        <v>0</v>
      </c>
    </row>
    <row r="126" spans="1:18" x14ac:dyDescent="0.25">
      <c r="A126">
        <f>IF(AND(B126="", D126&lt;&gt;""), A125, A125+1)</f>
        <v>120</v>
      </c>
      <c r="B126" s="4"/>
      <c r="I126" s="8"/>
      <c r="J126" s="5" t="str">
        <f>IF(I126="", "", IF(I126&gt;0, I126/100 +1, -100/I126 +1))</f>
        <v/>
      </c>
      <c r="K126" s="3"/>
      <c r="L126" s="3"/>
      <c r="N126" s="3" t="str">
        <f>IF(M126="", "", IF(M126="Draw", 0, IF(M126="win", L126, -1*K126)))</f>
        <v/>
      </c>
      <c r="O126" s="6" t="str">
        <f t="shared" si="1"/>
        <v/>
      </c>
      <c r="P126" s="7">
        <f>IF(M125="", P125, IF(C126="", P125, P125+LOOKUP(2, 1/($N$2:$N125&lt;&gt;""),$N$2:$N125) +Q126))</f>
        <v>141.32499999999999</v>
      </c>
      <c r="R126" t="b">
        <f>AND(ISNUMBER(FIND($E126,Tables!$I$2)), ISNUMBER(FIND($D126,Tables!$J$2)), $E126&lt;&gt;"")</f>
        <v>0</v>
      </c>
    </row>
    <row r="127" spans="1:18" x14ac:dyDescent="0.25">
      <c r="A127">
        <f>IF(AND(B127="", D127&lt;&gt;""), A126, A126+1)</f>
        <v>121</v>
      </c>
      <c r="B127" s="4"/>
      <c r="I127" s="8"/>
      <c r="J127" s="5" t="str">
        <f>IF(I127="", "", IF(I127&gt;0, I127/100 +1, -100/I127 +1))</f>
        <v/>
      </c>
      <c r="K127" s="3"/>
      <c r="L127" s="3"/>
      <c r="N127" s="3" t="str">
        <f>IF(M127="", "", IF(M127="Draw", 0, IF(M127="win", L127, -1*K127)))</f>
        <v/>
      </c>
      <c r="O127" s="6" t="str">
        <f t="shared" si="1"/>
        <v/>
      </c>
      <c r="P127" s="7">
        <f>IF(M126="", P126, IF(C127="", P126, P126+LOOKUP(2, 1/($N$2:$N126&lt;&gt;""),$N$2:$N126) +Q127))</f>
        <v>141.32499999999999</v>
      </c>
      <c r="R127" t="b">
        <f>AND(ISNUMBER(FIND($E127,Tables!$I$2)), ISNUMBER(FIND($D127,Tables!$J$2)), $E127&lt;&gt;"")</f>
        <v>0</v>
      </c>
    </row>
    <row r="128" spans="1:18" x14ac:dyDescent="0.25">
      <c r="A128">
        <f>IF(AND(B128="", D128&lt;&gt;""), A127, A127+1)</f>
        <v>122</v>
      </c>
      <c r="B128" s="4"/>
      <c r="I128" s="8"/>
      <c r="J128" s="5" t="str">
        <f>IF(I128="", "", IF(I128&gt;0, I128/100 +1, -100/I128 +1))</f>
        <v/>
      </c>
      <c r="K128" s="3"/>
      <c r="L128" s="3"/>
      <c r="N128" s="3" t="str">
        <f>IF(M128="", "", IF(M128="Draw", 0, IF(M128="win", L128, -1*K128)))</f>
        <v/>
      </c>
      <c r="O128" s="6" t="str">
        <f t="shared" si="1"/>
        <v/>
      </c>
      <c r="P128" s="7">
        <f>IF(M127="", P127, IF(C128="", P127, P127+LOOKUP(2, 1/($N$2:$N127&lt;&gt;""),$N$2:$N127) +Q128))</f>
        <v>141.32499999999999</v>
      </c>
      <c r="R128" t="b">
        <f>AND(ISNUMBER(FIND($E128,Tables!$I$2)), ISNUMBER(FIND($D128,Tables!$J$2)), $E128&lt;&gt;"")</f>
        <v>0</v>
      </c>
    </row>
    <row r="129" spans="1:18" x14ac:dyDescent="0.25">
      <c r="A129">
        <f>IF(AND(B129="", D129&lt;&gt;""), A128, A128+1)</f>
        <v>123</v>
      </c>
      <c r="B129" s="4"/>
      <c r="I129" s="8"/>
      <c r="J129" s="5" t="str">
        <f>IF(I129="", "", IF(I129&gt;0, I129/100 +1, -100/I129 +1))</f>
        <v/>
      </c>
      <c r="K129" s="3"/>
      <c r="L129" s="3"/>
      <c r="N129" s="3" t="str">
        <f>IF(M129="", "", IF(M129="Draw", 0, IF(M129="win", L129, -1*K129)))</f>
        <v/>
      </c>
      <c r="O129" s="6" t="str">
        <f t="shared" si="1"/>
        <v/>
      </c>
      <c r="P129" s="7">
        <f>IF(M128="", P128, IF(C129="", P128, P128+LOOKUP(2, 1/($N$2:$N128&lt;&gt;""),$N$2:$N128) +Q129))</f>
        <v>141.32499999999999</v>
      </c>
      <c r="R129" t="b">
        <f>AND(ISNUMBER(FIND($E129,Tables!$I$2)), ISNUMBER(FIND($D129,Tables!$J$2)), $E129&lt;&gt;"")</f>
        <v>0</v>
      </c>
    </row>
    <row r="130" spans="1:18" x14ac:dyDescent="0.25">
      <c r="A130">
        <f>IF(AND(B130="", D130&lt;&gt;""), A129, A129+1)</f>
        <v>124</v>
      </c>
      <c r="B130" s="4"/>
      <c r="I130" s="8"/>
      <c r="J130" s="5" t="str">
        <f>IF(I130="", "", IF(I130&gt;0, I130/100 +1, -100/I130 +1))</f>
        <v/>
      </c>
      <c r="K130" s="3"/>
      <c r="L130" s="3"/>
      <c r="N130" s="3" t="str">
        <f>IF(M130="", "", IF(M130="Draw", 0, IF(M130="win", L130, -1*K130)))</f>
        <v/>
      </c>
      <c r="O130" s="6" t="str">
        <f t="shared" si="1"/>
        <v/>
      </c>
      <c r="P130" s="7">
        <f>IF(M129="", P129, IF(C130="", P129, P129+LOOKUP(2, 1/($N$2:$N129&lt;&gt;""),$N$2:$N129) +Q130))</f>
        <v>141.32499999999999</v>
      </c>
      <c r="R130" t="b">
        <f>AND(ISNUMBER(FIND($E130,Tables!$I$2)), ISNUMBER(FIND($D130,Tables!$J$2)), $E130&lt;&gt;"")</f>
        <v>0</v>
      </c>
    </row>
    <row r="131" spans="1:18" x14ac:dyDescent="0.25">
      <c r="A131">
        <f>IF(AND(B131="", D131&lt;&gt;""), A130, A130+1)</f>
        <v>125</v>
      </c>
      <c r="B131" s="4"/>
      <c r="I131" s="8"/>
      <c r="J131" s="5" t="str">
        <f>IF(I131="", "", IF(I131&gt;0, I131/100 +1, -100/I131 +1))</f>
        <v/>
      </c>
      <c r="K131" s="3"/>
      <c r="L131" s="3"/>
      <c r="N131" s="3" t="str">
        <f>IF(M131="", "", IF(M131="Draw", 0, IF(M131="win", L131, -1*K131)))</f>
        <v/>
      </c>
      <c r="O131" s="6" t="str">
        <f t="shared" ref="O131:O194" si="2">IFERROR(K131/VLOOKUP(_xlfn.MINIFS(A:A,B:B,B131,C:C,C131),A:P,16),"")</f>
        <v/>
      </c>
      <c r="P131" s="7">
        <f>IF(M130="", P130, IF(C131="", P130, P130+LOOKUP(2, 1/($N$2:$N130&lt;&gt;""),$N$2:$N130) +Q131))</f>
        <v>141.32499999999999</v>
      </c>
      <c r="R131" t="b">
        <f>AND(ISNUMBER(FIND($E131,Tables!$I$2)), ISNUMBER(FIND($D131,Tables!$J$2)), $E131&lt;&gt;"")</f>
        <v>0</v>
      </c>
    </row>
    <row r="132" spans="1:18" x14ac:dyDescent="0.25">
      <c r="A132">
        <f>IF(AND(B132="", D132&lt;&gt;""), A131, A131+1)</f>
        <v>126</v>
      </c>
      <c r="B132" s="4"/>
      <c r="I132" s="8"/>
      <c r="J132" s="5" t="str">
        <f>IF(I132="", "", IF(I132&gt;0, I132/100 +1, -100/I132 +1))</f>
        <v/>
      </c>
      <c r="K132" s="3"/>
      <c r="L132" s="3"/>
      <c r="N132" s="3" t="str">
        <f>IF(M132="", "", IF(M132="Draw", 0, IF(M132="win", L132, -1*K132)))</f>
        <v/>
      </c>
      <c r="O132" s="6" t="str">
        <f t="shared" si="2"/>
        <v/>
      </c>
      <c r="P132" s="7">
        <f>IF(M131="", P131, IF(C132="", P131, P131+LOOKUP(2, 1/($N$2:$N131&lt;&gt;""),$N$2:$N131) +Q132))</f>
        <v>141.32499999999999</v>
      </c>
      <c r="R132" t="b">
        <f>AND(ISNUMBER(FIND($E132,Tables!$I$2)), ISNUMBER(FIND($D132,Tables!$J$2)), $E132&lt;&gt;"")</f>
        <v>0</v>
      </c>
    </row>
    <row r="133" spans="1:18" x14ac:dyDescent="0.25">
      <c r="A133">
        <f>IF(AND(B133="", D133&lt;&gt;""), A132, A132+1)</f>
        <v>127</v>
      </c>
      <c r="B133" s="4"/>
      <c r="I133" s="8"/>
      <c r="J133" s="5" t="str">
        <f>IF(I133="", "", IF(I133&gt;0, I133/100 +1, -100/I133 +1))</f>
        <v/>
      </c>
      <c r="K133" s="3"/>
      <c r="L133" s="3"/>
      <c r="N133" s="3" t="str">
        <f>IF(M133="", "", IF(M133="Draw", 0, IF(M133="win", L133, -1*K133)))</f>
        <v/>
      </c>
      <c r="O133" s="6" t="str">
        <f t="shared" si="2"/>
        <v/>
      </c>
      <c r="P133" s="7">
        <f>IF(M132="", P132, IF(C133="", P132, P132+LOOKUP(2, 1/($N$2:$N132&lt;&gt;""),$N$2:$N132) +Q133))</f>
        <v>141.32499999999999</v>
      </c>
      <c r="R133" t="b">
        <f>AND(ISNUMBER(FIND($E133,Tables!$I$2)), ISNUMBER(FIND($D133,Tables!$J$2)), $E133&lt;&gt;"")</f>
        <v>0</v>
      </c>
    </row>
    <row r="134" spans="1:18" x14ac:dyDescent="0.25">
      <c r="A134">
        <f>IF(AND(B134="", D134&lt;&gt;""), A133, A133+1)</f>
        <v>128</v>
      </c>
      <c r="B134" s="4"/>
      <c r="I134" s="8"/>
      <c r="J134" s="5" t="str">
        <f>IF(I134="", "", IF(I134&gt;0, I134/100 +1, -100/I134 +1))</f>
        <v/>
      </c>
      <c r="K134" s="3"/>
      <c r="L134" s="3"/>
      <c r="N134" s="3" t="str">
        <f>IF(M134="", "", IF(M134="Draw", 0, IF(M134="win", L134, -1*K134)))</f>
        <v/>
      </c>
      <c r="O134" s="6" t="str">
        <f t="shared" si="2"/>
        <v/>
      </c>
      <c r="P134" s="7">
        <f>IF(M133="", P133, IF(C134="", P133, P133+LOOKUP(2, 1/($N$2:$N133&lt;&gt;""),$N$2:$N133) +Q134))</f>
        <v>141.32499999999999</v>
      </c>
      <c r="R134" t="b">
        <f>AND(ISNUMBER(FIND($E134,Tables!$I$2)), ISNUMBER(FIND($D134,Tables!$J$2)), $E134&lt;&gt;"")</f>
        <v>0</v>
      </c>
    </row>
    <row r="135" spans="1:18" x14ac:dyDescent="0.25">
      <c r="A135">
        <f>IF(AND(B135="", D135&lt;&gt;""), A134, A134+1)</f>
        <v>129</v>
      </c>
      <c r="B135" s="4"/>
      <c r="I135" s="8"/>
      <c r="J135" s="5" t="str">
        <f>IF(I135="", "", IF(I135&gt;0, I135/100 +1, -100/I135 +1))</f>
        <v/>
      </c>
      <c r="K135" s="3"/>
      <c r="L135" s="3"/>
      <c r="N135" s="3" t="str">
        <f>IF(M135="", "", IF(M135="Draw", 0, IF(M135="win", L135, -1*K135)))</f>
        <v/>
      </c>
      <c r="O135" s="6" t="str">
        <f t="shared" si="2"/>
        <v/>
      </c>
      <c r="P135" s="7">
        <f>IF(M134="", P134, IF(C135="", P134, P134+LOOKUP(2, 1/($N$2:$N134&lt;&gt;""),$N$2:$N134) +Q135))</f>
        <v>141.32499999999999</v>
      </c>
      <c r="R135" t="b">
        <f>AND(ISNUMBER(FIND($E135,Tables!$I$2)), ISNUMBER(FIND($D135,Tables!$J$2)), $E135&lt;&gt;"")</f>
        <v>0</v>
      </c>
    </row>
    <row r="136" spans="1:18" x14ac:dyDescent="0.25">
      <c r="A136">
        <f>IF(AND(B136="", D136&lt;&gt;""), A135, A135+1)</f>
        <v>130</v>
      </c>
      <c r="B136" s="4"/>
      <c r="I136" s="8"/>
      <c r="J136" s="5" t="str">
        <f>IF(I136="", "", IF(I136&gt;0, I136/100 +1, -100/I136 +1))</f>
        <v/>
      </c>
      <c r="K136" s="3"/>
      <c r="L136" s="3"/>
      <c r="N136" s="3" t="str">
        <f>IF(M136="", "", IF(M136="Draw", 0, IF(M136="win", L136, -1*K136)))</f>
        <v/>
      </c>
      <c r="O136" s="6" t="str">
        <f t="shared" si="2"/>
        <v/>
      </c>
      <c r="P136" s="7">
        <f>IF(M135="", P135, IF(C136="", P135, P135+LOOKUP(2, 1/($N$2:$N135&lt;&gt;""),$N$2:$N135) +Q136))</f>
        <v>141.32499999999999</v>
      </c>
      <c r="R136" t="b">
        <f>AND(ISNUMBER(FIND($E136,Tables!$I$2)), ISNUMBER(FIND($D136,Tables!$J$2)), $E136&lt;&gt;"")</f>
        <v>0</v>
      </c>
    </row>
    <row r="137" spans="1:18" x14ac:dyDescent="0.25">
      <c r="A137">
        <f>IF(AND(B137="", D137&lt;&gt;""), A136, A136+1)</f>
        <v>131</v>
      </c>
      <c r="B137" s="4"/>
      <c r="I137" s="8"/>
      <c r="J137" s="5" t="str">
        <f>IF(I137="", "", IF(I137&gt;0, I137/100 +1, -100/I137 +1))</f>
        <v/>
      </c>
      <c r="K137" s="3"/>
      <c r="L137" s="3"/>
      <c r="N137" s="3" t="str">
        <f>IF(M137="", "", IF(M137="Draw", 0, IF(M137="win", L137, -1*K137)))</f>
        <v/>
      </c>
      <c r="O137" s="6" t="str">
        <f t="shared" si="2"/>
        <v/>
      </c>
      <c r="P137" s="7">
        <f>IF(M136="", P136, IF(C137="", P136, P136+LOOKUP(2, 1/($N$2:$N136&lt;&gt;""),$N$2:$N136) +Q137))</f>
        <v>141.32499999999999</v>
      </c>
      <c r="R137" t="b">
        <f>AND(ISNUMBER(FIND($E137,Tables!$I$2)), ISNUMBER(FIND($D137,Tables!$J$2)), $E137&lt;&gt;"")</f>
        <v>0</v>
      </c>
    </row>
    <row r="138" spans="1:18" x14ac:dyDescent="0.25">
      <c r="A138">
        <f>IF(AND(B138="", D138&lt;&gt;""), A137, A137+1)</f>
        <v>132</v>
      </c>
      <c r="B138" s="4"/>
      <c r="I138" s="8"/>
      <c r="J138" s="5" t="str">
        <f>IF(I138="", "", IF(I138&gt;0, I138/100 +1, -100/I138 +1))</f>
        <v/>
      </c>
      <c r="K138" s="3"/>
      <c r="L138" s="3"/>
      <c r="N138" s="3" t="str">
        <f>IF(M138="", "", IF(M138="Draw", 0, IF(M138="win", L138, -1*K138)))</f>
        <v/>
      </c>
      <c r="O138" s="6" t="str">
        <f t="shared" si="2"/>
        <v/>
      </c>
      <c r="P138" s="7">
        <f>IF(M137="", P137, IF(C138="", P137, P137+LOOKUP(2, 1/($N$2:$N137&lt;&gt;""),$N$2:$N137) +Q138))</f>
        <v>141.32499999999999</v>
      </c>
      <c r="R138" t="b">
        <f>AND(ISNUMBER(FIND($E138,Tables!$I$2)), ISNUMBER(FIND($D138,Tables!$J$2)), $E138&lt;&gt;"")</f>
        <v>0</v>
      </c>
    </row>
    <row r="139" spans="1:18" x14ac:dyDescent="0.25">
      <c r="A139">
        <f>IF(AND(B139="", D139&lt;&gt;""), A138, A138+1)</f>
        <v>133</v>
      </c>
      <c r="B139" s="4"/>
      <c r="I139" s="8"/>
      <c r="J139" s="5" t="str">
        <f>IF(I139="", "", IF(I139&gt;0, I139/100 +1, -100/I139 +1))</f>
        <v/>
      </c>
      <c r="K139" s="3"/>
      <c r="L139" s="3"/>
      <c r="N139" s="3" t="str">
        <f>IF(M139="", "", IF(M139="Draw", 0, IF(M139="win", L139, -1*K139)))</f>
        <v/>
      </c>
      <c r="O139" s="6" t="str">
        <f t="shared" si="2"/>
        <v/>
      </c>
      <c r="P139" s="7">
        <f>IF(M138="", P138, IF(C139="", P138, P138+LOOKUP(2, 1/($N$2:$N138&lt;&gt;""),$N$2:$N138) +Q139))</f>
        <v>141.32499999999999</v>
      </c>
      <c r="R139" t="b">
        <f>AND(ISNUMBER(FIND($E139,Tables!$I$2)), ISNUMBER(FIND($D139,Tables!$J$2)), $E139&lt;&gt;"")</f>
        <v>0</v>
      </c>
    </row>
    <row r="140" spans="1:18" x14ac:dyDescent="0.25">
      <c r="A140">
        <f>IF(AND(B140="", D140&lt;&gt;""), A139, A139+1)</f>
        <v>134</v>
      </c>
      <c r="B140" s="4"/>
      <c r="I140" s="8"/>
      <c r="J140" s="5" t="str">
        <f>IF(I140="", "", IF(I140&gt;0, I140/100 +1, -100/I140 +1))</f>
        <v/>
      </c>
      <c r="K140" s="3"/>
      <c r="L140" s="3"/>
      <c r="N140" s="3" t="str">
        <f>IF(M140="", "", IF(M140="Draw", 0, IF(M140="win", L140, -1*K140)))</f>
        <v/>
      </c>
      <c r="O140" s="6" t="str">
        <f t="shared" si="2"/>
        <v/>
      </c>
      <c r="P140" s="7">
        <f>IF(M139="", P139, IF(C140="", P139, P139+LOOKUP(2, 1/($N$2:$N139&lt;&gt;""),$N$2:$N139) +Q140))</f>
        <v>141.32499999999999</v>
      </c>
      <c r="R140" t="b">
        <f>AND(ISNUMBER(FIND($E140,Tables!$I$2)), ISNUMBER(FIND($D140,Tables!$J$2)), $E140&lt;&gt;"")</f>
        <v>0</v>
      </c>
    </row>
    <row r="141" spans="1:18" x14ac:dyDescent="0.25">
      <c r="A141">
        <f>IF(AND(B141="", D141&lt;&gt;""), A140, A140+1)</f>
        <v>135</v>
      </c>
      <c r="B141" s="4"/>
      <c r="I141" s="8"/>
      <c r="J141" s="5" t="str">
        <f>IF(I141="", "", IF(I141&gt;0, I141/100 +1, -100/I141 +1))</f>
        <v/>
      </c>
      <c r="K141" s="3"/>
      <c r="L141" s="3"/>
      <c r="N141" s="3" t="str">
        <f>IF(M141="", "", IF(M141="Draw", 0, IF(M141="win", L141, -1*K141)))</f>
        <v/>
      </c>
      <c r="O141" s="6" t="str">
        <f t="shared" si="2"/>
        <v/>
      </c>
      <c r="P141" s="7">
        <f>IF(M140="", P140, IF(C141="", P140, P140+LOOKUP(2, 1/($N$2:$N140&lt;&gt;""),$N$2:$N140) +Q141))</f>
        <v>141.32499999999999</v>
      </c>
      <c r="R141" t="b">
        <f>AND(ISNUMBER(FIND($E141,Tables!$I$2)), ISNUMBER(FIND($D141,Tables!$J$2)), $E141&lt;&gt;"")</f>
        <v>0</v>
      </c>
    </row>
    <row r="142" spans="1:18" x14ac:dyDescent="0.25">
      <c r="A142">
        <f>IF(AND(B142="", D142&lt;&gt;""), A141, A141+1)</f>
        <v>136</v>
      </c>
      <c r="B142" s="4"/>
      <c r="I142" s="8"/>
      <c r="J142" s="5" t="str">
        <f>IF(I142="", "", IF(I142&gt;0, I142/100 +1, -100/I142 +1))</f>
        <v/>
      </c>
      <c r="K142" s="3"/>
      <c r="L142" s="3"/>
      <c r="N142" s="3" t="str">
        <f>IF(M142="", "", IF(M142="Draw", 0, IF(M142="win", L142, -1*K142)))</f>
        <v/>
      </c>
      <c r="O142" s="6" t="str">
        <f t="shared" si="2"/>
        <v/>
      </c>
      <c r="P142" s="7">
        <f>IF(M141="", P141, IF(C142="", P141, P141+LOOKUP(2, 1/($N$2:$N141&lt;&gt;""),$N$2:$N141) +Q142))</f>
        <v>141.32499999999999</v>
      </c>
      <c r="R142" t="b">
        <f>AND(ISNUMBER(FIND($E142,Tables!$I$2)), ISNUMBER(FIND($D142,Tables!$J$2)), $E142&lt;&gt;"")</f>
        <v>0</v>
      </c>
    </row>
    <row r="143" spans="1:18" x14ac:dyDescent="0.25">
      <c r="A143">
        <f>IF(AND(B143="", D143&lt;&gt;""), A142, A142+1)</f>
        <v>137</v>
      </c>
      <c r="B143" s="4"/>
      <c r="I143" s="8"/>
      <c r="J143" s="5" t="str">
        <f>IF(I143="", "", IF(I143&gt;0, I143/100 +1, -100/I143 +1))</f>
        <v/>
      </c>
      <c r="K143" s="3"/>
      <c r="L143" s="3"/>
      <c r="N143" s="3" t="str">
        <f>IF(M143="", "", IF(M143="Draw", 0, IF(M143="win", L143, -1*K143)))</f>
        <v/>
      </c>
      <c r="O143" s="6" t="str">
        <f t="shared" si="2"/>
        <v/>
      </c>
      <c r="P143" s="7">
        <f>IF(M142="", P142, IF(C143="", P142, P142+LOOKUP(2, 1/($N$2:$N142&lt;&gt;""),$N$2:$N142) +Q143))</f>
        <v>141.32499999999999</v>
      </c>
      <c r="R143" t="b">
        <f>AND(ISNUMBER(FIND($E143,Tables!$I$2)), ISNUMBER(FIND($D143,Tables!$J$2)), $E143&lt;&gt;"")</f>
        <v>0</v>
      </c>
    </row>
    <row r="144" spans="1:18" x14ac:dyDescent="0.25">
      <c r="A144">
        <f>IF(AND(B144="", D144&lt;&gt;""), A143, A143+1)</f>
        <v>138</v>
      </c>
      <c r="B144" s="4"/>
      <c r="I144" s="8"/>
      <c r="J144" s="5" t="str">
        <f>IF(I144="", "", IF(I144&gt;0, I144/100 +1, -100/I144 +1))</f>
        <v/>
      </c>
      <c r="K144" s="3"/>
      <c r="L144" s="3"/>
      <c r="N144" s="3" t="str">
        <f>IF(M144="", "", IF(M144="Draw", 0, IF(M144="win", L144, -1*K144)))</f>
        <v/>
      </c>
      <c r="O144" s="6" t="str">
        <f t="shared" si="2"/>
        <v/>
      </c>
      <c r="P144" s="7">
        <f>IF(M143="", P143, IF(C144="", P143, P143+LOOKUP(2, 1/($N$2:$N143&lt;&gt;""),$N$2:$N143) +Q144))</f>
        <v>141.32499999999999</v>
      </c>
      <c r="R144" t="b">
        <f>AND(ISNUMBER(FIND($E144,Tables!$I$2)), ISNUMBER(FIND($D144,Tables!$J$2)), $E144&lt;&gt;"")</f>
        <v>0</v>
      </c>
    </row>
    <row r="145" spans="1:18" x14ac:dyDescent="0.25">
      <c r="A145">
        <f>IF(AND(B145="", D145&lt;&gt;""), A144, A144+1)</f>
        <v>139</v>
      </c>
      <c r="B145" s="4"/>
      <c r="I145" s="8"/>
      <c r="J145" s="5" t="str">
        <f>IF(I145="", "", IF(I145&gt;0, I145/100 +1, -100/I145 +1))</f>
        <v/>
      </c>
      <c r="K145" s="3"/>
      <c r="L145" s="3"/>
      <c r="N145" s="3" t="str">
        <f>IF(M145="", "", IF(M145="Draw", 0, IF(M145="win", L145, -1*K145)))</f>
        <v/>
      </c>
      <c r="O145" s="6" t="str">
        <f t="shared" si="2"/>
        <v/>
      </c>
      <c r="P145" s="7">
        <f>IF(M144="", P144, IF(C145="", P144, P144+LOOKUP(2, 1/($N$2:$N144&lt;&gt;""),$N$2:$N144) +Q145))</f>
        <v>141.32499999999999</v>
      </c>
      <c r="R145" t="b">
        <f>AND(ISNUMBER(FIND($E145,Tables!$I$2)), ISNUMBER(FIND($D145,Tables!$J$2)), $E145&lt;&gt;"")</f>
        <v>0</v>
      </c>
    </row>
    <row r="146" spans="1:18" x14ac:dyDescent="0.25">
      <c r="A146">
        <f>IF(AND(B146="", D146&lt;&gt;""), A145, A145+1)</f>
        <v>140</v>
      </c>
      <c r="B146" s="4"/>
      <c r="I146" s="8"/>
      <c r="J146" s="5" t="str">
        <f>IF(I146="", "", IF(I146&gt;0, I146/100 +1, -100/I146 +1))</f>
        <v/>
      </c>
      <c r="K146" s="3"/>
      <c r="L146" s="3"/>
      <c r="N146" s="3" t="str">
        <f>IF(M146="", "", IF(M146="Draw", 0, IF(M146="win", L146, -1*K146)))</f>
        <v/>
      </c>
      <c r="O146" s="6" t="str">
        <f t="shared" si="2"/>
        <v/>
      </c>
      <c r="P146" s="7">
        <f>IF(M145="", P145, IF(C146="", P145, P145+LOOKUP(2, 1/($N$2:$N145&lt;&gt;""),$N$2:$N145) +Q146))</f>
        <v>141.32499999999999</v>
      </c>
      <c r="R146" t="b">
        <f>AND(ISNUMBER(FIND($E146,Tables!$I$2)), ISNUMBER(FIND($D146,Tables!$J$2)), $E146&lt;&gt;"")</f>
        <v>0</v>
      </c>
    </row>
    <row r="147" spans="1:18" x14ac:dyDescent="0.25">
      <c r="A147">
        <f>IF(AND(B147="", D147&lt;&gt;""), A146, A146+1)</f>
        <v>141</v>
      </c>
      <c r="B147" s="4"/>
      <c r="I147" s="8"/>
      <c r="J147" s="5" t="str">
        <f>IF(I147="", "", IF(I147&gt;0, I147/100 +1, -100/I147 +1))</f>
        <v/>
      </c>
      <c r="K147" s="3"/>
      <c r="L147" s="3"/>
      <c r="N147" s="3" t="str">
        <f>IF(M147="", "", IF(M147="Draw", 0, IF(M147="win", L147, -1*K147)))</f>
        <v/>
      </c>
      <c r="O147" s="6" t="str">
        <f t="shared" si="2"/>
        <v/>
      </c>
      <c r="P147" s="7">
        <f>IF(M146="", P146, IF(C147="", P146, P146+LOOKUP(2, 1/($N$2:$N146&lt;&gt;""),$N$2:$N146) +Q147))</f>
        <v>141.32499999999999</v>
      </c>
      <c r="R147" t="b">
        <f>AND(ISNUMBER(FIND($E147,Tables!$I$2)), ISNUMBER(FIND($D147,Tables!$J$2)), $E147&lt;&gt;"")</f>
        <v>0</v>
      </c>
    </row>
    <row r="148" spans="1:18" x14ac:dyDescent="0.25">
      <c r="A148">
        <f>IF(AND(B148="", D148&lt;&gt;""), A147, A147+1)</f>
        <v>142</v>
      </c>
      <c r="B148" s="4"/>
      <c r="I148" s="8"/>
      <c r="J148" s="5" t="str">
        <f>IF(I148="", "", IF(I148&gt;0, I148/100 +1, -100/I148 +1))</f>
        <v/>
      </c>
      <c r="K148" s="3"/>
      <c r="L148" s="3"/>
      <c r="N148" s="3" t="str">
        <f>IF(M148="", "", IF(M148="Draw", 0, IF(M148="win", L148, -1*K148)))</f>
        <v/>
      </c>
      <c r="O148" s="6" t="str">
        <f t="shared" si="2"/>
        <v/>
      </c>
      <c r="P148" s="7">
        <f>IF(M147="", P147, IF(C148="", P147, P147+LOOKUP(2, 1/($N$2:$N147&lt;&gt;""),$N$2:$N147) +Q148))</f>
        <v>141.32499999999999</v>
      </c>
      <c r="R148" t="b">
        <f>AND(ISNUMBER(FIND($E148,Tables!$I$2)), ISNUMBER(FIND($D148,Tables!$J$2)), $E148&lt;&gt;"")</f>
        <v>0</v>
      </c>
    </row>
    <row r="149" spans="1:18" x14ac:dyDescent="0.25">
      <c r="A149">
        <f>IF(AND(B149="", D149&lt;&gt;""), A148, A148+1)</f>
        <v>143</v>
      </c>
      <c r="B149" s="4"/>
      <c r="I149" s="8"/>
      <c r="J149" s="5" t="str">
        <f>IF(I149="", "", IF(I149&gt;0, I149/100 +1, -100/I149 +1))</f>
        <v/>
      </c>
      <c r="K149" s="3"/>
      <c r="L149" s="3"/>
      <c r="N149" s="3" t="str">
        <f>IF(M149="", "", IF(M149="Draw", 0, IF(M149="win", L149, -1*K149)))</f>
        <v/>
      </c>
      <c r="O149" s="6" t="str">
        <f t="shared" si="2"/>
        <v/>
      </c>
      <c r="P149" s="7">
        <f>IF(M148="", P148, IF(C149="", P148, P148+LOOKUP(2, 1/($N$2:$N148&lt;&gt;""),$N$2:$N148) +Q149))</f>
        <v>141.32499999999999</v>
      </c>
      <c r="R149" t="b">
        <f>AND(ISNUMBER(FIND($E149,Tables!$I$2)), ISNUMBER(FIND($D149,Tables!$J$2)), $E149&lt;&gt;"")</f>
        <v>0</v>
      </c>
    </row>
    <row r="150" spans="1:18" x14ac:dyDescent="0.25">
      <c r="A150">
        <f>IF(AND(B150="", D150&lt;&gt;""), A149, A149+1)</f>
        <v>144</v>
      </c>
      <c r="B150" s="4"/>
      <c r="I150" s="8"/>
      <c r="J150" s="5" t="str">
        <f>IF(I150="", "", IF(I150&gt;0, I150/100 +1, -100/I150 +1))</f>
        <v/>
      </c>
      <c r="K150" s="3"/>
      <c r="L150" s="3"/>
      <c r="N150" s="3" t="str">
        <f>IF(M150="", "", IF(M150="Draw", 0, IF(M150="win", L150, -1*K150)))</f>
        <v/>
      </c>
      <c r="O150" s="6" t="str">
        <f t="shared" si="2"/>
        <v/>
      </c>
      <c r="P150" s="7">
        <f>IF(M149="", P149, IF(C150="", P149, P149+LOOKUP(2, 1/($N$2:$N149&lt;&gt;""),$N$2:$N149) +Q150))</f>
        <v>141.32499999999999</v>
      </c>
      <c r="R150" t="b">
        <f>AND(ISNUMBER(FIND($E150,Tables!$I$2)), ISNUMBER(FIND($D150,Tables!$J$2)), $E150&lt;&gt;"")</f>
        <v>0</v>
      </c>
    </row>
    <row r="151" spans="1:18" x14ac:dyDescent="0.25">
      <c r="A151">
        <f>IF(AND(B151="", D151&lt;&gt;""), A150, A150+1)</f>
        <v>145</v>
      </c>
      <c r="B151" s="4"/>
      <c r="I151" s="8"/>
      <c r="J151" s="5" t="str">
        <f>IF(I151="", "", IF(I151&gt;0, I151/100 +1, -100/I151 +1))</f>
        <v/>
      </c>
      <c r="K151" s="3"/>
      <c r="L151" s="3"/>
      <c r="N151" s="3" t="str">
        <f>IF(M151="", "", IF(M151="Draw", 0, IF(M151="win", L151, -1*K151)))</f>
        <v/>
      </c>
      <c r="O151" s="6" t="str">
        <f t="shared" si="2"/>
        <v/>
      </c>
      <c r="P151" s="7">
        <f>IF(M150="", P150, IF(C151="", P150, P150+LOOKUP(2, 1/($N$2:$N150&lt;&gt;""),$N$2:$N150) +Q151))</f>
        <v>141.32499999999999</v>
      </c>
      <c r="R151" t="b">
        <f>AND(ISNUMBER(FIND($E151,Tables!$I$2)), ISNUMBER(FIND($D151,Tables!$J$2)), $E151&lt;&gt;"")</f>
        <v>0</v>
      </c>
    </row>
    <row r="152" spans="1:18" x14ac:dyDescent="0.25">
      <c r="A152">
        <f>IF(AND(B152="", D152&lt;&gt;""), A151, A151+1)</f>
        <v>146</v>
      </c>
      <c r="B152" s="4"/>
      <c r="I152" s="8"/>
      <c r="J152" s="5" t="str">
        <f>IF(I152="", "", IF(I152&gt;0, I152/100 +1, -100/I152 +1))</f>
        <v/>
      </c>
      <c r="K152" s="3"/>
      <c r="L152" s="3"/>
      <c r="N152" s="3" t="str">
        <f>IF(M152="", "", IF(M152="Draw", 0, IF(M152="win", L152, -1*K152)))</f>
        <v/>
      </c>
      <c r="O152" s="6" t="str">
        <f t="shared" si="2"/>
        <v/>
      </c>
      <c r="P152" s="7">
        <f>IF(M151="", P151, IF(C152="", P151, P151+LOOKUP(2, 1/($N$2:$N151&lt;&gt;""),$N$2:$N151) +Q152))</f>
        <v>141.32499999999999</v>
      </c>
      <c r="R152" t="b">
        <f>AND(ISNUMBER(FIND($E152,Tables!$I$2)), ISNUMBER(FIND($D152,Tables!$J$2)), $E152&lt;&gt;"")</f>
        <v>0</v>
      </c>
    </row>
    <row r="153" spans="1:18" x14ac:dyDescent="0.25">
      <c r="A153">
        <f>IF(AND(B153="", D153&lt;&gt;""), A152, A152+1)</f>
        <v>147</v>
      </c>
      <c r="B153" s="4"/>
      <c r="I153" s="8"/>
      <c r="J153" s="5" t="str">
        <f>IF(I153="", "", IF(I153&gt;0, I153/100 +1, -100/I153 +1))</f>
        <v/>
      </c>
      <c r="K153" s="3"/>
      <c r="L153" s="3"/>
      <c r="N153" s="3" t="str">
        <f>IF(M153="", "", IF(M153="Draw", 0, IF(M153="win", L153, -1*K153)))</f>
        <v/>
      </c>
      <c r="O153" s="6" t="str">
        <f t="shared" si="2"/>
        <v/>
      </c>
      <c r="P153" s="7">
        <f>IF(M152="", P152, IF(C153="", P152, P152+LOOKUP(2, 1/($N$2:$N152&lt;&gt;""),$N$2:$N152) +Q153))</f>
        <v>141.32499999999999</v>
      </c>
      <c r="R153" t="b">
        <f>AND(ISNUMBER(FIND($E153,Tables!$I$2)), ISNUMBER(FIND($D153,Tables!$J$2)), $E153&lt;&gt;"")</f>
        <v>0</v>
      </c>
    </row>
    <row r="154" spans="1:18" x14ac:dyDescent="0.25">
      <c r="A154">
        <f>IF(AND(B154="", D154&lt;&gt;""), A153, A153+1)</f>
        <v>148</v>
      </c>
      <c r="B154" s="4"/>
      <c r="I154" s="8"/>
      <c r="J154" s="5" t="str">
        <f>IF(I154="", "", IF(I154&gt;0, I154/100 +1, -100/I154 +1))</f>
        <v/>
      </c>
      <c r="K154" s="3"/>
      <c r="L154" s="3"/>
      <c r="N154" s="3" t="str">
        <f>IF(M154="", "", IF(M154="Draw", 0, IF(M154="win", L154, -1*K154)))</f>
        <v/>
      </c>
      <c r="O154" s="6" t="str">
        <f t="shared" si="2"/>
        <v/>
      </c>
      <c r="P154" s="7">
        <f>IF(M153="", P153, IF(C154="", P153, P153+LOOKUP(2, 1/($N$2:$N153&lt;&gt;""),$N$2:$N153) +Q154))</f>
        <v>141.32499999999999</v>
      </c>
      <c r="R154" t="b">
        <f>AND(ISNUMBER(FIND($E154,Tables!$I$2)), ISNUMBER(FIND($D154,Tables!$J$2)), $E154&lt;&gt;"")</f>
        <v>0</v>
      </c>
    </row>
    <row r="155" spans="1:18" x14ac:dyDescent="0.25">
      <c r="A155">
        <f>IF(AND(B155="", D155&lt;&gt;""), A154, A154+1)</f>
        <v>149</v>
      </c>
      <c r="B155" s="4"/>
      <c r="I155" s="8"/>
      <c r="J155" s="5" t="str">
        <f>IF(I155="", "", IF(I155&gt;0, I155/100 +1, -100/I155 +1))</f>
        <v/>
      </c>
      <c r="K155" s="3"/>
      <c r="L155" s="3"/>
      <c r="N155" s="3" t="str">
        <f>IF(M155="", "", IF(M155="Draw", 0, IF(M155="win", L155, -1*K155)))</f>
        <v/>
      </c>
      <c r="O155" s="6" t="str">
        <f t="shared" si="2"/>
        <v/>
      </c>
      <c r="P155" s="7">
        <f>IF(M154="", P154, IF(C155="", P154, P154+LOOKUP(2, 1/($N$2:$N154&lt;&gt;""),$N$2:$N154) +Q155))</f>
        <v>141.32499999999999</v>
      </c>
      <c r="R155" t="b">
        <f>AND(ISNUMBER(FIND($E155,Tables!$I$2)), ISNUMBER(FIND($D155,Tables!$J$2)), $E155&lt;&gt;"")</f>
        <v>0</v>
      </c>
    </row>
    <row r="156" spans="1:18" x14ac:dyDescent="0.25">
      <c r="A156">
        <f>IF(AND(B156="", D156&lt;&gt;""), A155, A155+1)</f>
        <v>150</v>
      </c>
      <c r="B156" s="4"/>
      <c r="I156" s="8"/>
      <c r="J156" s="5" t="str">
        <f>IF(I156="", "", IF(I156&gt;0, I156/100 +1, -100/I156 +1))</f>
        <v/>
      </c>
      <c r="K156" s="3"/>
      <c r="L156" s="3"/>
      <c r="N156" s="3" t="str">
        <f>IF(M156="", "", IF(M156="Draw", 0, IF(M156="win", L156, -1*K156)))</f>
        <v/>
      </c>
      <c r="O156" s="6" t="str">
        <f t="shared" si="2"/>
        <v/>
      </c>
      <c r="P156" s="7">
        <f>IF(M155="", P155, IF(C156="", P155, P155+LOOKUP(2, 1/($N$2:$N155&lt;&gt;""),$N$2:$N155) +Q156))</f>
        <v>141.32499999999999</v>
      </c>
      <c r="R156" t="b">
        <f>AND(ISNUMBER(FIND($E156,Tables!$I$2)), ISNUMBER(FIND($D156,Tables!$J$2)), $E156&lt;&gt;"")</f>
        <v>0</v>
      </c>
    </row>
    <row r="157" spans="1:18" x14ac:dyDescent="0.25">
      <c r="A157">
        <f>IF(AND(B157="", D157&lt;&gt;""), A156, A156+1)</f>
        <v>151</v>
      </c>
      <c r="B157" s="4"/>
      <c r="I157" s="8"/>
      <c r="J157" s="5" t="str">
        <f>IF(I157="", "", IF(I157&gt;0, I157/100 +1, -100/I157 +1))</f>
        <v/>
      </c>
      <c r="K157" s="3"/>
      <c r="L157" s="3"/>
      <c r="N157" s="3" t="str">
        <f>IF(M157="", "", IF(M157="Draw", 0, IF(M157="win", L157, -1*K157)))</f>
        <v/>
      </c>
      <c r="O157" s="6" t="str">
        <f t="shared" si="2"/>
        <v/>
      </c>
      <c r="P157" s="7">
        <f>IF(M156="", P156, IF(C157="", P156, P156+LOOKUP(2, 1/($N$2:$N156&lt;&gt;""),$N$2:$N156) +Q157))</f>
        <v>141.32499999999999</v>
      </c>
      <c r="R157" t="b">
        <f>AND(ISNUMBER(FIND($E157,Tables!$I$2)), ISNUMBER(FIND($D157,Tables!$J$2)), $E157&lt;&gt;"")</f>
        <v>0</v>
      </c>
    </row>
    <row r="158" spans="1:18" x14ac:dyDescent="0.25">
      <c r="A158">
        <f>IF(AND(B158="", D158&lt;&gt;""), A157, A157+1)</f>
        <v>152</v>
      </c>
      <c r="B158" s="4"/>
      <c r="I158" s="8"/>
      <c r="J158" s="5" t="str">
        <f>IF(I158="", "", IF(I158&gt;0, I158/100 +1, -100/I158 +1))</f>
        <v/>
      </c>
      <c r="K158" s="3"/>
      <c r="L158" s="3"/>
      <c r="N158" s="3" t="str">
        <f>IF(M158="", "", IF(M158="Draw", 0, IF(M158="win", L158, -1*K158)))</f>
        <v/>
      </c>
      <c r="O158" s="6" t="str">
        <f t="shared" si="2"/>
        <v/>
      </c>
      <c r="P158" s="7">
        <f>IF(M157="", P157, IF(C158="", P157, P157+LOOKUP(2, 1/($N$2:$N157&lt;&gt;""),$N$2:$N157) +Q158))</f>
        <v>141.32499999999999</v>
      </c>
      <c r="R158" t="b">
        <f>AND(ISNUMBER(FIND($E158,Tables!$I$2)), ISNUMBER(FIND($D158,Tables!$J$2)), $E158&lt;&gt;"")</f>
        <v>0</v>
      </c>
    </row>
    <row r="159" spans="1:18" x14ac:dyDescent="0.25">
      <c r="A159">
        <f>IF(AND(B159="", D159&lt;&gt;""), A158, A158+1)</f>
        <v>153</v>
      </c>
      <c r="B159" s="4"/>
      <c r="I159" s="8"/>
      <c r="J159" s="5" t="str">
        <f>IF(I159="", "", IF(I159&gt;0, I159/100 +1, -100/I159 +1))</f>
        <v/>
      </c>
      <c r="K159" s="3"/>
      <c r="L159" s="3"/>
      <c r="N159" s="3" t="str">
        <f>IF(M159="", "", IF(M159="Draw", 0, IF(M159="win", L159, -1*K159)))</f>
        <v/>
      </c>
      <c r="O159" s="6" t="str">
        <f t="shared" si="2"/>
        <v/>
      </c>
      <c r="P159" s="7">
        <f>IF(M158="", P158, IF(C159="", P158, P158+LOOKUP(2, 1/($N$2:$N158&lt;&gt;""),$N$2:$N158) +Q159))</f>
        <v>141.32499999999999</v>
      </c>
      <c r="R159" t="b">
        <f>AND(ISNUMBER(FIND($E159,Tables!$I$2)), ISNUMBER(FIND($D159,Tables!$J$2)), $E159&lt;&gt;"")</f>
        <v>0</v>
      </c>
    </row>
    <row r="160" spans="1:18" x14ac:dyDescent="0.25">
      <c r="A160">
        <f>IF(AND(B160="", D160&lt;&gt;""), A159, A159+1)</f>
        <v>154</v>
      </c>
      <c r="B160" s="4"/>
      <c r="I160" s="8"/>
      <c r="J160" s="5" t="str">
        <f>IF(I160="", "", IF(I160&gt;0, I160/100 +1, -100/I160 +1))</f>
        <v/>
      </c>
      <c r="K160" s="3"/>
      <c r="L160" s="3"/>
      <c r="N160" s="3" t="str">
        <f>IF(M160="", "", IF(M160="Draw", 0, IF(M160="win", L160, -1*K160)))</f>
        <v/>
      </c>
      <c r="O160" s="6" t="str">
        <f t="shared" si="2"/>
        <v/>
      </c>
      <c r="P160" s="7">
        <f>IF(M159="", P159, IF(C160="", P159, P159+LOOKUP(2, 1/($N$2:$N159&lt;&gt;""),$N$2:$N159) +Q160))</f>
        <v>141.32499999999999</v>
      </c>
      <c r="R160" t="b">
        <f>AND(ISNUMBER(FIND($E160,Tables!$I$2)), ISNUMBER(FIND($D160,Tables!$J$2)), $E160&lt;&gt;"")</f>
        <v>0</v>
      </c>
    </row>
    <row r="161" spans="1:18" x14ac:dyDescent="0.25">
      <c r="A161">
        <f>IF(AND(B161="", D161&lt;&gt;""), A160, A160+1)</f>
        <v>155</v>
      </c>
      <c r="B161" s="4"/>
      <c r="I161" s="8"/>
      <c r="J161" s="5" t="str">
        <f>IF(I161="", "", IF(I161&gt;0, I161/100 +1, -100/I161 +1))</f>
        <v/>
      </c>
      <c r="K161" s="3"/>
      <c r="L161" s="3"/>
      <c r="N161" s="3" t="str">
        <f>IF(M161="", "", IF(M161="Draw", 0, IF(M161="win", L161, -1*K161)))</f>
        <v/>
      </c>
      <c r="O161" s="6" t="str">
        <f t="shared" si="2"/>
        <v/>
      </c>
      <c r="P161" s="7">
        <f>IF(M160="", P160, IF(C161="", P160, P160+LOOKUP(2, 1/($N$2:$N160&lt;&gt;""),$N$2:$N160) +Q161))</f>
        <v>141.32499999999999</v>
      </c>
      <c r="R161" t="b">
        <f>AND(ISNUMBER(FIND($E161,Tables!$I$2)), ISNUMBER(FIND($D161,Tables!$J$2)), $E161&lt;&gt;"")</f>
        <v>0</v>
      </c>
    </row>
    <row r="162" spans="1:18" x14ac:dyDescent="0.25">
      <c r="A162">
        <f>IF(AND(B162="", D162&lt;&gt;""), A161, A161+1)</f>
        <v>156</v>
      </c>
      <c r="B162" s="4"/>
      <c r="I162" s="8"/>
      <c r="J162" s="5" t="str">
        <f>IF(I162="", "", IF(I162&gt;0, I162/100 +1, -100/I162 +1))</f>
        <v/>
      </c>
      <c r="K162" s="3"/>
      <c r="L162" s="3"/>
      <c r="N162" s="3" t="str">
        <f>IF(M162="", "", IF(M162="Draw", 0, IF(M162="win", L162, -1*K162)))</f>
        <v/>
      </c>
      <c r="O162" s="6" t="str">
        <f t="shared" si="2"/>
        <v/>
      </c>
      <c r="P162" s="7">
        <f>IF(M161="", P161, IF(C162="", P161, P161+LOOKUP(2, 1/($N$2:$N161&lt;&gt;""),$N$2:$N161) +Q162))</f>
        <v>141.32499999999999</v>
      </c>
      <c r="R162" t="b">
        <f>AND(ISNUMBER(FIND($E162,Tables!$I$2)), ISNUMBER(FIND($D162,Tables!$J$2)), $E162&lt;&gt;"")</f>
        <v>0</v>
      </c>
    </row>
    <row r="163" spans="1:18" x14ac:dyDescent="0.25">
      <c r="A163">
        <f>IF(AND(B163="", D163&lt;&gt;""), A162, A162+1)</f>
        <v>157</v>
      </c>
      <c r="B163" s="4"/>
      <c r="I163" s="8"/>
      <c r="J163" s="5" t="str">
        <f>IF(I163="", "", IF(I163&gt;0, I163/100 +1, -100/I163 +1))</f>
        <v/>
      </c>
      <c r="K163" s="3"/>
      <c r="L163" s="3"/>
      <c r="N163" s="3" t="str">
        <f>IF(M163="", "", IF(M163="Draw", 0, IF(M163="win", L163, -1*K163)))</f>
        <v/>
      </c>
      <c r="O163" s="6" t="str">
        <f t="shared" si="2"/>
        <v/>
      </c>
      <c r="P163" s="7">
        <f>IF(M162="", P162, IF(C163="", P162, P162+LOOKUP(2, 1/($N$2:$N162&lt;&gt;""),$N$2:$N162) +Q163))</f>
        <v>141.32499999999999</v>
      </c>
      <c r="R163" t="b">
        <f>AND(ISNUMBER(FIND($E163,Tables!$I$2)), ISNUMBER(FIND($D163,Tables!$J$2)), $E163&lt;&gt;"")</f>
        <v>0</v>
      </c>
    </row>
    <row r="164" spans="1:18" x14ac:dyDescent="0.25">
      <c r="A164">
        <f>IF(AND(B164="", D164&lt;&gt;""), A163, A163+1)</f>
        <v>158</v>
      </c>
      <c r="B164" s="4"/>
      <c r="I164" s="8"/>
      <c r="J164" s="5" t="str">
        <f>IF(I164="", "", IF(I164&gt;0, I164/100 +1, -100/I164 +1))</f>
        <v/>
      </c>
      <c r="K164" s="3"/>
      <c r="L164" s="3"/>
      <c r="N164" s="3" t="str">
        <f>IF(M164="", "", IF(M164="Draw", 0, IF(M164="win", L164, -1*K164)))</f>
        <v/>
      </c>
      <c r="O164" s="6" t="str">
        <f t="shared" si="2"/>
        <v/>
      </c>
      <c r="P164" s="7">
        <f>IF(M163="", P163, IF(C164="", P163, P163+LOOKUP(2, 1/($N$2:$N163&lt;&gt;""),$N$2:$N163) +Q164))</f>
        <v>141.32499999999999</v>
      </c>
      <c r="R164" t="b">
        <f>AND(ISNUMBER(FIND($E164,Tables!$I$2)), ISNUMBER(FIND($D164,Tables!$J$2)), $E164&lt;&gt;"")</f>
        <v>0</v>
      </c>
    </row>
    <row r="165" spans="1:18" x14ac:dyDescent="0.25">
      <c r="A165">
        <f>IF(AND(B165="", D165&lt;&gt;""), A164, A164+1)</f>
        <v>159</v>
      </c>
      <c r="B165" s="4"/>
      <c r="I165" s="8"/>
      <c r="J165" s="5" t="str">
        <f>IF(I165="", "", IF(I165&gt;0, I165/100 +1, -100/I165 +1))</f>
        <v/>
      </c>
      <c r="K165" s="3"/>
      <c r="L165" s="3"/>
      <c r="N165" s="3" t="str">
        <f>IF(M165="", "", IF(M165="Draw", 0, IF(M165="win", L165, -1*K165)))</f>
        <v/>
      </c>
      <c r="O165" s="6" t="str">
        <f t="shared" si="2"/>
        <v/>
      </c>
      <c r="P165" s="7">
        <f>IF(M164="", P164, IF(C165="", P164, P164+LOOKUP(2, 1/($N$2:$N164&lt;&gt;""),$N$2:$N164) +Q165))</f>
        <v>141.32499999999999</v>
      </c>
      <c r="R165" t="b">
        <f>AND(ISNUMBER(FIND($E165,Tables!$I$2)), ISNUMBER(FIND($D165,Tables!$J$2)), $E165&lt;&gt;"")</f>
        <v>0</v>
      </c>
    </row>
    <row r="166" spans="1:18" x14ac:dyDescent="0.25">
      <c r="A166">
        <f>IF(AND(B166="", D166&lt;&gt;""), A165, A165+1)</f>
        <v>160</v>
      </c>
      <c r="B166" s="4"/>
      <c r="I166" s="8"/>
      <c r="J166" s="5" t="str">
        <f>IF(I166="", "", IF(I166&gt;0, I166/100 +1, -100/I166 +1))</f>
        <v/>
      </c>
      <c r="K166" s="3"/>
      <c r="L166" s="3"/>
      <c r="N166" s="3" t="str">
        <f>IF(M166="", "", IF(M166="Draw", 0, IF(M166="win", L166, -1*K166)))</f>
        <v/>
      </c>
      <c r="O166" s="6" t="str">
        <f t="shared" si="2"/>
        <v/>
      </c>
      <c r="P166" s="7">
        <f>IF(M165="", P165, IF(C166="", P165, P165+LOOKUP(2, 1/($N$2:$N165&lt;&gt;""),$N$2:$N165) +Q166))</f>
        <v>141.32499999999999</v>
      </c>
      <c r="R166" t="b">
        <f>AND(ISNUMBER(FIND($E166,Tables!$I$2)), ISNUMBER(FIND($D166,Tables!$J$2)), $E166&lt;&gt;"")</f>
        <v>0</v>
      </c>
    </row>
    <row r="167" spans="1:18" x14ac:dyDescent="0.25">
      <c r="A167">
        <f>IF(AND(B167="", D167&lt;&gt;""), A166, A166+1)</f>
        <v>161</v>
      </c>
      <c r="B167" s="4"/>
      <c r="I167" s="8"/>
      <c r="J167" s="5" t="str">
        <f>IF(I167="", "", IF(I167&gt;0, I167/100 +1, -100/I167 +1))</f>
        <v/>
      </c>
      <c r="K167" s="3"/>
      <c r="L167" s="3"/>
      <c r="N167" s="3" t="str">
        <f>IF(M167="", "", IF(M167="Draw", 0, IF(M167="win", L167, -1*K167)))</f>
        <v/>
      </c>
      <c r="O167" s="6" t="str">
        <f t="shared" si="2"/>
        <v/>
      </c>
      <c r="P167" s="7">
        <f>IF(M166="", P166, IF(C167="", P166, P166+LOOKUP(2, 1/($N$2:$N166&lt;&gt;""),$N$2:$N166) +Q167))</f>
        <v>141.32499999999999</v>
      </c>
      <c r="R167" t="b">
        <f>AND(ISNUMBER(FIND($E167,Tables!$I$2)), ISNUMBER(FIND($D167,Tables!$J$2)), $E167&lt;&gt;"")</f>
        <v>0</v>
      </c>
    </row>
    <row r="168" spans="1:18" x14ac:dyDescent="0.25">
      <c r="A168">
        <f>IF(AND(B168="", D168&lt;&gt;""), A167, A167+1)</f>
        <v>162</v>
      </c>
      <c r="B168" s="4"/>
      <c r="I168" s="8"/>
      <c r="J168" s="5" t="str">
        <f>IF(I168="", "", IF(I168&gt;0, I168/100 +1, -100/I168 +1))</f>
        <v/>
      </c>
      <c r="K168" s="3"/>
      <c r="L168" s="3"/>
      <c r="N168" s="3" t="str">
        <f>IF(M168="", "", IF(M168="Draw", 0, IF(M168="win", L168, -1*K168)))</f>
        <v/>
      </c>
      <c r="O168" s="6" t="str">
        <f t="shared" si="2"/>
        <v/>
      </c>
      <c r="P168" s="7">
        <f>IF(M167="", P167, IF(C168="", P167, P167+LOOKUP(2, 1/($N$2:$N167&lt;&gt;""),$N$2:$N167) +Q168))</f>
        <v>141.32499999999999</v>
      </c>
      <c r="R168" t="b">
        <f>AND(ISNUMBER(FIND($E168,Tables!$I$2)), ISNUMBER(FIND($D168,Tables!$J$2)), $E168&lt;&gt;"")</f>
        <v>0</v>
      </c>
    </row>
    <row r="169" spans="1:18" x14ac:dyDescent="0.25">
      <c r="A169">
        <f>IF(AND(B169="", D169&lt;&gt;""), A168, A168+1)</f>
        <v>163</v>
      </c>
      <c r="B169" s="4"/>
      <c r="I169" s="8"/>
      <c r="J169" s="5" t="str">
        <f>IF(I169="", "", IF(I169&gt;0, I169/100 +1, -100/I169 +1))</f>
        <v/>
      </c>
      <c r="K169" s="3"/>
      <c r="L169" s="3"/>
      <c r="N169" s="3" t="str">
        <f>IF(M169="", "", IF(M169="Draw", 0, IF(M169="win", L169, -1*K169)))</f>
        <v/>
      </c>
      <c r="O169" s="6" t="str">
        <f t="shared" si="2"/>
        <v/>
      </c>
      <c r="P169" s="7">
        <f>IF(M168="", P168, IF(C169="", P168, P168+LOOKUP(2, 1/($N$2:$N168&lt;&gt;""),$N$2:$N168) +Q169))</f>
        <v>141.32499999999999</v>
      </c>
      <c r="R169" t="b">
        <f>AND(ISNUMBER(FIND($E169,Tables!$I$2)), ISNUMBER(FIND($D169,Tables!$J$2)), $E169&lt;&gt;"")</f>
        <v>0</v>
      </c>
    </row>
    <row r="170" spans="1:18" x14ac:dyDescent="0.25">
      <c r="A170">
        <f>IF(AND(B170="", D170&lt;&gt;""), A169, A169+1)</f>
        <v>164</v>
      </c>
      <c r="B170" s="4"/>
      <c r="I170" s="8"/>
      <c r="J170" s="5" t="str">
        <f>IF(I170="", "", IF(I170&gt;0, I170/100 +1, -100/I170 +1))</f>
        <v/>
      </c>
      <c r="K170" s="3"/>
      <c r="L170" s="3"/>
      <c r="N170" s="3" t="str">
        <f>IF(M170="", "", IF(M170="Draw", 0, IF(M170="win", L170, -1*K170)))</f>
        <v/>
      </c>
      <c r="O170" s="6" t="str">
        <f t="shared" si="2"/>
        <v/>
      </c>
      <c r="P170" s="7">
        <f>IF(M169="", P169, IF(C170="", P169, P169+LOOKUP(2, 1/($N$2:$N169&lt;&gt;""),$N$2:$N169) +Q170))</f>
        <v>141.32499999999999</v>
      </c>
      <c r="R170" t="b">
        <f>AND(ISNUMBER(FIND($E170,Tables!$I$2)), ISNUMBER(FIND($D170,Tables!$J$2)), $E170&lt;&gt;"")</f>
        <v>0</v>
      </c>
    </row>
    <row r="171" spans="1:18" x14ac:dyDescent="0.25">
      <c r="A171">
        <f>IF(AND(B171="", D171&lt;&gt;""), A170, A170+1)</f>
        <v>165</v>
      </c>
      <c r="B171" s="4"/>
      <c r="I171" s="8"/>
      <c r="J171" s="5" t="str">
        <f>IF(I171="", "", IF(I171&gt;0, I171/100 +1, -100/I171 +1))</f>
        <v/>
      </c>
      <c r="K171" s="3"/>
      <c r="L171" s="3"/>
      <c r="N171" s="3" t="str">
        <f>IF(M171="", "", IF(M171="Draw", 0, IF(M171="win", L171, -1*K171)))</f>
        <v/>
      </c>
      <c r="O171" s="6" t="str">
        <f t="shared" si="2"/>
        <v/>
      </c>
      <c r="P171" s="7">
        <f>IF(M170="", P170, IF(C171="", P170, P170+LOOKUP(2, 1/($N$2:$N170&lt;&gt;""),$N$2:$N170) +Q171))</f>
        <v>141.32499999999999</v>
      </c>
      <c r="R171" t="b">
        <f>AND(ISNUMBER(FIND($E171,Tables!$I$2)), ISNUMBER(FIND($D171,Tables!$J$2)), $E171&lt;&gt;"")</f>
        <v>0</v>
      </c>
    </row>
    <row r="172" spans="1:18" x14ac:dyDescent="0.25">
      <c r="A172">
        <f>IF(AND(B172="", D172&lt;&gt;""), A171, A171+1)</f>
        <v>166</v>
      </c>
      <c r="B172" s="4"/>
      <c r="I172" s="8"/>
      <c r="J172" s="5" t="str">
        <f>IF(I172="", "", IF(I172&gt;0, I172/100 +1, -100/I172 +1))</f>
        <v/>
      </c>
      <c r="K172" s="3"/>
      <c r="L172" s="3"/>
      <c r="N172" s="3" t="str">
        <f>IF(M172="", "", IF(M172="Draw", 0, IF(M172="win", L172, -1*K172)))</f>
        <v/>
      </c>
      <c r="O172" s="6" t="str">
        <f t="shared" si="2"/>
        <v/>
      </c>
      <c r="P172" s="7">
        <f>IF(M171="", P171, IF(C172="", P171, P171+LOOKUP(2, 1/($N$2:$N171&lt;&gt;""),$N$2:$N171) +Q172))</f>
        <v>141.32499999999999</v>
      </c>
      <c r="R172" t="b">
        <f>AND(ISNUMBER(FIND($E172,Tables!$I$2)), ISNUMBER(FIND($D172,Tables!$J$2)), $E172&lt;&gt;"")</f>
        <v>0</v>
      </c>
    </row>
    <row r="173" spans="1:18" x14ac:dyDescent="0.25">
      <c r="A173">
        <f>IF(AND(B173="", D173&lt;&gt;""), A172, A172+1)</f>
        <v>167</v>
      </c>
      <c r="B173" s="4"/>
      <c r="I173" s="8"/>
      <c r="J173" s="5" t="str">
        <f>IF(I173="", "", IF(I173&gt;0, I173/100 +1, -100/I173 +1))</f>
        <v/>
      </c>
      <c r="K173" s="3"/>
      <c r="L173" s="3"/>
      <c r="N173" s="3" t="str">
        <f>IF(M173="", "", IF(M173="Draw", 0, IF(M173="win", L173, -1*K173)))</f>
        <v/>
      </c>
      <c r="O173" s="6" t="str">
        <f t="shared" si="2"/>
        <v/>
      </c>
      <c r="P173" s="7">
        <f>IF(M172="", P172, IF(C173="", P172, P172+LOOKUP(2, 1/($N$2:$N172&lt;&gt;""),$N$2:$N172) +Q173))</f>
        <v>141.32499999999999</v>
      </c>
      <c r="R173" t="b">
        <f>AND(ISNUMBER(FIND($E173,Tables!$I$2)), ISNUMBER(FIND($D173,Tables!$J$2)), $E173&lt;&gt;"")</f>
        <v>0</v>
      </c>
    </row>
    <row r="174" spans="1:18" x14ac:dyDescent="0.25">
      <c r="A174">
        <f>IF(AND(B174="", D174&lt;&gt;""), A173, A173+1)</f>
        <v>168</v>
      </c>
      <c r="B174" s="4"/>
      <c r="I174" s="8"/>
      <c r="J174" s="5" t="str">
        <f>IF(I174="", "", IF(I174&gt;0, I174/100 +1, -100/I174 +1))</f>
        <v/>
      </c>
      <c r="K174" s="3"/>
      <c r="L174" s="3"/>
      <c r="N174" s="3" t="str">
        <f>IF(M174="", "", IF(M174="Draw", 0, IF(M174="win", L174, -1*K174)))</f>
        <v/>
      </c>
      <c r="O174" s="6" t="str">
        <f t="shared" si="2"/>
        <v/>
      </c>
      <c r="P174" s="7">
        <f>IF(M173="", P173, IF(C174="", P173, P173+LOOKUP(2, 1/($N$2:$N173&lt;&gt;""),$N$2:$N173) +Q174))</f>
        <v>141.32499999999999</v>
      </c>
      <c r="R174" t="b">
        <f>AND(ISNUMBER(FIND($E174,Tables!$I$2)), ISNUMBER(FIND($D174,Tables!$J$2)), $E174&lt;&gt;"")</f>
        <v>0</v>
      </c>
    </row>
    <row r="175" spans="1:18" x14ac:dyDescent="0.25">
      <c r="A175">
        <f>IF(AND(B175="", D175&lt;&gt;""), A174, A174+1)</f>
        <v>169</v>
      </c>
      <c r="B175" s="4"/>
      <c r="I175" s="8"/>
      <c r="J175" s="5" t="str">
        <f>IF(I175="", "", IF(I175&gt;0, I175/100 +1, -100/I175 +1))</f>
        <v/>
      </c>
      <c r="K175" s="3"/>
      <c r="L175" s="3"/>
      <c r="N175" s="3" t="str">
        <f>IF(M175="", "", IF(M175="Draw", 0, IF(M175="win", L175, -1*K175)))</f>
        <v/>
      </c>
      <c r="O175" s="6" t="str">
        <f t="shared" si="2"/>
        <v/>
      </c>
      <c r="P175" s="7">
        <f>IF(M174="", P174, IF(C175="", P174, P174+LOOKUP(2, 1/($N$2:$N174&lt;&gt;""),$N$2:$N174) +Q175))</f>
        <v>141.32499999999999</v>
      </c>
      <c r="R175" t="b">
        <f>AND(ISNUMBER(FIND($E175,Tables!$I$2)), ISNUMBER(FIND($D175,Tables!$J$2)), $E175&lt;&gt;"")</f>
        <v>0</v>
      </c>
    </row>
    <row r="176" spans="1:18" x14ac:dyDescent="0.25">
      <c r="A176">
        <f>IF(AND(B176="", D176&lt;&gt;""), A175, A175+1)</f>
        <v>170</v>
      </c>
      <c r="B176" s="4"/>
      <c r="I176" s="8"/>
      <c r="J176" s="5" t="str">
        <f>IF(I176="", "", IF(I176&gt;0, I176/100 +1, -100/I176 +1))</f>
        <v/>
      </c>
      <c r="K176" s="3"/>
      <c r="L176" s="3"/>
      <c r="N176" s="3" t="str">
        <f>IF(M176="", "", IF(M176="Draw", 0, IF(M176="win", L176, -1*K176)))</f>
        <v/>
      </c>
      <c r="O176" s="6" t="str">
        <f t="shared" si="2"/>
        <v/>
      </c>
      <c r="P176" s="7">
        <f>IF(M175="", P175, IF(C176="", P175, P175+LOOKUP(2, 1/($N$2:$N175&lt;&gt;""),$N$2:$N175) +Q176))</f>
        <v>141.32499999999999</v>
      </c>
      <c r="R176" t="b">
        <f>AND(ISNUMBER(FIND($E176,Tables!$I$2)), ISNUMBER(FIND($D176,Tables!$J$2)), $E176&lt;&gt;"")</f>
        <v>0</v>
      </c>
    </row>
    <row r="177" spans="1:18" x14ac:dyDescent="0.25">
      <c r="A177">
        <f>IF(AND(B177="", D177&lt;&gt;""), A176, A176+1)</f>
        <v>171</v>
      </c>
      <c r="B177" s="4"/>
      <c r="I177" s="8"/>
      <c r="J177" s="5" t="str">
        <f>IF(I177="", "", IF(I177&gt;0, I177/100 +1, -100/I177 +1))</f>
        <v/>
      </c>
      <c r="K177" s="3"/>
      <c r="L177" s="3"/>
      <c r="N177" s="3" t="str">
        <f>IF(M177="", "", IF(M177="Draw", 0, IF(M177="win", L177, -1*K177)))</f>
        <v/>
      </c>
      <c r="O177" s="6" t="str">
        <f t="shared" si="2"/>
        <v/>
      </c>
      <c r="P177" s="7">
        <f>IF(M176="", P176, IF(C177="", P176, P176+LOOKUP(2, 1/($N$2:$N176&lt;&gt;""),$N$2:$N176) +Q177))</f>
        <v>141.32499999999999</v>
      </c>
      <c r="R177" t="b">
        <f>AND(ISNUMBER(FIND($E177,Tables!$I$2)), ISNUMBER(FIND($D177,Tables!$J$2)), $E177&lt;&gt;"")</f>
        <v>0</v>
      </c>
    </row>
    <row r="178" spans="1:18" x14ac:dyDescent="0.25">
      <c r="A178">
        <f>IF(AND(B178="", D178&lt;&gt;""), A177, A177+1)</f>
        <v>172</v>
      </c>
      <c r="B178" s="4"/>
      <c r="I178" s="8"/>
      <c r="J178" s="5" t="str">
        <f>IF(I178="", "", IF(I178&gt;0, I178/100 +1, -100/I178 +1))</f>
        <v/>
      </c>
      <c r="K178" s="3"/>
      <c r="L178" s="3"/>
      <c r="N178" s="3" t="str">
        <f>IF(M178="", "", IF(M178="Draw", 0, IF(M178="win", L178, -1*K178)))</f>
        <v/>
      </c>
      <c r="O178" s="6" t="str">
        <f t="shared" si="2"/>
        <v/>
      </c>
      <c r="P178" s="7">
        <f>IF(M177="", P177, IF(C178="", P177, P177+LOOKUP(2, 1/($N$2:$N177&lt;&gt;""),$N$2:$N177) +Q178))</f>
        <v>141.32499999999999</v>
      </c>
      <c r="R178" t="b">
        <f>AND(ISNUMBER(FIND($E178,Tables!$I$2)), ISNUMBER(FIND($D178,Tables!$J$2)), $E178&lt;&gt;"")</f>
        <v>0</v>
      </c>
    </row>
    <row r="179" spans="1:18" x14ac:dyDescent="0.25">
      <c r="A179">
        <f>IF(AND(B179="", D179&lt;&gt;""), A178, A178+1)</f>
        <v>173</v>
      </c>
      <c r="B179" s="4"/>
      <c r="I179" s="8"/>
      <c r="J179" s="5" t="str">
        <f>IF(I179="", "", IF(I179&gt;0, I179/100 +1, -100/I179 +1))</f>
        <v/>
      </c>
      <c r="K179" s="3"/>
      <c r="L179" s="3"/>
      <c r="N179" s="3" t="str">
        <f>IF(M179="", "", IF(M179="Draw", 0, IF(M179="win", L179, -1*K179)))</f>
        <v/>
      </c>
      <c r="O179" s="6" t="str">
        <f t="shared" si="2"/>
        <v/>
      </c>
      <c r="P179" s="7">
        <f>IF(M178="", P178, IF(C179="", P178, P178+LOOKUP(2, 1/($N$2:$N178&lt;&gt;""),$N$2:$N178) +Q179))</f>
        <v>141.32499999999999</v>
      </c>
      <c r="R179" t="b">
        <f>AND(ISNUMBER(FIND($E179,Tables!$I$2)), ISNUMBER(FIND($D179,Tables!$J$2)), $E179&lt;&gt;"")</f>
        <v>0</v>
      </c>
    </row>
    <row r="180" spans="1:18" x14ac:dyDescent="0.25">
      <c r="A180">
        <f>IF(AND(B180="", D180&lt;&gt;""), A179, A179+1)</f>
        <v>174</v>
      </c>
      <c r="B180" s="4"/>
      <c r="I180" s="8"/>
      <c r="J180" s="5" t="str">
        <f>IF(I180="", "", IF(I180&gt;0, I180/100 +1, -100/I180 +1))</f>
        <v/>
      </c>
      <c r="K180" s="3"/>
      <c r="L180" s="3"/>
      <c r="N180" s="3" t="str">
        <f>IF(M180="", "", IF(M180="Draw", 0, IF(M180="win", L180, -1*K180)))</f>
        <v/>
      </c>
      <c r="O180" s="6" t="str">
        <f t="shared" si="2"/>
        <v/>
      </c>
      <c r="P180" s="7">
        <f>IF(M179="", P179, IF(C180="", P179, P179+LOOKUP(2, 1/($N$2:$N179&lt;&gt;""),$N$2:$N179) +Q180))</f>
        <v>141.32499999999999</v>
      </c>
      <c r="R180" t="b">
        <f>AND(ISNUMBER(FIND($E180,Tables!$I$2)), ISNUMBER(FIND($D180,Tables!$J$2)), $E180&lt;&gt;"")</f>
        <v>0</v>
      </c>
    </row>
    <row r="181" spans="1:18" x14ac:dyDescent="0.25">
      <c r="A181">
        <f>IF(AND(B181="", D181&lt;&gt;""), A180, A180+1)</f>
        <v>175</v>
      </c>
      <c r="B181" s="4"/>
      <c r="I181" s="8"/>
      <c r="J181" s="5" t="str">
        <f>IF(I181="", "", IF(I181&gt;0, I181/100 +1, -100/I181 +1))</f>
        <v/>
      </c>
      <c r="K181" s="3"/>
      <c r="L181" s="3"/>
      <c r="N181" s="3" t="str">
        <f>IF(M181="", "", IF(M181="Draw", 0, IF(M181="win", L181, -1*K181)))</f>
        <v/>
      </c>
      <c r="O181" s="6" t="str">
        <f t="shared" si="2"/>
        <v/>
      </c>
      <c r="P181" s="7">
        <f>IF(M180="", P180, IF(C181="", P180, P180+LOOKUP(2, 1/($N$2:$N180&lt;&gt;""),$N$2:$N180) +Q181))</f>
        <v>141.32499999999999</v>
      </c>
      <c r="R181" t="b">
        <f>AND(ISNUMBER(FIND($E181,Tables!$I$2)), ISNUMBER(FIND($D181,Tables!$J$2)), $E181&lt;&gt;"")</f>
        <v>0</v>
      </c>
    </row>
    <row r="182" spans="1:18" x14ac:dyDescent="0.25">
      <c r="A182">
        <f>IF(AND(B182="", D182&lt;&gt;""), A181, A181+1)</f>
        <v>176</v>
      </c>
      <c r="B182" s="4"/>
      <c r="I182" s="8"/>
      <c r="J182" s="5" t="str">
        <f>IF(I182="", "", IF(I182&gt;0, I182/100 +1, -100/I182 +1))</f>
        <v/>
      </c>
      <c r="K182" s="3"/>
      <c r="L182" s="3"/>
      <c r="N182" s="3" t="str">
        <f>IF(M182="", "", IF(M182="Draw", 0, IF(M182="win", L182, -1*K182)))</f>
        <v/>
      </c>
      <c r="O182" s="6" t="str">
        <f t="shared" si="2"/>
        <v/>
      </c>
      <c r="P182" s="7">
        <f>IF(M181="", P181, IF(C182="", P181, P181+LOOKUP(2, 1/($N$2:$N181&lt;&gt;""),$N$2:$N181) +Q182))</f>
        <v>141.32499999999999</v>
      </c>
      <c r="R182" t="b">
        <f>AND(ISNUMBER(FIND($E182,Tables!$I$2)), ISNUMBER(FIND($D182,Tables!$J$2)), $E182&lt;&gt;"")</f>
        <v>0</v>
      </c>
    </row>
    <row r="183" spans="1:18" x14ac:dyDescent="0.25">
      <c r="A183">
        <f>IF(AND(B183="", D183&lt;&gt;""), A182, A182+1)</f>
        <v>177</v>
      </c>
      <c r="B183" s="4"/>
      <c r="I183" s="8"/>
      <c r="J183" s="5" t="str">
        <f>IF(I183="", "", IF(I183&gt;0, I183/100 +1, -100/I183 +1))</f>
        <v/>
      </c>
      <c r="K183" s="3"/>
      <c r="L183" s="3"/>
      <c r="N183" s="3" t="str">
        <f>IF(M183="", "", IF(M183="Draw", 0, IF(M183="win", L183, -1*K183)))</f>
        <v/>
      </c>
      <c r="O183" s="6" t="str">
        <f t="shared" si="2"/>
        <v/>
      </c>
      <c r="P183" s="7">
        <f>IF(M182="", P182, IF(C183="", P182, P182+LOOKUP(2, 1/($N$2:$N182&lt;&gt;""),$N$2:$N182) +Q183))</f>
        <v>141.32499999999999</v>
      </c>
      <c r="R183" t="b">
        <f>AND(ISNUMBER(FIND($E183,Tables!$I$2)), ISNUMBER(FIND($D183,Tables!$J$2)), $E183&lt;&gt;"")</f>
        <v>0</v>
      </c>
    </row>
    <row r="184" spans="1:18" x14ac:dyDescent="0.25">
      <c r="A184">
        <f>IF(AND(B184="", D184&lt;&gt;""), A183, A183+1)</f>
        <v>178</v>
      </c>
      <c r="B184" s="4"/>
      <c r="I184" s="8"/>
      <c r="J184" s="5" t="str">
        <f>IF(I184="", "", IF(I184&gt;0, I184/100 +1, -100/I184 +1))</f>
        <v/>
      </c>
      <c r="K184" s="3"/>
      <c r="L184" s="3"/>
      <c r="N184" s="3" t="str">
        <f>IF(M184="", "", IF(M184="Draw", 0, IF(M184="win", L184, -1*K184)))</f>
        <v/>
      </c>
      <c r="O184" s="6" t="str">
        <f t="shared" si="2"/>
        <v/>
      </c>
      <c r="P184" s="7">
        <f>IF(M183="", P183, IF(C184="", P183, P183+LOOKUP(2, 1/($N$2:$N183&lt;&gt;""),$N$2:$N183) +Q184))</f>
        <v>141.32499999999999</v>
      </c>
      <c r="R184" t="b">
        <f>AND(ISNUMBER(FIND($E184,Tables!$I$2)), ISNUMBER(FIND($D184,Tables!$J$2)), $E184&lt;&gt;"")</f>
        <v>0</v>
      </c>
    </row>
    <row r="185" spans="1:18" x14ac:dyDescent="0.25">
      <c r="A185">
        <f>IF(AND(B185="", D185&lt;&gt;""), A184, A184+1)</f>
        <v>179</v>
      </c>
      <c r="B185" s="4"/>
      <c r="I185" s="8"/>
      <c r="J185" s="5" t="str">
        <f>IF(I185="", "", IF(I185&gt;0, I185/100 +1, -100/I185 +1))</f>
        <v/>
      </c>
      <c r="K185" s="3"/>
      <c r="L185" s="3"/>
      <c r="N185" s="3" t="str">
        <f>IF(M185="", "", IF(M185="Draw", 0, IF(M185="win", L185, -1*K185)))</f>
        <v/>
      </c>
      <c r="O185" s="6" t="str">
        <f t="shared" si="2"/>
        <v/>
      </c>
      <c r="P185" s="7">
        <f>IF(M184="", P184, IF(C185="", P184, P184+LOOKUP(2, 1/($N$2:$N184&lt;&gt;""),$N$2:$N184) +Q185))</f>
        <v>141.32499999999999</v>
      </c>
      <c r="R185" t="b">
        <f>AND(ISNUMBER(FIND($E185,Tables!$I$2)), ISNUMBER(FIND($D185,Tables!$J$2)), $E185&lt;&gt;"")</f>
        <v>0</v>
      </c>
    </row>
    <row r="186" spans="1:18" x14ac:dyDescent="0.25">
      <c r="A186">
        <f>IF(AND(B186="", D186&lt;&gt;""), A185, A185+1)</f>
        <v>180</v>
      </c>
      <c r="B186" s="4"/>
      <c r="I186" s="8"/>
      <c r="J186" s="5" t="str">
        <f>IF(I186="", "", IF(I186&gt;0, I186/100 +1, -100/I186 +1))</f>
        <v/>
      </c>
      <c r="K186" s="3"/>
      <c r="L186" s="3"/>
      <c r="N186" s="3" t="str">
        <f>IF(M186="", "", IF(M186="Draw", 0, IF(M186="win", L186, -1*K186)))</f>
        <v/>
      </c>
      <c r="O186" s="6" t="str">
        <f t="shared" si="2"/>
        <v/>
      </c>
      <c r="P186" s="7">
        <f>IF(M185="", P185, IF(C186="", P185, P185+LOOKUP(2, 1/($N$2:$N185&lt;&gt;""),$N$2:$N185) +Q186))</f>
        <v>141.32499999999999</v>
      </c>
      <c r="R186" t="b">
        <f>AND(ISNUMBER(FIND($E186,Tables!$I$2)), ISNUMBER(FIND($D186,Tables!$J$2)), $E186&lt;&gt;"")</f>
        <v>0</v>
      </c>
    </row>
    <row r="187" spans="1:18" x14ac:dyDescent="0.25">
      <c r="A187">
        <f>IF(AND(B187="", D187&lt;&gt;""), A186, A186+1)</f>
        <v>181</v>
      </c>
      <c r="B187" s="4"/>
      <c r="I187" s="8"/>
      <c r="J187" s="5" t="str">
        <f>IF(I187="", "", IF(I187&gt;0, I187/100 +1, -100/I187 +1))</f>
        <v/>
      </c>
      <c r="K187" s="3"/>
      <c r="L187" s="3"/>
      <c r="N187" s="3" t="str">
        <f>IF(M187="", "", IF(M187="Draw", 0, IF(M187="win", L187, -1*K187)))</f>
        <v/>
      </c>
      <c r="O187" s="6" t="str">
        <f t="shared" si="2"/>
        <v/>
      </c>
      <c r="P187" s="7">
        <f>IF(M186="", P186, IF(C187="", P186, P186+LOOKUP(2, 1/($N$2:$N186&lt;&gt;""),$N$2:$N186) +Q187))</f>
        <v>141.32499999999999</v>
      </c>
      <c r="R187" t="b">
        <f>AND(ISNUMBER(FIND($E187,Tables!$I$2)), ISNUMBER(FIND($D187,Tables!$J$2)), $E187&lt;&gt;"")</f>
        <v>0</v>
      </c>
    </row>
    <row r="188" spans="1:18" x14ac:dyDescent="0.25">
      <c r="A188">
        <f>IF(AND(B188="", D188&lt;&gt;""), A187, A187+1)</f>
        <v>182</v>
      </c>
      <c r="B188" s="4"/>
      <c r="I188" s="8"/>
      <c r="J188" s="5" t="str">
        <f>IF(I188="", "", IF(I188&gt;0, I188/100 +1, -100/I188 +1))</f>
        <v/>
      </c>
      <c r="K188" s="3"/>
      <c r="L188" s="3"/>
      <c r="N188" s="3" t="str">
        <f>IF(M188="", "", IF(M188="Draw", 0, IF(M188="win", L188, -1*K188)))</f>
        <v/>
      </c>
      <c r="O188" s="6" t="str">
        <f t="shared" si="2"/>
        <v/>
      </c>
      <c r="P188" s="7">
        <f>IF(M187="", P187, IF(C188="", P187, P187+LOOKUP(2, 1/($N$2:$N187&lt;&gt;""),$N$2:$N187) +Q188))</f>
        <v>141.32499999999999</v>
      </c>
      <c r="R188" t="b">
        <f>AND(ISNUMBER(FIND($E188,Tables!$I$2)), ISNUMBER(FIND($D188,Tables!$J$2)), $E188&lt;&gt;"")</f>
        <v>0</v>
      </c>
    </row>
    <row r="189" spans="1:18" x14ac:dyDescent="0.25">
      <c r="A189">
        <f>IF(AND(B189="", D189&lt;&gt;""), A188, A188+1)</f>
        <v>183</v>
      </c>
      <c r="B189" s="4"/>
      <c r="I189" s="8"/>
      <c r="J189" s="5" t="str">
        <f>IF(I189="", "", IF(I189&gt;0, I189/100 +1, -100/I189 +1))</f>
        <v/>
      </c>
      <c r="K189" s="3"/>
      <c r="L189" s="3"/>
      <c r="N189" s="3" t="str">
        <f>IF(M189="", "", IF(M189="Draw", 0, IF(M189="win", L189, -1*K189)))</f>
        <v/>
      </c>
      <c r="O189" s="6" t="str">
        <f t="shared" si="2"/>
        <v/>
      </c>
      <c r="P189" s="7">
        <f>IF(M188="", P188, IF(C189="", P188, P188+LOOKUP(2, 1/($N$2:$N188&lt;&gt;""),$N$2:$N188) +Q189))</f>
        <v>141.32499999999999</v>
      </c>
      <c r="R189" t="b">
        <f>AND(ISNUMBER(FIND($E189,Tables!$I$2)), ISNUMBER(FIND($D189,Tables!$J$2)), $E189&lt;&gt;"")</f>
        <v>0</v>
      </c>
    </row>
    <row r="190" spans="1:18" x14ac:dyDescent="0.25">
      <c r="A190">
        <f>IF(AND(B190="", D190&lt;&gt;""), A189, A189+1)</f>
        <v>184</v>
      </c>
      <c r="B190" s="4"/>
      <c r="I190" s="8"/>
      <c r="J190" s="5" t="str">
        <f>IF(I190="", "", IF(I190&gt;0, I190/100 +1, -100/I190 +1))</f>
        <v/>
      </c>
      <c r="K190" s="3"/>
      <c r="L190" s="3"/>
      <c r="N190" s="3" t="str">
        <f>IF(M190="", "", IF(M190="Draw", 0, IF(M190="win", L190, -1*K190)))</f>
        <v/>
      </c>
      <c r="O190" s="6" t="str">
        <f t="shared" si="2"/>
        <v/>
      </c>
      <c r="P190" s="7">
        <f>IF(M189="", P189, IF(C190="", P189, P189+LOOKUP(2, 1/($N$2:$N189&lt;&gt;""),$N$2:$N189) +Q190))</f>
        <v>141.32499999999999</v>
      </c>
      <c r="R190" t="b">
        <f>AND(ISNUMBER(FIND($E190,Tables!$I$2)), ISNUMBER(FIND($D190,Tables!$J$2)), $E190&lt;&gt;"")</f>
        <v>0</v>
      </c>
    </row>
    <row r="191" spans="1:18" x14ac:dyDescent="0.25">
      <c r="A191">
        <f>IF(AND(B191="", D191&lt;&gt;""), A190, A190+1)</f>
        <v>185</v>
      </c>
      <c r="B191" s="4"/>
      <c r="I191" s="8"/>
      <c r="J191" s="5" t="str">
        <f>IF(I191="", "", IF(I191&gt;0, I191/100 +1, -100/I191 +1))</f>
        <v/>
      </c>
      <c r="K191" s="3"/>
      <c r="L191" s="3"/>
      <c r="N191" s="3" t="str">
        <f>IF(M191="", "", IF(M191="Draw", 0, IF(M191="win", L191, -1*K191)))</f>
        <v/>
      </c>
      <c r="O191" s="6" t="str">
        <f t="shared" si="2"/>
        <v/>
      </c>
      <c r="P191" s="7">
        <f>IF(M190="", P190, IF(C191="", P190, P190+LOOKUP(2, 1/($N$2:$N190&lt;&gt;""),$N$2:$N190) +Q191))</f>
        <v>141.32499999999999</v>
      </c>
      <c r="R191" t="b">
        <f>AND(ISNUMBER(FIND($E191,Tables!$I$2)), ISNUMBER(FIND($D191,Tables!$J$2)), $E191&lt;&gt;"")</f>
        <v>0</v>
      </c>
    </row>
    <row r="192" spans="1:18" x14ac:dyDescent="0.25">
      <c r="A192">
        <f>IF(AND(B192="", D192&lt;&gt;""), A191, A191+1)</f>
        <v>186</v>
      </c>
      <c r="B192" s="4"/>
      <c r="I192" s="8"/>
      <c r="J192" s="5" t="str">
        <f>IF(I192="", "", IF(I192&gt;0, I192/100 +1, -100/I192 +1))</f>
        <v/>
      </c>
      <c r="K192" s="3"/>
      <c r="L192" s="3"/>
      <c r="N192" s="3" t="str">
        <f>IF(M192="", "", IF(M192="Draw", 0, IF(M192="win", L192, -1*K192)))</f>
        <v/>
      </c>
      <c r="O192" s="6" t="str">
        <f t="shared" si="2"/>
        <v/>
      </c>
      <c r="P192" s="7">
        <f>IF(M191="", P191, IF(C192="", P191, P191+LOOKUP(2, 1/($N$2:$N191&lt;&gt;""),$N$2:$N191) +Q192))</f>
        <v>141.32499999999999</v>
      </c>
      <c r="R192" t="b">
        <f>AND(ISNUMBER(FIND($E192,Tables!$I$2)), ISNUMBER(FIND($D192,Tables!$J$2)), $E192&lt;&gt;"")</f>
        <v>0</v>
      </c>
    </row>
    <row r="193" spans="1:18" x14ac:dyDescent="0.25">
      <c r="A193">
        <f>IF(AND(B193="", D193&lt;&gt;""), A192, A192+1)</f>
        <v>187</v>
      </c>
      <c r="B193" s="4"/>
      <c r="I193" s="8"/>
      <c r="J193" s="5" t="str">
        <f>IF(I193="", "", IF(I193&gt;0, I193/100 +1, -100/I193 +1))</f>
        <v/>
      </c>
      <c r="K193" s="3"/>
      <c r="L193" s="3"/>
      <c r="N193" s="3" t="str">
        <f>IF(M193="", "", IF(M193="Draw", 0, IF(M193="win", L193, -1*K193)))</f>
        <v/>
      </c>
      <c r="O193" s="6" t="str">
        <f t="shared" si="2"/>
        <v/>
      </c>
      <c r="P193" s="7">
        <f>IF(M192="", P192, IF(C193="", P192, P192+LOOKUP(2, 1/($N$2:$N192&lt;&gt;""),$N$2:$N192) +Q193))</f>
        <v>141.32499999999999</v>
      </c>
      <c r="R193" t="b">
        <f>AND(ISNUMBER(FIND($E193,Tables!$I$2)), ISNUMBER(FIND($D193,Tables!$J$2)), $E193&lt;&gt;"")</f>
        <v>0</v>
      </c>
    </row>
    <row r="194" spans="1:18" x14ac:dyDescent="0.25">
      <c r="A194">
        <f>IF(AND(B194="", D194&lt;&gt;""), A193, A193+1)</f>
        <v>188</v>
      </c>
      <c r="B194" s="4"/>
      <c r="I194" s="8"/>
      <c r="J194" s="5" t="str">
        <f>IF(I194="", "", IF(I194&gt;0, I194/100 +1, -100/I194 +1))</f>
        <v/>
      </c>
      <c r="K194" s="3"/>
      <c r="L194" s="3"/>
      <c r="N194" s="3" t="str">
        <f>IF(M194="", "", IF(M194="Draw", 0, IF(M194="win", L194, -1*K194)))</f>
        <v/>
      </c>
      <c r="O194" s="6" t="str">
        <f t="shared" si="2"/>
        <v/>
      </c>
      <c r="P194" s="7">
        <f>IF(M193="", P193, IF(C194="", P193, P193+LOOKUP(2, 1/($N$2:$N193&lt;&gt;""),$N$2:$N193) +Q194))</f>
        <v>141.32499999999999</v>
      </c>
      <c r="R194" t="b">
        <f>AND(ISNUMBER(FIND($E194,Tables!$I$2)), ISNUMBER(FIND($D194,Tables!$J$2)), $E194&lt;&gt;"")</f>
        <v>0</v>
      </c>
    </row>
    <row r="195" spans="1:18" x14ac:dyDescent="0.25">
      <c r="A195">
        <f>IF(AND(B195="", D195&lt;&gt;""), A194, A194+1)</f>
        <v>189</v>
      </c>
      <c r="B195" s="4"/>
      <c r="I195" s="8"/>
      <c r="J195" s="5" t="str">
        <f>IF(I195="", "", IF(I195&gt;0, I195/100 +1, -100/I195 +1))</f>
        <v/>
      </c>
      <c r="K195" s="3"/>
      <c r="L195" s="3"/>
      <c r="N195" s="3" t="str">
        <f>IF(M195="", "", IF(M195="Draw", 0, IF(M195="win", L195, -1*K195)))</f>
        <v/>
      </c>
      <c r="O195" s="6" t="str">
        <f t="shared" ref="O195:O258" si="3">IFERROR(K195/VLOOKUP(_xlfn.MINIFS(A:A,B:B,B195,C:C,C195),A:P,16),"")</f>
        <v/>
      </c>
      <c r="P195" s="7">
        <f>IF(M194="", P194, IF(C195="", P194, P194+LOOKUP(2, 1/($N$2:$N194&lt;&gt;""),$N$2:$N194) +Q195))</f>
        <v>141.32499999999999</v>
      </c>
      <c r="R195" t="b">
        <f>AND(ISNUMBER(FIND($E195,Tables!$I$2)), ISNUMBER(FIND($D195,Tables!$J$2)), $E195&lt;&gt;"")</f>
        <v>0</v>
      </c>
    </row>
    <row r="196" spans="1:18" x14ac:dyDescent="0.25">
      <c r="A196">
        <f>IF(AND(B196="", D196&lt;&gt;""), A195, A195+1)</f>
        <v>190</v>
      </c>
      <c r="B196" s="4"/>
      <c r="I196" s="8"/>
      <c r="J196" s="5" t="str">
        <f>IF(I196="", "", IF(I196&gt;0, I196/100 +1, -100/I196 +1))</f>
        <v/>
      </c>
      <c r="K196" s="3"/>
      <c r="L196" s="3"/>
      <c r="N196" s="3" t="str">
        <f>IF(M196="", "", IF(M196="Draw", 0, IF(M196="win", L196, -1*K196)))</f>
        <v/>
      </c>
      <c r="O196" s="6" t="str">
        <f t="shared" si="3"/>
        <v/>
      </c>
      <c r="P196" s="7">
        <f>IF(M195="", P195, IF(C196="", P195, P195+LOOKUP(2, 1/($N$2:$N195&lt;&gt;""),$N$2:$N195) +Q196))</f>
        <v>141.32499999999999</v>
      </c>
      <c r="R196" t="b">
        <f>AND(ISNUMBER(FIND($E196,Tables!$I$2)), ISNUMBER(FIND($D196,Tables!$J$2)), $E196&lt;&gt;"")</f>
        <v>0</v>
      </c>
    </row>
    <row r="197" spans="1:18" x14ac:dyDescent="0.25">
      <c r="A197">
        <f>IF(AND(B197="", D197&lt;&gt;""), A196, A196+1)</f>
        <v>191</v>
      </c>
      <c r="B197" s="4"/>
      <c r="I197" s="8"/>
      <c r="J197" s="5" t="str">
        <f>IF(I197="", "", IF(I197&gt;0, I197/100 +1, -100/I197 +1))</f>
        <v/>
      </c>
      <c r="K197" s="3"/>
      <c r="L197" s="3"/>
      <c r="N197" s="3" t="str">
        <f>IF(M197="", "", IF(M197="Draw", 0, IF(M197="win", L197, -1*K197)))</f>
        <v/>
      </c>
      <c r="O197" s="6" t="str">
        <f t="shared" si="3"/>
        <v/>
      </c>
      <c r="P197" s="7">
        <f>IF(M196="", P196, IF(C197="", P196, P196+LOOKUP(2, 1/($N$2:$N196&lt;&gt;""),$N$2:$N196) +Q197))</f>
        <v>141.32499999999999</v>
      </c>
      <c r="R197" t="b">
        <f>AND(ISNUMBER(FIND($E197,Tables!$I$2)), ISNUMBER(FIND($D197,Tables!$J$2)), $E197&lt;&gt;"")</f>
        <v>0</v>
      </c>
    </row>
    <row r="198" spans="1:18" x14ac:dyDescent="0.25">
      <c r="A198">
        <f>IF(AND(B198="", D198&lt;&gt;""), A197, A197+1)</f>
        <v>192</v>
      </c>
      <c r="B198" s="4"/>
      <c r="I198" s="8"/>
      <c r="J198" s="5" t="str">
        <f>IF(I198="", "", IF(I198&gt;0, I198/100 +1, -100/I198 +1))</f>
        <v/>
      </c>
      <c r="K198" s="3"/>
      <c r="L198" s="3"/>
      <c r="N198" s="3" t="str">
        <f>IF(M198="", "", IF(M198="Draw", 0, IF(M198="win", L198, -1*K198)))</f>
        <v/>
      </c>
      <c r="O198" s="6" t="str">
        <f t="shared" si="3"/>
        <v/>
      </c>
      <c r="P198" s="7">
        <f>IF(M197="", P197, IF(C198="", P197, P197+LOOKUP(2, 1/($N$2:$N197&lt;&gt;""),$N$2:$N197) +Q198))</f>
        <v>141.32499999999999</v>
      </c>
      <c r="R198" t="b">
        <f>AND(ISNUMBER(FIND($E198,Tables!$I$2)), ISNUMBER(FIND($D198,Tables!$J$2)), $E198&lt;&gt;"")</f>
        <v>0</v>
      </c>
    </row>
    <row r="199" spans="1:18" x14ac:dyDescent="0.25">
      <c r="A199">
        <f>IF(AND(B199="", D199&lt;&gt;""), A198, A198+1)</f>
        <v>193</v>
      </c>
      <c r="B199" s="4"/>
      <c r="I199" s="8"/>
      <c r="J199" s="5" t="str">
        <f>IF(I199="", "", IF(I199&gt;0, I199/100 +1, -100/I199 +1))</f>
        <v/>
      </c>
      <c r="K199" s="3"/>
      <c r="L199" s="3"/>
      <c r="N199" s="3" t="str">
        <f>IF(M199="", "", IF(M199="Draw", 0, IF(M199="win", L199, -1*K199)))</f>
        <v/>
      </c>
      <c r="O199" s="6" t="str">
        <f t="shared" si="3"/>
        <v/>
      </c>
      <c r="P199" s="7">
        <f>IF(M198="", P198, IF(C199="", P198, P198+LOOKUP(2, 1/($N$2:$N198&lt;&gt;""),$N$2:$N198) +Q199))</f>
        <v>141.32499999999999</v>
      </c>
      <c r="R199" t="b">
        <f>AND(ISNUMBER(FIND($E199,Tables!$I$2)), ISNUMBER(FIND($D199,Tables!$J$2)), $E199&lt;&gt;"")</f>
        <v>0</v>
      </c>
    </row>
    <row r="200" spans="1:18" x14ac:dyDescent="0.25">
      <c r="A200">
        <f>IF(AND(B200="", D200&lt;&gt;""), A199, A199+1)</f>
        <v>194</v>
      </c>
      <c r="B200" s="4"/>
      <c r="I200" s="8"/>
      <c r="J200" s="5" t="str">
        <f>IF(I200="", "", IF(I200&gt;0, I200/100 +1, -100/I200 +1))</f>
        <v/>
      </c>
      <c r="K200" s="3"/>
      <c r="L200" s="3"/>
      <c r="N200" s="3" t="str">
        <f>IF(M200="", "", IF(M200="Draw", 0, IF(M200="win", L200, -1*K200)))</f>
        <v/>
      </c>
      <c r="O200" s="6" t="str">
        <f t="shared" si="3"/>
        <v/>
      </c>
      <c r="P200" s="7">
        <f>IF(M199="", P199, IF(C200="", P199, P199+LOOKUP(2, 1/($N$2:$N199&lt;&gt;""),$N$2:$N199) +Q200))</f>
        <v>141.32499999999999</v>
      </c>
      <c r="R200" t="b">
        <f>AND(ISNUMBER(FIND($E200,Tables!$I$2)), ISNUMBER(FIND($D200,Tables!$J$2)), $E200&lt;&gt;"")</f>
        <v>0</v>
      </c>
    </row>
    <row r="201" spans="1:18" x14ac:dyDescent="0.25">
      <c r="A201">
        <f>IF(AND(B201="", D201&lt;&gt;""), A200, A200+1)</f>
        <v>195</v>
      </c>
      <c r="B201" s="4"/>
      <c r="I201" s="8"/>
      <c r="J201" s="5" t="str">
        <f>IF(I201="", "", IF(I201&gt;0, I201/100 +1, -100/I201 +1))</f>
        <v/>
      </c>
      <c r="K201" s="3"/>
      <c r="L201" s="3"/>
      <c r="N201" s="3" t="str">
        <f>IF(M201="", "", IF(M201="Draw", 0, IF(M201="win", L201, -1*K201)))</f>
        <v/>
      </c>
      <c r="O201" s="6" t="str">
        <f t="shared" si="3"/>
        <v/>
      </c>
      <c r="P201" s="7">
        <f>IF(M200="", P200, IF(C201="", P200, P200+LOOKUP(2, 1/($N$2:$N200&lt;&gt;""),$N$2:$N200) +Q201))</f>
        <v>141.32499999999999</v>
      </c>
      <c r="R201" t="b">
        <f>AND(ISNUMBER(FIND($E201,Tables!$I$2)), ISNUMBER(FIND($D201,Tables!$J$2)), $E201&lt;&gt;"")</f>
        <v>0</v>
      </c>
    </row>
    <row r="202" spans="1:18" x14ac:dyDescent="0.25">
      <c r="A202">
        <f>IF(AND(B202="", D202&lt;&gt;""), A201, A201+1)</f>
        <v>196</v>
      </c>
      <c r="B202" s="4"/>
      <c r="I202" s="8"/>
      <c r="J202" s="5" t="str">
        <f>IF(I202="", "", IF(I202&gt;0, I202/100 +1, -100/I202 +1))</f>
        <v/>
      </c>
      <c r="K202" s="3"/>
      <c r="L202" s="3"/>
      <c r="N202" s="3" t="str">
        <f>IF(M202="", "", IF(M202="Draw", 0, IF(M202="win", L202, -1*K202)))</f>
        <v/>
      </c>
      <c r="O202" s="6" t="str">
        <f t="shared" si="3"/>
        <v/>
      </c>
      <c r="P202" s="7">
        <f>IF(M201="", P201, IF(C202="", P201, P201+LOOKUP(2, 1/($N$2:$N201&lt;&gt;""),$N$2:$N201) +Q202))</f>
        <v>141.32499999999999</v>
      </c>
      <c r="R202" t="b">
        <f>AND(ISNUMBER(FIND($E202,Tables!$I$2)), ISNUMBER(FIND($D202,Tables!$J$2)), $E202&lt;&gt;"")</f>
        <v>0</v>
      </c>
    </row>
    <row r="203" spans="1:18" x14ac:dyDescent="0.25">
      <c r="A203">
        <f>IF(AND(B203="", D203&lt;&gt;""), A202, A202+1)</f>
        <v>197</v>
      </c>
      <c r="B203" s="4"/>
      <c r="I203" s="8"/>
      <c r="J203" s="5" t="str">
        <f>IF(I203="", "", IF(I203&gt;0, I203/100 +1, -100/I203 +1))</f>
        <v/>
      </c>
      <c r="K203" s="3"/>
      <c r="L203" s="3"/>
      <c r="N203" s="3" t="str">
        <f>IF(M203="", "", IF(M203="Draw", 0, IF(M203="win", L203, -1*K203)))</f>
        <v/>
      </c>
      <c r="O203" s="6" t="str">
        <f t="shared" si="3"/>
        <v/>
      </c>
      <c r="P203" s="7">
        <f>IF(M202="", P202, IF(C203="", P202, P202+LOOKUP(2, 1/($N$2:$N202&lt;&gt;""),$N$2:$N202) +Q203))</f>
        <v>141.32499999999999</v>
      </c>
      <c r="R203" t="b">
        <f>AND(ISNUMBER(FIND($E203,Tables!$I$2)), ISNUMBER(FIND($D203,Tables!$J$2)), $E203&lt;&gt;"")</f>
        <v>0</v>
      </c>
    </row>
    <row r="204" spans="1:18" x14ac:dyDescent="0.25">
      <c r="A204">
        <f>IF(AND(B204="", D204&lt;&gt;""), A203, A203+1)</f>
        <v>198</v>
      </c>
      <c r="B204" s="4"/>
      <c r="I204" s="8"/>
      <c r="J204" s="5" t="str">
        <f>IF(I204="", "", IF(I204&gt;0, I204/100 +1, -100/I204 +1))</f>
        <v/>
      </c>
      <c r="K204" s="3"/>
      <c r="L204" s="3"/>
      <c r="N204" s="3" t="str">
        <f>IF(M204="", "", IF(M204="Draw", 0, IF(M204="win", L204, -1*K204)))</f>
        <v/>
      </c>
      <c r="O204" s="6" t="str">
        <f t="shared" si="3"/>
        <v/>
      </c>
      <c r="P204" s="7">
        <f>IF(M203="", P203, IF(C204="", P203, P203+LOOKUP(2, 1/($N$2:$N203&lt;&gt;""),$N$2:$N203) +Q204))</f>
        <v>141.32499999999999</v>
      </c>
      <c r="R204" t="b">
        <f>AND(ISNUMBER(FIND($E204,Tables!$I$2)), ISNUMBER(FIND($D204,Tables!$J$2)), $E204&lt;&gt;"")</f>
        <v>0</v>
      </c>
    </row>
    <row r="205" spans="1:18" x14ac:dyDescent="0.25">
      <c r="A205">
        <f>IF(AND(B205="", D205&lt;&gt;""), A204, A204+1)</f>
        <v>199</v>
      </c>
      <c r="B205" s="4"/>
      <c r="I205" s="8"/>
      <c r="J205" s="5" t="str">
        <f>IF(I205="", "", IF(I205&gt;0, I205/100 +1, -100/I205 +1))</f>
        <v/>
      </c>
      <c r="K205" s="3"/>
      <c r="L205" s="3"/>
      <c r="N205" s="3" t="str">
        <f>IF(M205="", "", IF(M205="Draw", 0, IF(M205="win", L205, -1*K205)))</f>
        <v/>
      </c>
      <c r="O205" s="6" t="str">
        <f t="shared" si="3"/>
        <v/>
      </c>
      <c r="P205" s="7">
        <f>IF(M204="", P204, IF(C205="", P204, P204+LOOKUP(2, 1/($N$2:$N204&lt;&gt;""),$N$2:$N204) +Q205))</f>
        <v>141.32499999999999</v>
      </c>
      <c r="R205" t="b">
        <f>AND(ISNUMBER(FIND($E205,Tables!$I$2)), ISNUMBER(FIND($D205,Tables!$J$2)), $E205&lt;&gt;"")</f>
        <v>0</v>
      </c>
    </row>
    <row r="206" spans="1:18" x14ac:dyDescent="0.25">
      <c r="A206">
        <f>IF(AND(B206="", D206&lt;&gt;""), A205, A205+1)</f>
        <v>200</v>
      </c>
      <c r="B206" s="4"/>
      <c r="I206" s="8"/>
      <c r="J206" s="5" t="str">
        <f>IF(I206="", "", IF(I206&gt;0, I206/100 +1, -100/I206 +1))</f>
        <v/>
      </c>
      <c r="K206" s="3"/>
      <c r="L206" s="3"/>
      <c r="N206" s="3" t="str">
        <f>IF(M206="", "", IF(M206="Draw", 0, IF(M206="win", L206, -1*K206)))</f>
        <v/>
      </c>
      <c r="O206" s="6" t="str">
        <f t="shared" si="3"/>
        <v/>
      </c>
      <c r="P206" s="7">
        <f>IF(M205="", P205, IF(C206="", P205, P205+LOOKUP(2, 1/($N$2:$N205&lt;&gt;""),$N$2:$N205) +Q206))</f>
        <v>141.32499999999999</v>
      </c>
      <c r="R206" t="b">
        <f>AND(ISNUMBER(FIND($E206,Tables!$I$2)), ISNUMBER(FIND($D206,Tables!$J$2)), $E206&lt;&gt;"")</f>
        <v>0</v>
      </c>
    </row>
    <row r="207" spans="1:18" x14ac:dyDescent="0.25">
      <c r="A207">
        <f>IF(AND(B207="", D207&lt;&gt;""), A206, A206+1)</f>
        <v>201</v>
      </c>
      <c r="B207" s="4"/>
      <c r="I207" s="8"/>
      <c r="J207" s="5" t="str">
        <f>IF(I207="", "", IF(I207&gt;0, I207/100 +1, -100/I207 +1))</f>
        <v/>
      </c>
      <c r="K207" s="3"/>
      <c r="L207" s="3"/>
      <c r="N207" s="3" t="str">
        <f>IF(M207="", "", IF(M207="Draw", 0, IF(M207="win", L207, -1*K207)))</f>
        <v/>
      </c>
      <c r="O207" s="6" t="str">
        <f t="shared" si="3"/>
        <v/>
      </c>
      <c r="P207" s="7">
        <f>IF(M206="", P206, IF(C207="", P206, P206+LOOKUP(2, 1/($N$2:$N206&lt;&gt;""),$N$2:$N206) +Q207))</f>
        <v>141.32499999999999</v>
      </c>
      <c r="R207" t="b">
        <f>AND(ISNUMBER(FIND($E207,Tables!$I$2)), ISNUMBER(FIND($D207,Tables!$J$2)), $E207&lt;&gt;"")</f>
        <v>0</v>
      </c>
    </row>
    <row r="208" spans="1:18" x14ac:dyDescent="0.25">
      <c r="A208">
        <f>IF(AND(B208="", D208&lt;&gt;""), A207, A207+1)</f>
        <v>202</v>
      </c>
      <c r="B208" s="4"/>
      <c r="I208" s="8"/>
      <c r="J208" s="5" t="str">
        <f>IF(I208="", "", IF(I208&gt;0, I208/100 +1, -100/I208 +1))</f>
        <v/>
      </c>
      <c r="K208" s="3"/>
      <c r="L208" s="3"/>
      <c r="N208" s="3" t="str">
        <f>IF(M208="", "", IF(M208="Draw", 0, IF(M208="win", L208, -1*K208)))</f>
        <v/>
      </c>
      <c r="O208" s="6" t="str">
        <f t="shared" si="3"/>
        <v/>
      </c>
      <c r="P208" s="7">
        <f>IF(M207="", P207, IF(C208="", P207, P207+LOOKUP(2, 1/($N$2:$N207&lt;&gt;""),$N$2:$N207) +Q208))</f>
        <v>141.32499999999999</v>
      </c>
      <c r="R208" t="b">
        <f>AND(ISNUMBER(FIND($E208,Tables!$I$2)), ISNUMBER(FIND($D208,Tables!$J$2)), $E208&lt;&gt;"")</f>
        <v>0</v>
      </c>
    </row>
    <row r="209" spans="1:18" x14ac:dyDescent="0.25">
      <c r="A209">
        <f>IF(AND(B209="", D209&lt;&gt;""), A208, A208+1)</f>
        <v>203</v>
      </c>
      <c r="B209" s="4"/>
      <c r="I209" s="8"/>
      <c r="J209" s="5" t="str">
        <f>IF(I209="", "", IF(I209&gt;0, I209/100 +1, -100/I209 +1))</f>
        <v/>
      </c>
      <c r="K209" s="3"/>
      <c r="L209" s="3"/>
      <c r="N209" s="3" t="str">
        <f>IF(M209="", "", IF(M209="Draw", 0, IF(M209="win", L209, -1*K209)))</f>
        <v/>
      </c>
      <c r="O209" s="6" t="str">
        <f t="shared" si="3"/>
        <v/>
      </c>
      <c r="P209" s="7">
        <f>IF(M208="", P208, IF(C209="", P208, P208+LOOKUP(2, 1/($N$2:$N208&lt;&gt;""),$N$2:$N208) +Q209))</f>
        <v>141.32499999999999</v>
      </c>
      <c r="R209" t="b">
        <f>AND(ISNUMBER(FIND($E209,Tables!$I$2)), ISNUMBER(FIND($D209,Tables!$J$2)), $E209&lt;&gt;"")</f>
        <v>0</v>
      </c>
    </row>
    <row r="210" spans="1:18" x14ac:dyDescent="0.25">
      <c r="A210">
        <f>IF(AND(B210="", D210&lt;&gt;""), A209, A209+1)</f>
        <v>204</v>
      </c>
      <c r="B210" s="4"/>
      <c r="I210" s="8"/>
      <c r="J210" s="5" t="str">
        <f>IF(I210="", "", IF(I210&gt;0, I210/100 +1, -100/I210 +1))</f>
        <v/>
      </c>
      <c r="K210" s="3"/>
      <c r="L210" s="3"/>
      <c r="N210" s="3" t="str">
        <f>IF(M210="", "", IF(M210="Draw", 0, IF(M210="win", L210, -1*K210)))</f>
        <v/>
      </c>
      <c r="O210" s="6" t="str">
        <f t="shared" si="3"/>
        <v/>
      </c>
      <c r="P210" s="7">
        <f>IF(M209="", P209, IF(C210="", P209, P209+LOOKUP(2, 1/($N$2:$N209&lt;&gt;""),$N$2:$N209) +Q210))</f>
        <v>141.32499999999999</v>
      </c>
      <c r="R210" t="b">
        <f>AND(ISNUMBER(FIND($E210,Tables!$I$2)), ISNUMBER(FIND($D210,Tables!$J$2)), $E210&lt;&gt;"")</f>
        <v>0</v>
      </c>
    </row>
    <row r="211" spans="1:18" x14ac:dyDescent="0.25">
      <c r="A211">
        <f>IF(AND(B211="", D211&lt;&gt;""), A210, A210+1)</f>
        <v>205</v>
      </c>
      <c r="B211" s="4"/>
      <c r="I211" s="8"/>
      <c r="J211" s="5" t="str">
        <f>IF(I211="", "", IF(I211&gt;0, I211/100 +1, -100/I211 +1))</f>
        <v/>
      </c>
      <c r="K211" s="3"/>
      <c r="L211" s="3"/>
      <c r="N211" s="3" t="str">
        <f>IF(M211="", "", IF(M211="Draw", 0, IF(M211="win", L211, -1*K211)))</f>
        <v/>
      </c>
      <c r="O211" s="6" t="str">
        <f t="shared" si="3"/>
        <v/>
      </c>
      <c r="P211" s="7">
        <f>IF(M210="", P210, IF(C211="", P210, P210+LOOKUP(2, 1/($N$2:$N210&lt;&gt;""),$N$2:$N210) +Q211))</f>
        <v>141.32499999999999</v>
      </c>
      <c r="R211" t="b">
        <f>AND(ISNUMBER(FIND($E211,Tables!$I$2)), ISNUMBER(FIND($D211,Tables!$J$2)), $E211&lt;&gt;"")</f>
        <v>0</v>
      </c>
    </row>
    <row r="212" spans="1:18" x14ac:dyDescent="0.25">
      <c r="A212">
        <f>IF(AND(B212="", D212&lt;&gt;""), A211, A211+1)</f>
        <v>206</v>
      </c>
      <c r="B212" s="4"/>
      <c r="I212" s="8"/>
      <c r="J212" s="5" t="str">
        <f>IF(I212="", "", IF(I212&gt;0, I212/100 +1, -100/I212 +1))</f>
        <v/>
      </c>
      <c r="K212" s="3"/>
      <c r="L212" s="3"/>
      <c r="N212" s="3" t="str">
        <f>IF(M212="", "", IF(M212="Draw", 0, IF(M212="win", L212, -1*K212)))</f>
        <v/>
      </c>
      <c r="O212" s="6" t="str">
        <f t="shared" si="3"/>
        <v/>
      </c>
      <c r="P212" s="7">
        <f>IF(M211="", P211, IF(C212="", P211, P211+LOOKUP(2, 1/($N$2:$N211&lt;&gt;""),$N$2:$N211) +Q212))</f>
        <v>141.32499999999999</v>
      </c>
      <c r="R212" t="b">
        <f>AND(ISNUMBER(FIND($E212,Tables!$I$2)), ISNUMBER(FIND($D212,Tables!$J$2)), $E212&lt;&gt;"")</f>
        <v>0</v>
      </c>
    </row>
    <row r="213" spans="1:18" x14ac:dyDescent="0.25">
      <c r="A213">
        <f>IF(AND(B213="", D213&lt;&gt;""), A212, A212+1)</f>
        <v>207</v>
      </c>
      <c r="B213" s="4"/>
      <c r="I213" s="8"/>
      <c r="J213" s="5" t="str">
        <f>IF(I213="", "", IF(I213&gt;0, I213/100 +1, -100/I213 +1))</f>
        <v/>
      </c>
      <c r="K213" s="3"/>
      <c r="L213" s="3"/>
      <c r="N213" s="3" t="str">
        <f>IF(M213="", "", IF(M213="Draw", 0, IF(M213="win", L213, -1*K213)))</f>
        <v/>
      </c>
      <c r="O213" s="6" t="str">
        <f t="shared" si="3"/>
        <v/>
      </c>
      <c r="P213" s="7">
        <f>IF(M212="", P212, IF(C213="", P212, P212+LOOKUP(2, 1/($N$2:$N212&lt;&gt;""),$N$2:$N212) +Q213))</f>
        <v>141.32499999999999</v>
      </c>
      <c r="R213" t="b">
        <f>AND(ISNUMBER(FIND($E213,Tables!$I$2)), ISNUMBER(FIND($D213,Tables!$J$2)), $E213&lt;&gt;"")</f>
        <v>0</v>
      </c>
    </row>
    <row r="214" spans="1:18" x14ac:dyDescent="0.25">
      <c r="A214">
        <f>IF(AND(B214="", D214&lt;&gt;""), A213, A213+1)</f>
        <v>208</v>
      </c>
      <c r="B214" s="4"/>
      <c r="I214" s="8"/>
      <c r="J214" s="5" t="str">
        <f>IF(I214="", "", IF(I214&gt;0, I214/100 +1, -100/I214 +1))</f>
        <v/>
      </c>
      <c r="K214" s="3"/>
      <c r="L214" s="3"/>
      <c r="N214" s="3" t="str">
        <f>IF(M214="", "", IF(M214="Draw", 0, IF(M214="win", L214, -1*K214)))</f>
        <v/>
      </c>
      <c r="O214" s="6" t="str">
        <f t="shared" si="3"/>
        <v/>
      </c>
      <c r="P214" s="7">
        <f>IF(M213="", P213, IF(C214="", P213, P213+LOOKUP(2, 1/($N$2:$N213&lt;&gt;""),$N$2:$N213) +Q214))</f>
        <v>141.32499999999999</v>
      </c>
      <c r="R214" t="b">
        <f>AND(ISNUMBER(FIND($E214,Tables!$I$2)), ISNUMBER(FIND($D214,Tables!$J$2)), $E214&lt;&gt;"")</f>
        <v>0</v>
      </c>
    </row>
    <row r="215" spans="1:18" x14ac:dyDescent="0.25">
      <c r="A215">
        <f>IF(AND(B215="", D215&lt;&gt;""), A214, A214+1)</f>
        <v>209</v>
      </c>
      <c r="B215" s="4"/>
      <c r="I215" s="8"/>
      <c r="J215" s="5" t="str">
        <f>IF(I215="", "", IF(I215&gt;0, I215/100 +1, -100/I215 +1))</f>
        <v/>
      </c>
      <c r="K215" s="3"/>
      <c r="L215" s="3"/>
      <c r="N215" s="3" t="str">
        <f>IF(M215="", "", IF(M215="Draw", 0, IF(M215="win", L215, -1*K215)))</f>
        <v/>
      </c>
      <c r="O215" s="6" t="str">
        <f t="shared" si="3"/>
        <v/>
      </c>
      <c r="P215" s="7">
        <f>IF(M214="", P214, IF(C215="", P214, P214+LOOKUP(2, 1/($N$2:$N214&lt;&gt;""),$N$2:$N214) +Q215))</f>
        <v>141.32499999999999</v>
      </c>
      <c r="R215" t="b">
        <f>AND(ISNUMBER(FIND($E215,Tables!$I$2)), ISNUMBER(FIND($D215,Tables!$J$2)), $E215&lt;&gt;"")</f>
        <v>0</v>
      </c>
    </row>
    <row r="216" spans="1:18" x14ac:dyDescent="0.25">
      <c r="A216">
        <f>IF(AND(B216="", D216&lt;&gt;""), A215, A215+1)</f>
        <v>210</v>
      </c>
      <c r="B216" s="4"/>
      <c r="I216" s="8"/>
      <c r="J216" s="5" t="str">
        <f>IF(I216="", "", IF(I216&gt;0, I216/100 +1, -100/I216 +1))</f>
        <v/>
      </c>
      <c r="K216" s="3"/>
      <c r="L216" s="3"/>
      <c r="N216" s="3" t="str">
        <f>IF(M216="", "", IF(M216="Draw", 0, IF(M216="win", L216, -1*K216)))</f>
        <v/>
      </c>
      <c r="O216" s="6" t="str">
        <f t="shared" si="3"/>
        <v/>
      </c>
      <c r="P216" s="7">
        <f>IF(M215="", P215, IF(C216="", P215, P215+LOOKUP(2, 1/($N$2:$N215&lt;&gt;""),$N$2:$N215) +Q216))</f>
        <v>141.32499999999999</v>
      </c>
      <c r="R216" t="b">
        <f>AND(ISNUMBER(FIND($E216,Tables!$I$2)), ISNUMBER(FIND($D216,Tables!$J$2)), $E216&lt;&gt;"")</f>
        <v>0</v>
      </c>
    </row>
    <row r="217" spans="1:18" x14ac:dyDescent="0.25">
      <c r="A217">
        <f>IF(AND(B217="", D217&lt;&gt;""), A216, A216+1)</f>
        <v>211</v>
      </c>
      <c r="B217" s="4"/>
      <c r="I217" s="8"/>
      <c r="J217" s="5" t="str">
        <f>IF(I217="", "", IF(I217&gt;0, I217/100 +1, -100/I217 +1))</f>
        <v/>
      </c>
      <c r="K217" s="3"/>
      <c r="L217" s="3"/>
      <c r="N217" s="3" t="str">
        <f>IF(M217="", "", IF(M217="Draw", 0, IF(M217="win", L217, -1*K217)))</f>
        <v/>
      </c>
      <c r="O217" s="6" t="str">
        <f t="shared" si="3"/>
        <v/>
      </c>
      <c r="P217" s="7">
        <f>IF(M216="", P216, IF(C217="", P216, P216+LOOKUP(2, 1/($N$2:$N216&lt;&gt;""),$N$2:$N216) +Q217))</f>
        <v>141.32499999999999</v>
      </c>
      <c r="R217" t="b">
        <f>AND(ISNUMBER(FIND($E217,Tables!$I$2)), ISNUMBER(FIND($D217,Tables!$J$2)), $E217&lt;&gt;"")</f>
        <v>0</v>
      </c>
    </row>
    <row r="218" spans="1:18" x14ac:dyDescent="0.25">
      <c r="A218">
        <f>IF(AND(B218="", D218&lt;&gt;""), A217, A217+1)</f>
        <v>212</v>
      </c>
      <c r="B218" s="4"/>
      <c r="I218" s="8"/>
      <c r="J218" s="5" t="str">
        <f>IF(I218="", "", IF(I218&gt;0, I218/100 +1, -100/I218 +1))</f>
        <v/>
      </c>
      <c r="K218" s="3"/>
      <c r="L218" s="3"/>
      <c r="N218" s="3" t="str">
        <f>IF(M218="", "", IF(M218="Draw", 0, IF(M218="win", L218, -1*K218)))</f>
        <v/>
      </c>
      <c r="O218" s="6" t="str">
        <f t="shared" si="3"/>
        <v/>
      </c>
      <c r="P218" s="7">
        <f>IF(M217="", P217, IF(C218="", P217, P217+LOOKUP(2, 1/($N$2:$N217&lt;&gt;""),$N$2:$N217) +Q218))</f>
        <v>141.32499999999999</v>
      </c>
      <c r="R218" t="b">
        <f>AND(ISNUMBER(FIND($E218,Tables!$I$2)), ISNUMBER(FIND($D218,Tables!$J$2)), $E218&lt;&gt;"")</f>
        <v>0</v>
      </c>
    </row>
    <row r="219" spans="1:18" x14ac:dyDescent="0.25">
      <c r="A219">
        <f>IF(AND(B219="", D219&lt;&gt;""), A218, A218+1)</f>
        <v>213</v>
      </c>
      <c r="B219" s="4"/>
      <c r="I219" s="8"/>
      <c r="J219" s="5" t="str">
        <f>IF(I219="", "", IF(I219&gt;0, I219/100 +1, -100/I219 +1))</f>
        <v/>
      </c>
      <c r="K219" s="3"/>
      <c r="L219" s="3"/>
      <c r="N219" s="3" t="str">
        <f>IF(M219="", "", IF(M219="Draw", 0, IF(M219="win", L219, -1*K219)))</f>
        <v/>
      </c>
      <c r="O219" s="6" t="str">
        <f t="shared" si="3"/>
        <v/>
      </c>
      <c r="P219" s="7">
        <f>IF(M218="", P218, IF(C219="", P218, P218+LOOKUP(2, 1/($N$2:$N218&lt;&gt;""),$N$2:$N218) +Q219))</f>
        <v>141.32499999999999</v>
      </c>
      <c r="R219" t="b">
        <f>AND(ISNUMBER(FIND($E219,Tables!$I$2)), ISNUMBER(FIND($D219,Tables!$J$2)), $E219&lt;&gt;"")</f>
        <v>0</v>
      </c>
    </row>
    <row r="220" spans="1:18" x14ac:dyDescent="0.25">
      <c r="A220">
        <f>IF(AND(B220="", D220&lt;&gt;""), A219, A219+1)</f>
        <v>214</v>
      </c>
      <c r="B220" s="4"/>
      <c r="I220" s="8"/>
      <c r="J220" s="5" t="str">
        <f>IF(I220="", "", IF(I220&gt;0, I220/100 +1, -100/I220 +1))</f>
        <v/>
      </c>
      <c r="K220" s="3"/>
      <c r="L220" s="3"/>
      <c r="N220" s="3" t="str">
        <f>IF(M220="", "", IF(M220="Draw", 0, IF(M220="win", L220, -1*K220)))</f>
        <v/>
      </c>
      <c r="O220" s="6" t="str">
        <f t="shared" si="3"/>
        <v/>
      </c>
      <c r="P220" s="7">
        <f>IF(M219="", P219, IF(C220="", P219, P219+LOOKUP(2, 1/($N$2:$N219&lt;&gt;""),$N$2:$N219) +Q220))</f>
        <v>141.32499999999999</v>
      </c>
      <c r="R220" t="b">
        <f>AND(ISNUMBER(FIND($E220,Tables!$I$2)), ISNUMBER(FIND($D220,Tables!$J$2)), $E220&lt;&gt;"")</f>
        <v>0</v>
      </c>
    </row>
    <row r="221" spans="1:18" x14ac:dyDescent="0.25">
      <c r="A221">
        <f>IF(AND(B221="", D221&lt;&gt;""), A220, A220+1)</f>
        <v>215</v>
      </c>
      <c r="B221" s="4"/>
      <c r="I221" s="8"/>
      <c r="J221" s="5" t="str">
        <f>IF(I221="", "", IF(I221&gt;0, I221/100 +1, -100/I221 +1))</f>
        <v/>
      </c>
      <c r="K221" s="3"/>
      <c r="L221" s="3"/>
      <c r="N221" s="3" t="str">
        <f>IF(M221="", "", IF(M221="Draw", 0, IF(M221="win", L221, -1*K221)))</f>
        <v/>
      </c>
      <c r="O221" s="6" t="str">
        <f t="shared" si="3"/>
        <v/>
      </c>
      <c r="P221" s="7">
        <f>IF(M220="", P220, IF(C221="", P220, P220+LOOKUP(2, 1/($N$2:$N220&lt;&gt;""),$N$2:$N220) +Q221))</f>
        <v>141.32499999999999</v>
      </c>
      <c r="R221" t="b">
        <f>AND(ISNUMBER(FIND($E221,Tables!$I$2)), ISNUMBER(FIND($D221,Tables!$J$2)), $E221&lt;&gt;"")</f>
        <v>0</v>
      </c>
    </row>
    <row r="222" spans="1:18" x14ac:dyDescent="0.25">
      <c r="A222">
        <f>IF(AND(B222="", D222&lt;&gt;""), A221, A221+1)</f>
        <v>216</v>
      </c>
      <c r="B222" s="4"/>
      <c r="I222" s="8"/>
      <c r="J222" s="5" t="str">
        <f>IF(I222="", "", IF(I222&gt;0, I222/100 +1, -100/I222 +1))</f>
        <v/>
      </c>
      <c r="K222" s="3"/>
      <c r="L222" s="3"/>
      <c r="N222" s="3" t="str">
        <f>IF(M222="", "", IF(M222="Draw", 0, IF(M222="win", L222, -1*K222)))</f>
        <v/>
      </c>
      <c r="O222" s="6" t="str">
        <f t="shared" si="3"/>
        <v/>
      </c>
      <c r="P222" s="7">
        <f>IF(M221="", P221, IF(C222="", P221, P221+LOOKUP(2, 1/($N$2:$N221&lt;&gt;""),$N$2:$N221) +Q222))</f>
        <v>141.32499999999999</v>
      </c>
      <c r="R222" t="b">
        <f>AND(ISNUMBER(FIND($E222,Tables!$I$2)), ISNUMBER(FIND($D222,Tables!$J$2)), $E222&lt;&gt;"")</f>
        <v>0</v>
      </c>
    </row>
    <row r="223" spans="1:18" x14ac:dyDescent="0.25">
      <c r="A223">
        <f>IF(AND(B223="", D223&lt;&gt;""), A222, A222+1)</f>
        <v>217</v>
      </c>
      <c r="B223" s="4"/>
      <c r="I223" s="8"/>
      <c r="J223" s="5" t="str">
        <f>IF(I223="", "", IF(I223&gt;0, I223/100 +1, -100/I223 +1))</f>
        <v/>
      </c>
      <c r="K223" s="3"/>
      <c r="L223" s="3"/>
      <c r="N223" s="3" t="str">
        <f>IF(M223="", "", IF(M223="Draw", 0, IF(M223="win", L223, -1*K223)))</f>
        <v/>
      </c>
      <c r="O223" s="6" t="str">
        <f t="shared" si="3"/>
        <v/>
      </c>
      <c r="P223" s="7">
        <f>IF(M222="", P222, IF(C223="", P222, P222+LOOKUP(2, 1/($N$2:$N222&lt;&gt;""),$N$2:$N222) +Q223))</f>
        <v>141.32499999999999</v>
      </c>
      <c r="R223" t="b">
        <f>AND(ISNUMBER(FIND($E223,Tables!$I$2)), ISNUMBER(FIND($D223,Tables!$J$2)), $E223&lt;&gt;"")</f>
        <v>0</v>
      </c>
    </row>
    <row r="224" spans="1:18" x14ac:dyDescent="0.25">
      <c r="A224">
        <f>IF(AND(B224="", D224&lt;&gt;""), A223, A223+1)</f>
        <v>218</v>
      </c>
      <c r="B224" s="4"/>
      <c r="I224" s="8"/>
      <c r="J224" s="5" t="str">
        <f>IF(I224="", "", IF(I224&gt;0, I224/100 +1, -100/I224 +1))</f>
        <v/>
      </c>
      <c r="K224" s="3"/>
      <c r="L224" s="3"/>
      <c r="N224" s="3" t="str">
        <f>IF(M224="", "", IF(M224="Draw", 0, IF(M224="win", L224, -1*K224)))</f>
        <v/>
      </c>
      <c r="O224" s="6" t="str">
        <f t="shared" si="3"/>
        <v/>
      </c>
      <c r="P224" s="7">
        <f>IF(M223="", P223, IF(C224="", P223, P223+LOOKUP(2, 1/($N$2:$N223&lt;&gt;""),$N$2:$N223) +Q224))</f>
        <v>141.32499999999999</v>
      </c>
      <c r="R224" t="b">
        <f>AND(ISNUMBER(FIND($E224,Tables!$I$2)), ISNUMBER(FIND($D224,Tables!$J$2)), $E224&lt;&gt;"")</f>
        <v>0</v>
      </c>
    </row>
    <row r="225" spans="1:18" x14ac:dyDescent="0.25">
      <c r="A225">
        <f>IF(AND(B225="", D225&lt;&gt;""), A224, A224+1)</f>
        <v>219</v>
      </c>
      <c r="B225" s="4"/>
      <c r="I225" s="8"/>
      <c r="J225" s="5" t="str">
        <f>IF(I225="", "", IF(I225&gt;0, I225/100 +1, -100/I225 +1))</f>
        <v/>
      </c>
      <c r="K225" s="3"/>
      <c r="L225" s="3"/>
      <c r="N225" s="3" t="str">
        <f>IF(M225="", "", IF(M225="Draw", 0, IF(M225="win", L225, -1*K225)))</f>
        <v/>
      </c>
      <c r="O225" s="6" t="str">
        <f t="shared" si="3"/>
        <v/>
      </c>
      <c r="P225" s="7">
        <f>IF(M224="", P224, IF(C225="", P224, P224+LOOKUP(2, 1/($N$2:$N224&lt;&gt;""),$N$2:$N224) +Q225))</f>
        <v>141.32499999999999</v>
      </c>
      <c r="R225" t="b">
        <f>AND(ISNUMBER(FIND($E225,Tables!$I$2)), ISNUMBER(FIND($D225,Tables!$J$2)), $E225&lt;&gt;"")</f>
        <v>0</v>
      </c>
    </row>
    <row r="226" spans="1:18" x14ac:dyDescent="0.25">
      <c r="A226">
        <f>IF(AND(B226="", D226&lt;&gt;""), A225, A225+1)</f>
        <v>220</v>
      </c>
      <c r="B226" s="4"/>
      <c r="I226" s="8"/>
      <c r="J226" s="5" t="str">
        <f>IF(I226="", "", IF(I226&gt;0, I226/100 +1, -100/I226 +1))</f>
        <v/>
      </c>
      <c r="K226" s="3"/>
      <c r="L226" s="3"/>
      <c r="N226" s="3" t="str">
        <f>IF(M226="", "", IF(M226="Draw", 0, IF(M226="win", L226, -1*K226)))</f>
        <v/>
      </c>
      <c r="O226" s="6" t="str">
        <f t="shared" si="3"/>
        <v/>
      </c>
      <c r="P226" s="7">
        <f>IF(M225="", P225, IF(C226="", P225, P225+LOOKUP(2, 1/($N$2:$N225&lt;&gt;""),$N$2:$N225) +Q226))</f>
        <v>141.32499999999999</v>
      </c>
      <c r="R226" t="b">
        <f>AND(ISNUMBER(FIND($E226,Tables!$I$2)), ISNUMBER(FIND($D226,Tables!$J$2)), $E226&lt;&gt;"")</f>
        <v>0</v>
      </c>
    </row>
    <row r="227" spans="1:18" x14ac:dyDescent="0.25">
      <c r="A227">
        <f>IF(AND(B227="", D227&lt;&gt;""), A226, A226+1)</f>
        <v>221</v>
      </c>
      <c r="B227" s="4"/>
      <c r="I227" s="8"/>
      <c r="J227" s="5" t="str">
        <f>IF(I227="", "", IF(I227&gt;0, I227/100 +1, -100/I227 +1))</f>
        <v/>
      </c>
      <c r="K227" s="3"/>
      <c r="L227" s="3"/>
      <c r="N227" s="3" t="str">
        <f>IF(M227="", "", IF(M227="Draw", 0, IF(M227="win", L227, -1*K227)))</f>
        <v/>
      </c>
      <c r="O227" s="6" t="str">
        <f t="shared" si="3"/>
        <v/>
      </c>
      <c r="P227" s="7">
        <f>IF(M226="", P226, IF(C227="", P226, P226+LOOKUP(2, 1/($N$2:$N226&lt;&gt;""),$N$2:$N226) +Q227))</f>
        <v>141.32499999999999</v>
      </c>
      <c r="R227" t="b">
        <f>AND(ISNUMBER(FIND($E227,Tables!$I$2)), ISNUMBER(FIND($D227,Tables!$J$2)), $E227&lt;&gt;"")</f>
        <v>0</v>
      </c>
    </row>
    <row r="228" spans="1:18" x14ac:dyDescent="0.25">
      <c r="A228">
        <f>IF(AND(B228="", D228&lt;&gt;""), A227, A227+1)</f>
        <v>222</v>
      </c>
      <c r="B228" s="4"/>
      <c r="I228" s="8"/>
      <c r="J228" s="5" t="str">
        <f>IF(I228="", "", IF(I228&gt;0, I228/100 +1, -100/I228 +1))</f>
        <v/>
      </c>
      <c r="K228" s="3"/>
      <c r="L228" s="3"/>
      <c r="N228" s="3" t="str">
        <f>IF(M228="", "", IF(M228="Draw", 0, IF(M228="win", L228, -1*K228)))</f>
        <v/>
      </c>
      <c r="O228" s="6" t="str">
        <f t="shared" si="3"/>
        <v/>
      </c>
      <c r="P228" s="7">
        <f>IF(M227="", P227, IF(C228="", P227, P227+LOOKUP(2, 1/($N$2:$N227&lt;&gt;""),$N$2:$N227) +Q228))</f>
        <v>141.32499999999999</v>
      </c>
      <c r="R228" t="b">
        <f>AND(ISNUMBER(FIND($E228,Tables!$I$2)), ISNUMBER(FIND($D228,Tables!$J$2)), $E228&lt;&gt;"")</f>
        <v>0</v>
      </c>
    </row>
    <row r="229" spans="1:18" x14ac:dyDescent="0.25">
      <c r="A229">
        <f>IF(AND(B229="", D229&lt;&gt;""), A228, A228+1)</f>
        <v>223</v>
      </c>
      <c r="B229" s="4"/>
      <c r="I229" s="8"/>
      <c r="J229" s="5" t="str">
        <f>IF(I229="", "", IF(I229&gt;0, I229/100 +1, -100/I229 +1))</f>
        <v/>
      </c>
      <c r="K229" s="3"/>
      <c r="L229" s="3"/>
      <c r="N229" s="3" t="str">
        <f>IF(M229="", "", IF(M229="Draw", 0, IF(M229="win", L229, -1*K229)))</f>
        <v/>
      </c>
      <c r="O229" s="6" t="str">
        <f t="shared" si="3"/>
        <v/>
      </c>
      <c r="P229" s="7">
        <f>IF(M228="", P228, IF(C229="", P228, P228+LOOKUP(2, 1/($N$2:$N228&lt;&gt;""),$N$2:$N228) +Q229))</f>
        <v>141.32499999999999</v>
      </c>
      <c r="R229" t="b">
        <f>AND(ISNUMBER(FIND($E229,Tables!$I$2)), ISNUMBER(FIND($D229,Tables!$J$2)), $E229&lt;&gt;"")</f>
        <v>0</v>
      </c>
    </row>
    <row r="230" spans="1:18" x14ac:dyDescent="0.25">
      <c r="A230">
        <f>IF(AND(B230="", D230&lt;&gt;""), A229, A229+1)</f>
        <v>224</v>
      </c>
      <c r="B230" s="4"/>
      <c r="I230" s="8"/>
      <c r="J230" s="5" t="str">
        <f>IF(I230="", "", IF(I230&gt;0, I230/100 +1, -100/I230 +1))</f>
        <v/>
      </c>
      <c r="K230" s="3"/>
      <c r="L230" s="3"/>
      <c r="N230" s="3" t="str">
        <f>IF(M230="", "", IF(M230="Draw", 0, IF(M230="win", L230, -1*K230)))</f>
        <v/>
      </c>
      <c r="O230" s="6" t="str">
        <f t="shared" si="3"/>
        <v/>
      </c>
      <c r="P230" s="7">
        <f>IF(M229="", P229, IF(C230="", P229, P229+LOOKUP(2, 1/($N$2:$N229&lt;&gt;""),$N$2:$N229) +Q230))</f>
        <v>141.32499999999999</v>
      </c>
      <c r="R230" t="b">
        <f>AND(ISNUMBER(FIND($E230,Tables!$I$2)), ISNUMBER(FIND($D230,Tables!$J$2)), $E230&lt;&gt;"")</f>
        <v>0</v>
      </c>
    </row>
    <row r="231" spans="1:18" x14ac:dyDescent="0.25">
      <c r="A231">
        <f>IF(AND(B231="", D231&lt;&gt;""), A230, A230+1)</f>
        <v>225</v>
      </c>
      <c r="B231" s="4"/>
      <c r="I231" s="8"/>
      <c r="J231" s="5" t="str">
        <f>IF(I231="", "", IF(I231&gt;0, I231/100 +1, -100/I231 +1))</f>
        <v/>
      </c>
      <c r="K231" s="3"/>
      <c r="L231" s="3"/>
      <c r="N231" s="3" t="str">
        <f>IF(M231="", "", IF(M231="Draw", 0, IF(M231="win", L231, -1*K231)))</f>
        <v/>
      </c>
      <c r="O231" s="6" t="str">
        <f t="shared" si="3"/>
        <v/>
      </c>
      <c r="P231" s="7">
        <f>IF(M230="", P230, IF(C231="", P230, P230+LOOKUP(2, 1/($N$2:$N230&lt;&gt;""),$N$2:$N230) +Q231))</f>
        <v>141.32499999999999</v>
      </c>
      <c r="R231" t="b">
        <f>AND(ISNUMBER(FIND($E231,Tables!$I$2)), ISNUMBER(FIND($D231,Tables!$J$2)), $E231&lt;&gt;"")</f>
        <v>0</v>
      </c>
    </row>
    <row r="232" spans="1:18" x14ac:dyDescent="0.25">
      <c r="A232">
        <f>IF(AND(B232="", D232&lt;&gt;""), A231, A231+1)</f>
        <v>226</v>
      </c>
      <c r="B232" s="4"/>
      <c r="I232" s="8"/>
      <c r="J232" s="5" t="str">
        <f>IF(I232="", "", IF(I232&gt;0, I232/100 +1, -100/I232 +1))</f>
        <v/>
      </c>
      <c r="K232" s="3"/>
      <c r="L232" s="3"/>
      <c r="N232" s="3" t="str">
        <f>IF(M232="", "", IF(M232="Draw", 0, IF(M232="win", L232, -1*K232)))</f>
        <v/>
      </c>
      <c r="O232" s="6" t="str">
        <f t="shared" si="3"/>
        <v/>
      </c>
      <c r="P232" s="7">
        <f>IF(M231="", P231, IF(C232="", P231, P231+LOOKUP(2, 1/($N$2:$N231&lt;&gt;""),$N$2:$N231) +Q232))</f>
        <v>141.32499999999999</v>
      </c>
      <c r="R232" t="b">
        <f>AND(ISNUMBER(FIND($E232,Tables!$I$2)), ISNUMBER(FIND($D232,Tables!$J$2)), $E232&lt;&gt;"")</f>
        <v>0</v>
      </c>
    </row>
    <row r="233" spans="1:18" x14ac:dyDescent="0.25">
      <c r="A233">
        <f>IF(AND(B233="", D233&lt;&gt;""), A232, A232+1)</f>
        <v>227</v>
      </c>
      <c r="B233" s="4"/>
      <c r="I233" s="8"/>
      <c r="J233" s="5" t="str">
        <f>IF(I233="", "", IF(I233&gt;0, I233/100 +1, -100/I233 +1))</f>
        <v/>
      </c>
      <c r="K233" s="3"/>
      <c r="L233" s="3"/>
      <c r="N233" s="3" t="str">
        <f>IF(M233="", "", IF(M233="Draw", 0, IF(M233="win", L233, -1*K233)))</f>
        <v/>
      </c>
      <c r="O233" s="6" t="str">
        <f t="shared" si="3"/>
        <v/>
      </c>
      <c r="P233" s="7">
        <f>IF(M232="", P232, IF(C233="", P232, P232+LOOKUP(2, 1/($N$2:$N232&lt;&gt;""),$N$2:$N232) +Q233))</f>
        <v>141.32499999999999</v>
      </c>
      <c r="R233" t="b">
        <f>AND(ISNUMBER(FIND($E233,Tables!$I$2)), ISNUMBER(FIND($D233,Tables!$J$2)), $E233&lt;&gt;"")</f>
        <v>0</v>
      </c>
    </row>
    <row r="234" spans="1:18" x14ac:dyDescent="0.25">
      <c r="A234">
        <f>IF(AND(B234="", D234&lt;&gt;""), A233, A233+1)</f>
        <v>228</v>
      </c>
      <c r="B234" s="4"/>
      <c r="I234" s="8"/>
      <c r="J234" s="5" t="str">
        <f>IF(I234="", "", IF(I234&gt;0, I234/100 +1, -100/I234 +1))</f>
        <v/>
      </c>
      <c r="K234" s="3"/>
      <c r="L234" s="3"/>
      <c r="N234" s="3" t="str">
        <f>IF(M234="", "", IF(M234="Draw", 0, IF(M234="win", L234, -1*K234)))</f>
        <v/>
      </c>
      <c r="O234" s="6" t="str">
        <f t="shared" si="3"/>
        <v/>
      </c>
      <c r="P234" s="7">
        <f>IF(M233="", P233, IF(C234="", P233, P233+LOOKUP(2, 1/($N$2:$N233&lt;&gt;""),$N$2:$N233) +Q234))</f>
        <v>141.32499999999999</v>
      </c>
      <c r="R234" t="b">
        <f>AND(ISNUMBER(FIND($E234,Tables!$I$2)), ISNUMBER(FIND($D234,Tables!$J$2)), $E234&lt;&gt;"")</f>
        <v>0</v>
      </c>
    </row>
    <row r="235" spans="1:18" x14ac:dyDescent="0.25">
      <c r="A235">
        <f>IF(AND(B235="", D235&lt;&gt;""), A234, A234+1)</f>
        <v>229</v>
      </c>
      <c r="B235" s="4"/>
      <c r="I235" s="8"/>
      <c r="J235" s="5" t="str">
        <f>IF(I235="", "", IF(I235&gt;0, I235/100 +1, -100/I235 +1))</f>
        <v/>
      </c>
      <c r="K235" s="3"/>
      <c r="L235" s="3"/>
      <c r="N235" s="3" t="str">
        <f>IF(M235="", "", IF(M235="Draw", 0, IF(M235="win", L235, -1*K235)))</f>
        <v/>
      </c>
      <c r="O235" s="6" t="str">
        <f t="shared" si="3"/>
        <v/>
      </c>
      <c r="P235" s="7">
        <f>IF(M234="", P234, IF(C235="", P234, P234+LOOKUP(2, 1/($N$2:$N234&lt;&gt;""),$N$2:$N234) +Q235))</f>
        <v>141.32499999999999</v>
      </c>
      <c r="R235" t="b">
        <f>AND(ISNUMBER(FIND($E235,Tables!$I$2)), ISNUMBER(FIND($D235,Tables!$J$2)), $E235&lt;&gt;"")</f>
        <v>0</v>
      </c>
    </row>
    <row r="236" spans="1:18" x14ac:dyDescent="0.25">
      <c r="A236">
        <f>IF(AND(B236="", D236&lt;&gt;""), A235, A235+1)</f>
        <v>230</v>
      </c>
      <c r="B236" s="4"/>
      <c r="I236" s="8"/>
      <c r="J236" s="5" t="str">
        <f>IF(I236="", "", IF(I236&gt;0, I236/100 +1, -100/I236 +1))</f>
        <v/>
      </c>
      <c r="K236" s="3"/>
      <c r="L236" s="3"/>
      <c r="N236" s="3" t="str">
        <f>IF(M236="", "", IF(M236="Draw", 0, IF(M236="win", L236, -1*K236)))</f>
        <v/>
      </c>
      <c r="O236" s="6" t="str">
        <f t="shared" si="3"/>
        <v/>
      </c>
      <c r="P236" s="7">
        <f>IF(M235="", P235, IF(C236="", P235, P235+LOOKUP(2, 1/($N$2:$N235&lt;&gt;""),$N$2:$N235) +Q236))</f>
        <v>141.32499999999999</v>
      </c>
      <c r="R236" t="b">
        <f>AND(ISNUMBER(FIND($E236,Tables!$I$2)), ISNUMBER(FIND($D236,Tables!$J$2)), $E236&lt;&gt;"")</f>
        <v>0</v>
      </c>
    </row>
    <row r="237" spans="1:18" x14ac:dyDescent="0.25">
      <c r="A237">
        <f>IF(AND(B237="", D237&lt;&gt;""), A236, A236+1)</f>
        <v>231</v>
      </c>
      <c r="B237" s="4"/>
      <c r="I237" s="8"/>
      <c r="J237" s="5" t="str">
        <f>IF(I237="", "", IF(I237&gt;0, I237/100 +1, -100/I237 +1))</f>
        <v/>
      </c>
      <c r="K237" s="3"/>
      <c r="L237" s="3"/>
      <c r="N237" s="3" t="str">
        <f>IF(M237="", "", IF(M237="Draw", 0, IF(M237="win", L237, -1*K237)))</f>
        <v/>
      </c>
      <c r="O237" s="6" t="str">
        <f t="shared" si="3"/>
        <v/>
      </c>
      <c r="P237" s="7">
        <f>IF(M236="", P236, IF(C237="", P236, P236+LOOKUP(2, 1/($N$2:$N236&lt;&gt;""),$N$2:$N236) +Q237))</f>
        <v>141.32499999999999</v>
      </c>
      <c r="R237" t="b">
        <f>AND(ISNUMBER(FIND($E237,Tables!$I$2)), ISNUMBER(FIND($D237,Tables!$J$2)), $E237&lt;&gt;"")</f>
        <v>0</v>
      </c>
    </row>
    <row r="238" spans="1:18" x14ac:dyDescent="0.25">
      <c r="A238">
        <f>IF(AND(B238="", D238&lt;&gt;""), A237, A237+1)</f>
        <v>232</v>
      </c>
      <c r="B238" s="4"/>
      <c r="I238" s="8"/>
      <c r="J238" s="5" t="str">
        <f>IF(I238="", "", IF(I238&gt;0, I238/100 +1, -100/I238 +1))</f>
        <v/>
      </c>
      <c r="K238" s="3"/>
      <c r="L238" s="3"/>
      <c r="N238" s="3" t="str">
        <f>IF(M238="", "", IF(M238="Draw", 0, IF(M238="win", L238, -1*K238)))</f>
        <v/>
      </c>
      <c r="O238" s="6" t="str">
        <f t="shared" si="3"/>
        <v/>
      </c>
      <c r="P238" s="7">
        <f>IF(M237="", P237, IF(C238="", P237, P237+LOOKUP(2, 1/($N$2:$N237&lt;&gt;""),$N$2:$N237) +Q238))</f>
        <v>141.32499999999999</v>
      </c>
      <c r="R238" t="b">
        <f>AND(ISNUMBER(FIND($E238,Tables!$I$2)), ISNUMBER(FIND($D238,Tables!$J$2)), $E238&lt;&gt;"")</f>
        <v>0</v>
      </c>
    </row>
    <row r="239" spans="1:18" x14ac:dyDescent="0.25">
      <c r="A239">
        <f>IF(AND(B239="", D239&lt;&gt;""), A238, A238+1)</f>
        <v>233</v>
      </c>
      <c r="B239" s="4"/>
      <c r="I239" s="8"/>
      <c r="J239" s="5" t="str">
        <f>IF(I239="", "", IF(I239&gt;0, I239/100 +1, -100/I239 +1))</f>
        <v/>
      </c>
      <c r="K239" s="3"/>
      <c r="L239" s="3"/>
      <c r="N239" s="3" t="str">
        <f>IF(M239="", "", IF(M239="Draw", 0, IF(M239="win", L239, -1*K239)))</f>
        <v/>
      </c>
      <c r="O239" s="6" t="str">
        <f t="shared" si="3"/>
        <v/>
      </c>
      <c r="P239" s="7">
        <f>IF(M238="", P238, IF(C239="", P238, P238+LOOKUP(2, 1/($N$2:$N238&lt;&gt;""),$N$2:$N238) +Q239))</f>
        <v>141.32499999999999</v>
      </c>
      <c r="R239" t="b">
        <f>AND(ISNUMBER(FIND($E239,Tables!$I$2)), ISNUMBER(FIND($D239,Tables!$J$2)), $E239&lt;&gt;"")</f>
        <v>0</v>
      </c>
    </row>
    <row r="240" spans="1:18" x14ac:dyDescent="0.25">
      <c r="A240">
        <f>IF(AND(B240="", D240&lt;&gt;""), A239, A239+1)</f>
        <v>234</v>
      </c>
      <c r="B240" s="4"/>
      <c r="I240" s="8"/>
      <c r="J240" s="5" t="str">
        <f>IF(I240="", "", IF(I240&gt;0, I240/100 +1, -100/I240 +1))</f>
        <v/>
      </c>
      <c r="K240" s="3"/>
      <c r="L240" s="3"/>
      <c r="N240" s="3" t="str">
        <f>IF(M240="", "", IF(M240="Draw", 0, IF(M240="win", L240, -1*K240)))</f>
        <v/>
      </c>
      <c r="O240" s="6" t="str">
        <f t="shared" si="3"/>
        <v/>
      </c>
      <c r="P240" s="7">
        <f>IF(M239="", P239, IF(C240="", P239, P239+LOOKUP(2, 1/($N$2:$N239&lt;&gt;""),$N$2:$N239) +Q240))</f>
        <v>141.32499999999999</v>
      </c>
      <c r="R240" t="b">
        <f>AND(ISNUMBER(FIND($E240,Tables!$I$2)), ISNUMBER(FIND($D240,Tables!$J$2)), $E240&lt;&gt;"")</f>
        <v>0</v>
      </c>
    </row>
    <row r="241" spans="1:18" x14ac:dyDescent="0.25">
      <c r="A241">
        <f>IF(AND(B241="", D241&lt;&gt;""), A240, A240+1)</f>
        <v>235</v>
      </c>
      <c r="B241" s="4"/>
      <c r="I241" s="8"/>
      <c r="J241" s="5" t="str">
        <f>IF(I241="", "", IF(I241&gt;0, I241/100 +1, -100/I241 +1))</f>
        <v/>
      </c>
      <c r="K241" s="3"/>
      <c r="L241" s="3"/>
      <c r="N241" s="3" t="str">
        <f>IF(M241="", "", IF(M241="Draw", 0, IF(M241="win", L241, -1*K241)))</f>
        <v/>
      </c>
      <c r="O241" s="6" t="str">
        <f t="shared" si="3"/>
        <v/>
      </c>
      <c r="P241" s="7">
        <f>IF(M240="", P240, IF(C241="", P240, P240+LOOKUP(2, 1/($N$2:$N240&lt;&gt;""),$N$2:$N240) +Q241))</f>
        <v>141.32499999999999</v>
      </c>
      <c r="R241" t="b">
        <f>AND(ISNUMBER(FIND($E241,Tables!$I$2)), ISNUMBER(FIND($D241,Tables!$J$2)), $E241&lt;&gt;"")</f>
        <v>0</v>
      </c>
    </row>
    <row r="242" spans="1:18" x14ac:dyDescent="0.25">
      <c r="A242">
        <f>IF(AND(B242="", D242&lt;&gt;""), A241, A241+1)</f>
        <v>236</v>
      </c>
      <c r="B242" s="4"/>
      <c r="I242" s="8"/>
      <c r="J242" s="5" t="str">
        <f>IF(I242="", "", IF(I242&gt;0, I242/100 +1, -100/I242 +1))</f>
        <v/>
      </c>
      <c r="K242" s="3"/>
      <c r="L242" s="3"/>
      <c r="N242" s="3" t="str">
        <f>IF(M242="", "", IF(M242="Draw", 0, IF(M242="win", L242, -1*K242)))</f>
        <v/>
      </c>
      <c r="O242" s="6" t="str">
        <f t="shared" si="3"/>
        <v/>
      </c>
      <c r="P242" s="7">
        <f>IF(M241="", P241, IF(C242="", P241, P241+LOOKUP(2, 1/($N$2:$N241&lt;&gt;""),$N$2:$N241) +Q242))</f>
        <v>141.32499999999999</v>
      </c>
      <c r="R242" t="b">
        <f>AND(ISNUMBER(FIND($E242,Tables!$I$2)), ISNUMBER(FIND($D242,Tables!$J$2)), $E242&lt;&gt;"")</f>
        <v>0</v>
      </c>
    </row>
    <row r="243" spans="1:18" x14ac:dyDescent="0.25">
      <c r="A243">
        <f>IF(AND(B243="", D243&lt;&gt;""), A242, A242+1)</f>
        <v>237</v>
      </c>
      <c r="B243" s="4"/>
      <c r="I243" s="8"/>
      <c r="J243" s="5" t="str">
        <f>IF(I243="", "", IF(I243&gt;0, I243/100 +1, -100/I243 +1))</f>
        <v/>
      </c>
      <c r="K243" s="3"/>
      <c r="L243" s="3"/>
      <c r="N243" s="3" t="str">
        <f>IF(M243="", "", IF(M243="Draw", 0, IF(M243="win", L243, -1*K243)))</f>
        <v/>
      </c>
      <c r="O243" s="6" t="str">
        <f t="shared" si="3"/>
        <v/>
      </c>
      <c r="P243" s="7">
        <f>IF(M242="", P242, IF(C243="", P242, P242+LOOKUP(2, 1/($N$2:$N242&lt;&gt;""),$N$2:$N242) +Q243))</f>
        <v>141.32499999999999</v>
      </c>
      <c r="R243" t="b">
        <f>AND(ISNUMBER(FIND($E243,Tables!$I$2)), ISNUMBER(FIND($D243,Tables!$J$2)), $E243&lt;&gt;"")</f>
        <v>0</v>
      </c>
    </row>
    <row r="244" spans="1:18" x14ac:dyDescent="0.25">
      <c r="A244">
        <f>IF(AND(B244="", D244&lt;&gt;""), A243, A243+1)</f>
        <v>238</v>
      </c>
      <c r="B244" s="4"/>
      <c r="I244" s="8"/>
      <c r="J244" s="5" t="str">
        <f>IF(I244="", "", IF(I244&gt;0, I244/100 +1, -100/I244 +1))</f>
        <v/>
      </c>
      <c r="K244" s="3"/>
      <c r="L244" s="3"/>
      <c r="N244" s="3" t="str">
        <f>IF(M244="", "", IF(M244="Draw", 0, IF(M244="win", L244, -1*K244)))</f>
        <v/>
      </c>
      <c r="O244" s="6" t="str">
        <f t="shared" si="3"/>
        <v/>
      </c>
      <c r="P244" s="7">
        <f>IF(M243="", P243, IF(C244="", P243, P243+LOOKUP(2, 1/($N$2:$N243&lt;&gt;""),$N$2:$N243) +Q244))</f>
        <v>141.32499999999999</v>
      </c>
      <c r="R244" t="b">
        <f>AND(ISNUMBER(FIND($E244,Tables!$I$2)), ISNUMBER(FIND($D244,Tables!$J$2)), $E244&lt;&gt;"")</f>
        <v>0</v>
      </c>
    </row>
    <row r="245" spans="1:18" x14ac:dyDescent="0.25">
      <c r="A245">
        <f>IF(AND(B245="", D245&lt;&gt;""), A244, A244+1)</f>
        <v>239</v>
      </c>
      <c r="B245" s="4"/>
      <c r="I245" s="8"/>
      <c r="J245" s="5" t="str">
        <f>IF(I245="", "", IF(I245&gt;0, I245/100 +1, -100/I245 +1))</f>
        <v/>
      </c>
      <c r="K245" s="3"/>
      <c r="L245" s="3"/>
      <c r="N245" s="3" t="str">
        <f>IF(M245="", "", IF(M245="Draw", 0, IF(M245="win", L245, -1*K245)))</f>
        <v/>
      </c>
      <c r="O245" s="6" t="str">
        <f t="shared" si="3"/>
        <v/>
      </c>
      <c r="P245" s="7">
        <f>IF(M244="", P244, IF(C245="", P244, P244+LOOKUP(2, 1/($N$2:$N244&lt;&gt;""),$N$2:$N244) +Q245))</f>
        <v>141.32499999999999</v>
      </c>
      <c r="R245" t="b">
        <f>AND(ISNUMBER(FIND($E245,Tables!$I$2)), ISNUMBER(FIND($D245,Tables!$J$2)), $E245&lt;&gt;"")</f>
        <v>0</v>
      </c>
    </row>
    <row r="246" spans="1:18" x14ac:dyDescent="0.25">
      <c r="A246">
        <f>IF(AND(B246="", D246&lt;&gt;""), A245, A245+1)</f>
        <v>240</v>
      </c>
      <c r="B246" s="4"/>
      <c r="I246" s="8"/>
      <c r="J246" s="5" t="str">
        <f>IF(I246="", "", IF(I246&gt;0, I246/100 +1, -100/I246 +1))</f>
        <v/>
      </c>
      <c r="K246" s="3"/>
      <c r="L246" s="3"/>
      <c r="N246" s="3" t="str">
        <f>IF(M246="", "", IF(M246="Draw", 0, IF(M246="win", L246, -1*K246)))</f>
        <v/>
      </c>
      <c r="O246" s="6" t="str">
        <f t="shared" si="3"/>
        <v/>
      </c>
      <c r="P246" s="7">
        <f>IF(M245="", P245, IF(C246="", P245, P245+LOOKUP(2, 1/($N$2:$N245&lt;&gt;""),$N$2:$N245) +Q246))</f>
        <v>141.32499999999999</v>
      </c>
      <c r="R246" t="b">
        <f>AND(ISNUMBER(FIND($E246,Tables!$I$2)), ISNUMBER(FIND($D246,Tables!$J$2)), $E246&lt;&gt;"")</f>
        <v>0</v>
      </c>
    </row>
    <row r="247" spans="1:18" x14ac:dyDescent="0.25">
      <c r="A247">
        <f>IF(AND(B247="", D247&lt;&gt;""), A246, A246+1)</f>
        <v>241</v>
      </c>
      <c r="B247" s="4"/>
      <c r="I247" s="8"/>
      <c r="J247" s="5" t="str">
        <f>IF(I247="", "", IF(I247&gt;0, I247/100 +1, -100/I247 +1))</f>
        <v/>
      </c>
      <c r="K247" s="3"/>
      <c r="L247" s="3"/>
      <c r="N247" s="3" t="str">
        <f>IF(M247="", "", IF(M247="Draw", 0, IF(M247="win", L247, -1*K247)))</f>
        <v/>
      </c>
      <c r="O247" s="6" t="str">
        <f t="shared" si="3"/>
        <v/>
      </c>
      <c r="P247" s="7">
        <f>IF(M246="", P246, IF(C247="", P246, P246+LOOKUP(2, 1/($N$2:$N246&lt;&gt;""),$N$2:$N246) +Q247))</f>
        <v>141.32499999999999</v>
      </c>
      <c r="R247" t="b">
        <f>AND(ISNUMBER(FIND($E247,Tables!$I$2)), ISNUMBER(FIND($D247,Tables!$J$2)), $E247&lt;&gt;"")</f>
        <v>0</v>
      </c>
    </row>
    <row r="248" spans="1:18" x14ac:dyDescent="0.25">
      <c r="A248">
        <f>IF(AND(B248="", D248&lt;&gt;""), A247, A247+1)</f>
        <v>242</v>
      </c>
      <c r="B248" s="4"/>
      <c r="I248" s="8"/>
      <c r="J248" s="5" t="str">
        <f>IF(I248="", "", IF(I248&gt;0, I248/100 +1, -100/I248 +1))</f>
        <v/>
      </c>
      <c r="K248" s="3"/>
      <c r="L248" s="3"/>
      <c r="N248" s="3" t="str">
        <f>IF(M248="", "", IF(M248="Draw", 0, IF(M248="win", L248, -1*K248)))</f>
        <v/>
      </c>
      <c r="O248" s="6" t="str">
        <f t="shared" si="3"/>
        <v/>
      </c>
      <c r="P248" s="7">
        <f>IF(M247="", P247, IF(C248="", P247, P247+LOOKUP(2, 1/($N$2:$N247&lt;&gt;""),$N$2:$N247) +Q248))</f>
        <v>141.32499999999999</v>
      </c>
      <c r="R248" t="b">
        <f>AND(ISNUMBER(FIND($E248,Tables!$I$2)), ISNUMBER(FIND($D248,Tables!$J$2)), $E248&lt;&gt;"")</f>
        <v>0</v>
      </c>
    </row>
    <row r="249" spans="1:18" x14ac:dyDescent="0.25">
      <c r="A249">
        <f>IF(AND(B249="", D249&lt;&gt;""), A248, A248+1)</f>
        <v>243</v>
      </c>
      <c r="B249" s="4"/>
      <c r="I249" s="8"/>
      <c r="J249" s="5" t="str">
        <f>IF(I249="", "", IF(I249&gt;0, I249/100 +1, -100/I249 +1))</f>
        <v/>
      </c>
      <c r="K249" s="3"/>
      <c r="L249" s="3"/>
      <c r="N249" s="3" t="str">
        <f>IF(M249="", "", IF(M249="Draw", 0, IF(M249="win", L249, -1*K249)))</f>
        <v/>
      </c>
      <c r="O249" s="6" t="str">
        <f t="shared" si="3"/>
        <v/>
      </c>
      <c r="P249" s="7">
        <f>IF(M248="", P248, IF(C249="", P248, P248+LOOKUP(2, 1/($N$2:$N248&lt;&gt;""),$N$2:$N248) +Q249))</f>
        <v>141.32499999999999</v>
      </c>
      <c r="R249" t="b">
        <f>AND(ISNUMBER(FIND($E249,Tables!$I$2)), ISNUMBER(FIND($D249,Tables!$J$2)), $E249&lt;&gt;"")</f>
        <v>0</v>
      </c>
    </row>
    <row r="250" spans="1:18" x14ac:dyDescent="0.25">
      <c r="A250">
        <f>IF(AND(B250="", D250&lt;&gt;""), A249, A249+1)</f>
        <v>244</v>
      </c>
      <c r="B250" s="4"/>
      <c r="I250" s="8"/>
      <c r="J250" s="5" t="str">
        <f>IF(I250="", "", IF(I250&gt;0, I250/100 +1, -100/I250 +1))</f>
        <v/>
      </c>
      <c r="K250" s="3"/>
      <c r="L250" s="3"/>
      <c r="N250" s="3" t="str">
        <f>IF(M250="", "", IF(M250="Draw", 0, IF(M250="win", L250, -1*K250)))</f>
        <v/>
      </c>
      <c r="O250" s="6" t="str">
        <f t="shared" si="3"/>
        <v/>
      </c>
      <c r="P250" s="7">
        <f>IF(M249="", P249, IF(C250="", P249, P249+LOOKUP(2, 1/($N$2:$N249&lt;&gt;""),$N$2:$N249) +Q250))</f>
        <v>141.32499999999999</v>
      </c>
      <c r="R250" t="b">
        <f>AND(ISNUMBER(FIND($E250,Tables!$I$2)), ISNUMBER(FIND($D250,Tables!$J$2)), $E250&lt;&gt;"")</f>
        <v>0</v>
      </c>
    </row>
    <row r="251" spans="1:18" x14ac:dyDescent="0.25">
      <c r="A251">
        <f>IF(AND(B251="", D251&lt;&gt;""), A250, A250+1)</f>
        <v>245</v>
      </c>
      <c r="B251" s="4"/>
      <c r="I251" s="8"/>
      <c r="J251" s="5" t="str">
        <f>IF(I251="", "", IF(I251&gt;0, I251/100 +1, -100/I251 +1))</f>
        <v/>
      </c>
      <c r="K251" s="3"/>
      <c r="L251" s="3"/>
      <c r="N251" s="3" t="str">
        <f>IF(M251="", "", IF(M251="Draw", 0, IF(M251="win", L251, -1*K251)))</f>
        <v/>
      </c>
      <c r="O251" s="6" t="str">
        <f t="shared" si="3"/>
        <v/>
      </c>
      <c r="P251" s="7">
        <f>IF(M250="", P250, IF(C251="", P250, P250+LOOKUP(2, 1/($N$2:$N250&lt;&gt;""),$N$2:$N250) +Q251))</f>
        <v>141.32499999999999</v>
      </c>
      <c r="R251" t="b">
        <f>AND(ISNUMBER(FIND($E251,Tables!$I$2)), ISNUMBER(FIND($D251,Tables!$J$2)), $E251&lt;&gt;"")</f>
        <v>0</v>
      </c>
    </row>
    <row r="252" spans="1:18" x14ac:dyDescent="0.25">
      <c r="A252">
        <f>IF(AND(B252="", D252&lt;&gt;""), A251, A251+1)</f>
        <v>246</v>
      </c>
      <c r="B252" s="4"/>
      <c r="I252" s="8"/>
      <c r="J252" s="5" t="str">
        <f>IF(I252="", "", IF(I252&gt;0, I252/100 +1, -100/I252 +1))</f>
        <v/>
      </c>
      <c r="K252" s="3"/>
      <c r="L252" s="3"/>
      <c r="N252" s="3" t="str">
        <f>IF(M252="", "", IF(M252="Draw", 0, IF(M252="win", L252, -1*K252)))</f>
        <v/>
      </c>
      <c r="O252" s="6" t="str">
        <f t="shared" si="3"/>
        <v/>
      </c>
      <c r="P252" s="7">
        <f>IF(M251="", P251, IF(C252="", P251, P251+LOOKUP(2, 1/($N$2:$N251&lt;&gt;""),$N$2:$N251) +Q252))</f>
        <v>141.32499999999999</v>
      </c>
      <c r="R252" t="b">
        <f>AND(ISNUMBER(FIND($E252,Tables!$I$2)), ISNUMBER(FIND($D252,Tables!$J$2)), $E252&lt;&gt;"")</f>
        <v>0</v>
      </c>
    </row>
    <row r="253" spans="1:18" x14ac:dyDescent="0.25">
      <c r="A253">
        <f>IF(AND(B253="", D253&lt;&gt;""), A252, A252+1)</f>
        <v>247</v>
      </c>
      <c r="B253" s="4"/>
      <c r="I253" s="8"/>
      <c r="J253" s="5" t="str">
        <f>IF(I253="", "", IF(I253&gt;0, I253/100 +1, -100/I253 +1))</f>
        <v/>
      </c>
      <c r="K253" s="3"/>
      <c r="L253" s="3"/>
      <c r="N253" s="3" t="str">
        <f>IF(M253="", "", IF(M253="Draw", 0, IF(M253="win", L253, -1*K253)))</f>
        <v/>
      </c>
      <c r="O253" s="6" t="str">
        <f t="shared" si="3"/>
        <v/>
      </c>
      <c r="P253" s="7">
        <f>IF(M252="", P252, IF(C253="", P252, P252+LOOKUP(2, 1/($N$2:$N252&lt;&gt;""),$N$2:$N252) +Q253))</f>
        <v>141.32499999999999</v>
      </c>
      <c r="R253" t="b">
        <f>AND(ISNUMBER(FIND($E253,Tables!$I$2)), ISNUMBER(FIND($D253,Tables!$J$2)), $E253&lt;&gt;"")</f>
        <v>0</v>
      </c>
    </row>
    <row r="254" spans="1:18" x14ac:dyDescent="0.25">
      <c r="A254">
        <f>IF(AND(B254="", D254&lt;&gt;""), A253, A253+1)</f>
        <v>248</v>
      </c>
      <c r="B254" s="4"/>
      <c r="I254" s="8"/>
      <c r="J254" s="5" t="str">
        <f>IF(I254="", "", IF(I254&gt;0, I254/100 +1, -100/I254 +1))</f>
        <v/>
      </c>
      <c r="K254" s="3"/>
      <c r="L254" s="3"/>
      <c r="N254" s="3" t="str">
        <f>IF(M254="", "", IF(M254="Draw", 0, IF(M254="win", L254, -1*K254)))</f>
        <v/>
      </c>
      <c r="O254" s="6" t="str">
        <f t="shared" si="3"/>
        <v/>
      </c>
      <c r="P254" s="7">
        <f>IF(M253="", P253, IF(C254="", P253, P253+LOOKUP(2, 1/($N$2:$N253&lt;&gt;""),$N$2:$N253) +Q254))</f>
        <v>141.32499999999999</v>
      </c>
      <c r="R254" t="b">
        <f>AND(ISNUMBER(FIND($E254,Tables!$I$2)), ISNUMBER(FIND($D254,Tables!$J$2)), $E254&lt;&gt;"")</f>
        <v>0</v>
      </c>
    </row>
    <row r="255" spans="1:18" x14ac:dyDescent="0.25">
      <c r="A255">
        <f>IF(AND(B255="", D255&lt;&gt;""), A254, A254+1)</f>
        <v>249</v>
      </c>
      <c r="B255" s="4"/>
      <c r="I255" s="8"/>
      <c r="J255" s="5" t="str">
        <f>IF(I255="", "", IF(I255&gt;0, I255/100 +1, -100/I255 +1))</f>
        <v/>
      </c>
      <c r="K255" s="3"/>
      <c r="L255" s="3"/>
      <c r="N255" s="3" t="str">
        <f>IF(M255="", "", IF(M255="Draw", 0, IF(M255="win", L255, -1*K255)))</f>
        <v/>
      </c>
      <c r="O255" s="6" t="str">
        <f t="shared" si="3"/>
        <v/>
      </c>
      <c r="P255" s="7">
        <f>IF(M254="", P254, IF(C255="", P254, P254+LOOKUP(2, 1/($N$2:$N254&lt;&gt;""),$N$2:$N254) +Q255))</f>
        <v>141.32499999999999</v>
      </c>
      <c r="R255" t="b">
        <f>AND(ISNUMBER(FIND($E255,Tables!$I$2)), ISNUMBER(FIND($D255,Tables!$J$2)), $E255&lt;&gt;"")</f>
        <v>0</v>
      </c>
    </row>
    <row r="256" spans="1:18" x14ac:dyDescent="0.25">
      <c r="A256">
        <f>IF(AND(B256="", D256&lt;&gt;""), A255, A255+1)</f>
        <v>250</v>
      </c>
      <c r="B256" s="4"/>
      <c r="I256" s="8"/>
      <c r="J256" s="5" t="str">
        <f>IF(I256="", "", IF(I256&gt;0, I256/100 +1, -100/I256 +1))</f>
        <v/>
      </c>
      <c r="K256" s="3"/>
      <c r="L256" s="3"/>
      <c r="N256" s="3" t="str">
        <f>IF(M256="", "", IF(M256="Draw", 0, IF(M256="win", L256, -1*K256)))</f>
        <v/>
      </c>
      <c r="O256" s="6" t="str">
        <f t="shared" si="3"/>
        <v/>
      </c>
      <c r="P256" s="7">
        <f>IF(M255="", P255, IF(C256="", P255, P255+LOOKUP(2, 1/($N$2:$N255&lt;&gt;""),$N$2:$N255) +Q256))</f>
        <v>141.32499999999999</v>
      </c>
      <c r="R256" t="b">
        <f>AND(ISNUMBER(FIND($E256,Tables!$I$2)), ISNUMBER(FIND($D256,Tables!$J$2)), $E256&lt;&gt;"")</f>
        <v>0</v>
      </c>
    </row>
    <row r="257" spans="1:18" x14ac:dyDescent="0.25">
      <c r="A257">
        <f>IF(AND(B257="", D257&lt;&gt;""), A256, A256+1)</f>
        <v>251</v>
      </c>
      <c r="B257" s="4"/>
      <c r="I257" s="8"/>
      <c r="J257" s="5" t="str">
        <f>IF(I257="", "", IF(I257&gt;0, I257/100 +1, -100/I257 +1))</f>
        <v/>
      </c>
      <c r="K257" s="3"/>
      <c r="L257" s="3"/>
      <c r="N257" s="3" t="str">
        <f>IF(M257="", "", IF(M257="Draw", 0, IF(M257="win", L257, -1*K257)))</f>
        <v/>
      </c>
      <c r="O257" s="6" t="str">
        <f t="shared" si="3"/>
        <v/>
      </c>
      <c r="P257" s="7">
        <f>IF(M256="", P256, IF(C257="", P256, P256+LOOKUP(2, 1/($N$2:$N256&lt;&gt;""),$N$2:$N256) +Q257))</f>
        <v>141.32499999999999</v>
      </c>
      <c r="R257" t="b">
        <f>AND(ISNUMBER(FIND($E257,Tables!$I$2)), ISNUMBER(FIND($D257,Tables!$J$2)), $E257&lt;&gt;"")</f>
        <v>0</v>
      </c>
    </row>
    <row r="258" spans="1:18" x14ac:dyDescent="0.25">
      <c r="A258">
        <f>IF(AND(B258="", D258&lt;&gt;""), A257, A257+1)</f>
        <v>252</v>
      </c>
      <c r="B258" s="4"/>
      <c r="I258" s="8"/>
      <c r="J258" s="5" t="str">
        <f>IF(I258="", "", IF(I258&gt;0, I258/100 +1, -100/I258 +1))</f>
        <v/>
      </c>
      <c r="K258" s="3"/>
      <c r="L258" s="3"/>
      <c r="N258" s="3" t="str">
        <f>IF(M258="", "", IF(M258="Draw", 0, IF(M258="win", L258, -1*K258)))</f>
        <v/>
      </c>
      <c r="O258" s="6" t="str">
        <f t="shared" si="3"/>
        <v/>
      </c>
      <c r="P258" s="7">
        <f>IF(M257="", P257, IF(C258="", P257, P257+LOOKUP(2, 1/($N$2:$N257&lt;&gt;""),$N$2:$N257) +Q258))</f>
        <v>141.32499999999999</v>
      </c>
      <c r="R258" t="b">
        <f>AND(ISNUMBER(FIND($E258,Tables!$I$2)), ISNUMBER(FIND($D258,Tables!$J$2)), $E258&lt;&gt;"")</f>
        <v>0</v>
      </c>
    </row>
    <row r="259" spans="1:18" x14ac:dyDescent="0.25">
      <c r="A259">
        <f>IF(AND(B259="", D259&lt;&gt;""), A258, A258+1)</f>
        <v>253</v>
      </c>
      <c r="B259" s="4"/>
      <c r="I259" s="8"/>
      <c r="J259" s="5" t="str">
        <f>IF(I259="", "", IF(I259&gt;0, I259/100 +1, -100/I259 +1))</f>
        <v/>
      </c>
      <c r="K259" s="3"/>
      <c r="L259" s="3"/>
      <c r="N259" s="3" t="str">
        <f>IF(M259="", "", IF(M259="Draw", 0, IF(M259="win", L259, -1*K259)))</f>
        <v/>
      </c>
      <c r="O259" s="6" t="str">
        <f t="shared" ref="O259:O300" si="4">IFERROR(K259/VLOOKUP(_xlfn.MINIFS(A:A,B:B,B259,C:C,C259),A:P,16),"")</f>
        <v/>
      </c>
      <c r="P259" s="7">
        <f>IF(M258="", P258, IF(C259="", P258, P258+LOOKUP(2, 1/($N$2:$N258&lt;&gt;""),$N$2:$N258) +Q259))</f>
        <v>141.32499999999999</v>
      </c>
      <c r="R259" t="b">
        <f>AND(ISNUMBER(FIND($E259,Tables!$I$2)), ISNUMBER(FIND($D259,Tables!$J$2)), $E259&lt;&gt;"")</f>
        <v>0</v>
      </c>
    </row>
    <row r="260" spans="1:18" x14ac:dyDescent="0.25">
      <c r="A260">
        <f>IF(AND(B260="", D260&lt;&gt;""), A259, A259+1)</f>
        <v>254</v>
      </c>
      <c r="B260" s="4"/>
      <c r="I260" s="8"/>
      <c r="J260" s="5" t="str">
        <f>IF(I260="", "", IF(I260&gt;0, I260/100 +1, -100/I260 +1))</f>
        <v/>
      </c>
      <c r="K260" s="3"/>
      <c r="L260" s="3"/>
      <c r="N260" s="3" t="str">
        <f>IF(M260="", "", IF(M260="Draw", 0, IF(M260="win", L260, -1*K260)))</f>
        <v/>
      </c>
      <c r="O260" s="6" t="str">
        <f t="shared" si="4"/>
        <v/>
      </c>
      <c r="P260" s="7">
        <f>IF(M259="", P259, IF(C260="", P259, P259+LOOKUP(2, 1/($N$2:$N259&lt;&gt;""),$N$2:$N259) +Q260))</f>
        <v>141.32499999999999</v>
      </c>
      <c r="R260" t="b">
        <f>AND(ISNUMBER(FIND($E260,Tables!$I$2)), ISNUMBER(FIND($D260,Tables!$J$2)), $E260&lt;&gt;"")</f>
        <v>0</v>
      </c>
    </row>
    <row r="261" spans="1:18" x14ac:dyDescent="0.25">
      <c r="A261">
        <f>IF(AND(B261="", D261&lt;&gt;""), A260, A260+1)</f>
        <v>255</v>
      </c>
      <c r="B261" s="4"/>
      <c r="I261" s="8"/>
      <c r="J261" s="5" t="str">
        <f>IF(I261="", "", IF(I261&gt;0, I261/100 +1, -100/I261 +1))</f>
        <v/>
      </c>
      <c r="K261" s="3"/>
      <c r="L261" s="3"/>
      <c r="N261" s="3" t="str">
        <f>IF(M261="", "", IF(M261="Draw", 0, IF(M261="win", L261, -1*K261)))</f>
        <v/>
      </c>
      <c r="O261" s="6" t="str">
        <f t="shared" si="4"/>
        <v/>
      </c>
      <c r="P261" s="7">
        <f>IF(M260="", P260, IF(C261="", P260, P260+LOOKUP(2, 1/($N$2:$N260&lt;&gt;""),$N$2:$N260) +Q261))</f>
        <v>141.32499999999999</v>
      </c>
      <c r="R261" t="b">
        <f>AND(ISNUMBER(FIND($E261,Tables!$I$2)), ISNUMBER(FIND($D261,Tables!$J$2)), $E261&lt;&gt;"")</f>
        <v>0</v>
      </c>
    </row>
    <row r="262" spans="1:18" x14ac:dyDescent="0.25">
      <c r="A262">
        <f>IF(AND(B262="", D262&lt;&gt;""), A261, A261+1)</f>
        <v>256</v>
      </c>
      <c r="B262" s="4"/>
      <c r="I262" s="8"/>
      <c r="J262" s="5" t="str">
        <f>IF(I262="", "", IF(I262&gt;0, I262/100 +1, -100/I262 +1))</f>
        <v/>
      </c>
      <c r="K262" s="3"/>
      <c r="L262" s="3"/>
      <c r="N262" s="3" t="str">
        <f>IF(M262="", "", IF(M262="Draw", 0, IF(M262="win", L262, -1*K262)))</f>
        <v/>
      </c>
      <c r="O262" s="6" t="str">
        <f t="shared" si="4"/>
        <v/>
      </c>
      <c r="P262" s="7">
        <f>IF(M261="", P261, IF(C262="", P261, P261+LOOKUP(2, 1/($N$2:$N261&lt;&gt;""),$N$2:$N261) +Q262))</f>
        <v>141.32499999999999</v>
      </c>
      <c r="R262" t="b">
        <f>AND(ISNUMBER(FIND($E262,Tables!$I$2)), ISNUMBER(FIND($D262,Tables!$J$2)), $E262&lt;&gt;"")</f>
        <v>0</v>
      </c>
    </row>
    <row r="263" spans="1:18" x14ac:dyDescent="0.25">
      <c r="A263">
        <f>IF(AND(B263="", D263&lt;&gt;""), A262, A262+1)</f>
        <v>257</v>
      </c>
      <c r="B263" s="4"/>
      <c r="I263" s="8"/>
      <c r="J263" s="5" t="str">
        <f>IF(I263="", "", IF(I263&gt;0, I263/100 +1, -100/I263 +1))</f>
        <v/>
      </c>
      <c r="K263" s="3"/>
      <c r="L263" s="3"/>
      <c r="N263" s="3" t="str">
        <f>IF(M263="", "", IF(M263="Draw", 0, IF(M263="win", L263, -1*K263)))</f>
        <v/>
      </c>
      <c r="O263" s="6" t="str">
        <f t="shared" si="4"/>
        <v/>
      </c>
      <c r="P263" s="7">
        <f>IF(M262="", P262, IF(C263="", P262, P262+LOOKUP(2, 1/($N$2:$N262&lt;&gt;""),$N$2:$N262) +Q263))</f>
        <v>141.32499999999999</v>
      </c>
      <c r="R263" t="b">
        <f>AND(ISNUMBER(FIND($E263,Tables!$I$2)), ISNUMBER(FIND($D263,Tables!$J$2)), $E263&lt;&gt;"")</f>
        <v>0</v>
      </c>
    </row>
    <row r="264" spans="1:18" x14ac:dyDescent="0.25">
      <c r="A264">
        <f>IF(AND(B264="", D264&lt;&gt;""), A263, A263+1)</f>
        <v>258</v>
      </c>
      <c r="B264" s="4"/>
      <c r="I264" s="8"/>
      <c r="J264" s="5" t="str">
        <f>IF(I264="", "", IF(I264&gt;0, I264/100 +1, -100/I264 +1))</f>
        <v/>
      </c>
      <c r="K264" s="3"/>
      <c r="L264" s="3"/>
      <c r="N264" s="3" t="str">
        <f>IF(M264="", "", IF(M264="Draw", 0, IF(M264="win", L264, -1*K264)))</f>
        <v/>
      </c>
      <c r="O264" s="6" t="str">
        <f t="shared" si="4"/>
        <v/>
      </c>
      <c r="P264" s="7">
        <f>IF(M263="", P263, IF(C264="", P263, P263+LOOKUP(2, 1/($N$2:$N263&lt;&gt;""),$N$2:$N263) +Q264))</f>
        <v>141.32499999999999</v>
      </c>
      <c r="R264" t="b">
        <f>AND(ISNUMBER(FIND($E264,Tables!$I$2)), ISNUMBER(FIND($D264,Tables!$J$2)), $E264&lt;&gt;"")</f>
        <v>0</v>
      </c>
    </row>
    <row r="265" spans="1:18" x14ac:dyDescent="0.25">
      <c r="A265">
        <f>IF(AND(B265="", D265&lt;&gt;""), A264, A264+1)</f>
        <v>259</v>
      </c>
      <c r="B265" s="4"/>
      <c r="I265" s="8"/>
      <c r="J265" s="5" t="str">
        <f>IF(I265="", "", IF(I265&gt;0, I265/100 +1, -100/I265 +1))</f>
        <v/>
      </c>
      <c r="K265" s="3"/>
      <c r="L265" s="3"/>
      <c r="N265" s="3" t="str">
        <f>IF(M265="", "", IF(M265="Draw", 0, IF(M265="win", L265, -1*K265)))</f>
        <v/>
      </c>
      <c r="O265" s="6" t="str">
        <f t="shared" si="4"/>
        <v/>
      </c>
      <c r="P265" s="7">
        <f>IF(M264="", P264, IF(C265="", P264, P264+LOOKUP(2, 1/($N$2:$N264&lt;&gt;""),$N$2:$N264) +Q265))</f>
        <v>141.32499999999999</v>
      </c>
      <c r="R265" t="b">
        <f>AND(ISNUMBER(FIND($E265,Tables!$I$2)), ISNUMBER(FIND($D265,Tables!$J$2)), $E265&lt;&gt;"")</f>
        <v>0</v>
      </c>
    </row>
    <row r="266" spans="1:18" x14ac:dyDescent="0.25">
      <c r="A266">
        <f>IF(AND(B266="", D266&lt;&gt;""), A265, A265+1)</f>
        <v>260</v>
      </c>
      <c r="B266" s="4"/>
      <c r="I266" s="8"/>
      <c r="J266" s="5" t="str">
        <f>IF(I266="", "", IF(I266&gt;0, I266/100 +1, -100/I266 +1))</f>
        <v/>
      </c>
      <c r="K266" s="3"/>
      <c r="L266" s="3"/>
      <c r="N266" s="3" t="str">
        <f>IF(M266="", "", IF(M266="Draw", 0, IF(M266="win", L266, -1*K266)))</f>
        <v/>
      </c>
      <c r="O266" s="6" t="str">
        <f t="shared" si="4"/>
        <v/>
      </c>
      <c r="P266" s="7">
        <f>IF(M265="", P265, IF(C266="", P265, P265+LOOKUP(2, 1/($N$2:$N265&lt;&gt;""),$N$2:$N265) +Q266))</f>
        <v>141.32499999999999</v>
      </c>
      <c r="R266" t="b">
        <f>AND(ISNUMBER(FIND($E266,Tables!$I$2)), ISNUMBER(FIND($D266,Tables!$J$2)), $E266&lt;&gt;"")</f>
        <v>0</v>
      </c>
    </row>
    <row r="267" spans="1:18" x14ac:dyDescent="0.25">
      <c r="A267">
        <f>IF(AND(B267="", D267&lt;&gt;""), A266, A266+1)</f>
        <v>261</v>
      </c>
      <c r="B267" s="4"/>
      <c r="I267" s="8"/>
      <c r="J267" s="5" t="str">
        <f>IF(I267="", "", IF(I267&gt;0, I267/100 +1, -100/I267 +1))</f>
        <v/>
      </c>
      <c r="K267" s="3"/>
      <c r="L267" s="3"/>
      <c r="N267" s="3" t="str">
        <f>IF(M267="", "", IF(M267="Draw", 0, IF(M267="win", L267, -1*K267)))</f>
        <v/>
      </c>
      <c r="O267" s="6" t="str">
        <f t="shared" si="4"/>
        <v/>
      </c>
      <c r="P267" s="7">
        <f>IF(M266="", P266, IF(C267="", P266, P266+LOOKUP(2, 1/($N$2:$N266&lt;&gt;""),$N$2:$N266) +Q267))</f>
        <v>141.32499999999999</v>
      </c>
      <c r="R267" t="b">
        <f>AND(ISNUMBER(FIND($E267,Tables!$I$2)), ISNUMBER(FIND($D267,Tables!$J$2)), $E267&lt;&gt;"")</f>
        <v>0</v>
      </c>
    </row>
    <row r="268" spans="1:18" x14ac:dyDescent="0.25">
      <c r="A268">
        <f>IF(AND(B268="", D268&lt;&gt;""), A267, A267+1)</f>
        <v>262</v>
      </c>
      <c r="B268" s="4"/>
      <c r="I268" s="8"/>
      <c r="J268" s="5" t="str">
        <f>IF(I268="", "", IF(I268&gt;0, I268/100 +1, -100/I268 +1))</f>
        <v/>
      </c>
      <c r="K268" s="3"/>
      <c r="L268" s="3"/>
      <c r="N268" s="3" t="str">
        <f>IF(M268="", "", IF(M268="Draw", 0, IF(M268="win", L268, -1*K268)))</f>
        <v/>
      </c>
      <c r="O268" s="6" t="str">
        <f t="shared" si="4"/>
        <v/>
      </c>
      <c r="P268" s="7">
        <f>IF(M267="", P267, IF(C268="", P267, P267+LOOKUP(2, 1/($N$2:$N267&lt;&gt;""),$N$2:$N267) +Q268))</f>
        <v>141.32499999999999</v>
      </c>
      <c r="R268" t="b">
        <f>AND(ISNUMBER(FIND($E268,Tables!$I$2)), ISNUMBER(FIND($D268,Tables!$J$2)), $E268&lt;&gt;"")</f>
        <v>0</v>
      </c>
    </row>
    <row r="269" spans="1:18" x14ac:dyDescent="0.25">
      <c r="A269">
        <f>IF(AND(B269="", D269&lt;&gt;""), A268, A268+1)</f>
        <v>263</v>
      </c>
      <c r="B269" s="4"/>
      <c r="I269" s="8"/>
      <c r="J269" s="5" t="str">
        <f>IF(I269="", "", IF(I269&gt;0, I269/100 +1, -100/I269 +1))</f>
        <v/>
      </c>
      <c r="K269" s="3"/>
      <c r="L269" s="3"/>
      <c r="N269" s="3" t="str">
        <f>IF(M269="", "", IF(M269="Draw", 0, IF(M269="win", L269, -1*K269)))</f>
        <v/>
      </c>
      <c r="O269" s="6" t="str">
        <f t="shared" si="4"/>
        <v/>
      </c>
      <c r="P269" s="7">
        <f>IF(M268="", P268, IF(C269="", P268, P268+LOOKUP(2, 1/($N$2:$N268&lt;&gt;""),$N$2:$N268) +Q269))</f>
        <v>141.32499999999999</v>
      </c>
      <c r="R269" t="b">
        <f>AND(ISNUMBER(FIND($E269,Tables!$I$2)), ISNUMBER(FIND($D269,Tables!$J$2)), $E269&lt;&gt;"")</f>
        <v>0</v>
      </c>
    </row>
    <row r="270" spans="1:18" x14ac:dyDescent="0.25">
      <c r="A270">
        <f>IF(AND(B270="", D270&lt;&gt;""), A269, A269+1)</f>
        <v>264</v>
      </c>
      <c r="B270" s="4"/>
      <c r="I270" s="8"/>
      <c r="J270" s="5" t="str">
        <f>IF(I270="", "", IF(I270&gt;0, I270/100 +1, -100/I270 +1))</f>
        <v/>
      </c>
      <c r="K270" s="3"/>
      <c r="L270" s="3"/>
      <c r="N270" s="3" t="str">
        <f>IF(M270="", "", IF(M270="Draw", 0, IF(M270="win", L270, -1*K270)))</f>
        <v/>
      </c>
      <c r="O270" s="6" t="str">
        <f t="shared" si="4"/>
        <v/>
      </c>
      <c r="P270" s="7">
        <f>IF(M269="", P269, IF(C270="", P269, P269+LOOKUP(2, 1/($N$2:$N269&lt;&gt;""),$N$2:$N269) +Q270))</f>
        <v>141.32499999999999</v>
      </c>
      <c r="R270" t="b">
        <f>AND(ISNUMBER(FIND($E270,Tables!$I$2)), ISNUMBER(FIND($D270,Tables!$J$2)), $E270&lt;&gt;"")</f>
        <v>0</v>
      </c>
    </row>
    <row r="271" spans="1:18" x14ac:dyDescent="0.25">
      <c r="A271">
        <f>IF(AND(B271="", D271&lt;&gt;""), A270, A270+1)</f>
        <v>265</v>
      </c>
      <c r="B271" s="4"/>
      <c r="I271" s="8"/>
      <c r="J271" s="5" t="str">
        <f>IF(I271="", "", IF(I271&gt;0, I271/100 +1, -100/I271 +1))</f>
        <v/>
      </c>
      <c r="K271" s="3"/>
      <c r="L271" s="3"/>
      <c r="N271" s="3" t="str">
        <f>IF(M271="", "", IF(M271="Draw", 0, IF(M271="win", L271, -1*K271)))</f>
        <v/>
      </c>
      <c r="O271" s="6" t="str">
        <f t="shared" si="4"/>
        <v/>
      </c>
      <c r="P271" s="7">
        <f>IF(M270="", P270, IF(C271="", P270, P270+LOOKUP(2, 1/($N$2:$N270&lt;&gt;""),$N$2:$N270) +Q271))</f>
        <v>141.32499999999999</v>
      </c>
      <c r="R271" t="b">
        <f>AND(ISNUMBER(FIND($E271,Tables!$I$2)), ISNUMBER(FIND($D271,Tables!$J$2)), $E271&lt;&gt;"")</f>
        <v>0</v>
      </c>
    </row>
    <row r="272" spans="1:18" x14ac:dyDescent="0.25">
      <c r="A272">
        <f>IF(AND(B272="", D272&lt;&gt;""), A271, A271+1)</f>
        <v>266</v>
      </c>
      <c r="B272" s="4"/>
      <c r="I272" s="8"/>
      <c r="J272" s="5" t="str">
        <f>IF(I272="", "", IF(I272&gt;0, I272/100 +1, -100/I272 +1))</f>
        <v/>
      </c>
      <c r="K272" s="3"/>
      <c r="L272" s="3"/>
      <c r="N272" s="3" t="str">
        <f>IF(M272="", "", IF(M272="Draw", 0, IF(M272="win", L272, -1*K272)))</f>
        <v/>
      </c>
      <c r="O272" s="6" t="str">
        <f t="shared" si="4"/>
        <v/>
      </c>
      <c r="P272" s="7">
        <f>IF(M271="", P271, IF(C272="", P271, P271+LOOKUP(2, 1/($N$2:$N271&lt;&gt;""),$N$2:$N271) +Q272))</f>
        <v>141.32499999999999</v>
      </c>
      <c r="R272" t="b">
        <f>AND(ISNUMBER(FIND($E272,Tables!$I$2)), ISNUMBER(FIND($D272,Tables!$J$2)), $E272&lt;&gt;"")</f>
        <v>0</v>
      </c>
    </row>
    <row r="273" spans="1:18" x14ac:dyDescent="0.25">
      <c r="A273">
        <f>IF(AND(B273="", D273&lt;&gt;""), A272, A272+1)</f>
        <v>267</v>
      </c>
      <c r="B273" s="4"/>
      <c r="I273" s="8"/>
      <c r="J273" s="5" t="str">
        <f>IF(I273="", "", IF(I273&gt;0, I273/100 +1, -100/I273 +1))</f>
        <v/>
      </c>
      <c r="K273" s="3"/>
      <c r="L273" s="3"/>
      <c r="N273" s="3" t="str">
        <f>IF(M273="", "", IF(M273="Draw", 0, IF(M273="win", L273, -1*K273)))</f>
        <v/>
      </c>
      <c r="O273" s="6" t="str">
        <f t="shared" si="4"/>
        <v/>
      </c>
      <c r="P273" s="7">
        <f>IF(M272="", P272, IF(C273="", P272, P272+LOOKUP(2, 1/($N$2:$N272&lt;&gt;""),$N$2:$N272) +Q273))</f>
        <v>141.32499999999999</v>
      </c>
      <c r="R273" t="b">
        <f>AND(ISNUMBER(FIND($E273,Tables!$I$2)), ISNUMBER(FIND($D273,Tables!$J$2)), $E273&lt;&gt;"")</f>
        <v>0</v>
      </c>
    </row>
    <row r="274" spans="1:18" x14ac:dyDescent="0.25">
      <c r="A274">
        <f>IF(AND(B274="", D274&lt;&gt;""), A273, A273+1)</f>
        <v>268</v>
      </c>
      <c r="B274" s="4"/>
      <c r="I274" s="8"/>
      <c r="J274" s="5" t="str">
        <f>IF(I274="", "", IF(I274&gt;0, I274/100 +1, -100/I274 +1))</f>
        <v/>
      </c>
      <c r="K274" s="3"/>
      <c r="L274" s="3"/>
      <c r="N274" s="3" t="str">
        <f>IF(M274="", "", IF(M274="Draw", 0, IF(M274="win", L274, -1*K274)))</f>
        <v/>
      </c>
      <c r="O274" s="6" t="str">
        <f t="shared" si="4"/>
        <v/>
      </c>
      <c r="P274" s="7">
        <f>IF(M273="", P273, IF(C274="", P273, P273+LOOKUP(2, 1/($N$2:$N273&lt;&gt;""),$N$2:$N273) +Q274))</f>
        <v>141.32499999999999</v>
      </c>
      <c r="R274" t="b">
        <f>AND(ISNUMBER(FIND($E274,Tables!$I$2)), ISNUMBER(FIND($D274,Tables!$J$2)), $E274&lt;&gt;"")</f>
        <v>0</v>
      </c>
    </row>
    <row r="275" spans="1:18" x14ac:dyDescent="0.25">
      <c r="A275">
        <f>IF(AND(B275="", D275&lt;&gt;""), A274, A274+1)</f>
        <v>269</v>
      </c>
      <c r="B275" s="4"/>
      <c r="I275" s="8"/>
      <c r="J275" s="5" t="str">
        <f>IF(I275="", "", IF(I275&gt;0, I275/100 +1, -100/I275 +1))</f>
        <v/>
      </c>
      <c r="K275" s="3"/>
      <c r="L275" s="3"/>
      <c r="N275" s="3" t="str">
        <f>IF(M275="", "", IF(M275="Draw", 0, IF(M275="win", L275, -1*K275)))</f>
        <v/>
      </c>
      <c r="O275" s="6" t="str">
        <f t="shared" si="4"/>
        <v/>
      </c>
      <c r="P275" s="7">
        <f>IF(M274="", P274, IF(C275="", P274, P274+LOOKUP(2, 1/($N$2:$N274&lt;&gt;""),$N$2:$N274) +Q275))</f>
        <v>141.32499999999999</v>
      </c>
      <c r="R275" t="b">
        <f>AND(ISNUMBER(FIND($E275,Tables!$I$2)), ISNUMBER(FIND($D275,Tables!$J$2)), $E275&lt;&gt;"")</f>
        <v>0</v>
      </c>
    </row>
    <row r="276" spans="1:18" x14ac:dyDescent="0.25">
      <c r="A276">
        <f>IF(AND(B276="", D276&lt;&gt;""), A275, A275+1)</f>
        <v>270</v>
      </c>
      <c r="B276" s="4"/>
      <c r="I276" s="8"/>
      <c r="J276" s="5" t="str">
        <f>IF(I276="", "", IF(I276&gt;0, I276/100 +1, -100/I276 +1))</f>
        <v/>
      </c>
      <c r="K276" s="3"/>
      <c r="L276" s="3"/>
      <c r="N276" s="3" t="str">
        <f>IF(M276="", "", IF(M276="Draw", 0, IF(M276="win", L276, -1*K276)))</f>
        <v/>
      </c>
      <c r="O276" s="6" t="str">
        <f t="shared" si="4"/>
        <v/>
      </c>
      <c r="P276" s="7">
        <f>IF(M275="", P275, IF(C276="", P275, P275+LOOKUP(2, 1/($N$2:$N275&lt;&gt;""),$N$2:$N275) +Q276))</f>
        <v>141.32499999999999</v>
      </c>
      <c r="R276" t="b">
        <f>AND(ISNUMBER(FIND($E276,Tables!$I$2)), ISNUMBER(FIND($D276,Tables!$J$2)), $E276&lt;&gt;"")</f>
        <v>0</v>
      </c>
    </row>
    <row r="277" spans="1:18" x14ac:dyDescent="0.25">
      <c r="A277">
        <f>IF(AND(B277="", D277&lt;&gt;""), A276, A276+1)</f>
        <v>271</v>
      </c>
      <c r="B277" s="4"/>
      <c r="I277" s="8"/>
      <c r="J277" s="5" t="str">
        <f>IF(I277="", "", IF(I277&gt;0, I277/100 +1, -100/I277 +1))</f>
        <v/>
      </c>
      <c r="K277" s="3"/>
      <c r="L277" s="3"/>
      <c r="N277" s="3" t="str">
        <f>IF(M277="", "", IF(M277="Draw", 0, IF(M277="win", L277, -1*K277)))</f>
        <v/>
      </c>
      <c r="O277" s="6" t="str">
        <f t="shared" si="4"/>
        <v/>
      </c>
      <c r="P277" s="7">
        <f>IF(M276="", P276, IF(C277="", P276, P276+LOOKUP(2, 1/($N$2:$N276&lt;&gt;""),$N$2:$N276) +Q277))</f>
        <v>141.32499999999999</v>
      </c>
      <c r="R277" t="b">
        <f>AND(ISNUMBER(FIND($E277,Tables!$I$2)), ISNUMBER(FIND($D277,Tables!$J$2)), $E277&lt;&gt;"")</f>
        <v>0</v>
      </c>
    </row>
    <row r="278" spans="1:18" x14ac:dyDescent="0.25">
      <c r="A278">
        <f>IF(AND(B278="", D278&lt;&gt;""), A277, A277+1)</f>
        <v>272</v>
      </c>
      <c r="B278" s="4"/>
      <c r="I278" s="8"/>
      <c r="J278" s="5" t="str">
        <f>IF(I278="", "", IF(I278&gt;0, I278/100 +1, -100/I278 +1))</f>
        <v/>
      </c>
      <c r="K278" s="3"/>
      <c r="L278" s="3"/>
      <c r="N278" s="3" t="str">
        <f>IF(M278="", "", IF(M278="Draw", 0, IF(M278="win", L278, -1*K278)))</f>
        <v/>
      </c>
      <c r="O278" s="6" t="str">
        <f t="shared" si="4"/>
        <v/>
      </c>
      <c r="P278" s="7">
        <f>IF(M277="", P277, IF(C278="", P277, P277+LOOKUP(2, 1/($N$2:$N277&lt;&gt;""),$N$2:$N277) +Q278))</f>
        <v>141.32499999999999</v>
      </c>
      <c r="R278" t="b">
        <f>AND(ISNUMBER(FIND($E278,Tables!$I$2)), ISNUMBER(FIND($D278,Tables!$J$2)), $E278&lt;&gt;"")</f>
        <v>0</v>
      </c>
    </row>
    <row r="279" spans="1:18" x14ac:dyDescent="0.25">
      <c r="A279">
        <f>IF(AND(B279="", D279&lt;&gt;""), A278, A278+1)</f>
        <v>273</v>
      </c>
      <c r="B279" s="4"/>
      <c r="I279" s="8"/>
      <c r="J279" s="5" t="str">
        <f>IF(I279="", "", IF(I279&gt;0, I279/100 +1, -100/I279 +1))</f>
        <v/>
      </c>
      <c r="K279" s="3"/>
      <c r="L279" s="3"/>
      <c r="N279" s="3" t="str">
        <f>IF(M279="", "", IF(M279="Draw", 0, IF(M279="win", L279, -1*K279)))</f>
        <v/>
      </c>
      <c r="O279" s="6" t="str">
        <f t="shared" si="4"/>
        <v/>
      </c>
      <c r="P279" s="7">
        <f>IF(M278="", P278, IF(C279="", P278, P278+LOOKUP(2, 1/($N$2:$N278&lt;&gt;""),$N$2:$N278) +Q279))</f>
        <v>141.32499999999999</v>
      </c>
      <c r="R279" t="b">
        <f>AND(ISNUMBER(FIND($E279,Tables!$I$2)), ISNUMBER(FIND($D279,Tables!$J$2)), $E279&lt;&gt;"")</f>
        <v>0</v>
      </c>
    </row>
    <row r="280" spans="1:18" x14ac:dyDescent="0.25">
      <c r="A280">
        <f>IF(AND(B280="", D280&lt;&gt;""), A279, A279+1)</f>
        <v>274</v>
      </c>
      <c r="B280" s="4"/>
      <c r="I280" s="8"/>
      <c r="J280" s="5" t="str">
        <f>IF(I280="", "", IF(I280&gt;0, I280/100 +1, -100/I280 +1))</f>
        <v/>
      </c>
      <c r="K280" s="3"/>
      <c r="L280" s="3"/>
      <c r="N280" s="3" t="str">
        <f>IF(M280="", "", IF(M280="Draw", 0, IF(M280="win", L280, -1*K280)))</f>
        <v/>
      </c>
      <c r="O280" s="6" t="str">
        <f t="shared" si="4"/>
        <v/>
      </c>
      <c r="P280" s="7">
        <f>IF(M279="", P279, IF(C280="", P279, P279+LOOKUP(2, 1/($N$2:$N279&lt;&gt;""),$N$2:$N279) +Q280))</f>
        <v>141.32499999999999</v>
      </c>
      <c r="R280" t="b">
        <f>AND(ISNUMBER(FIND($E280,Tables!$I$2)), ISNUMBER(FIND($D280,Tables!$J$2)), $E280&lt;&gt;"")</f>
        <v>0</v>
      </c>
    </row>
    <row r="281" spans="1:18" x14ac:dyDescent="0.25">
      <c r="A281">
        <f>IF(AND(B281="", D281&lt;&gt;""), A280, A280+1)</f>
        <v>275</v>
      </c>
      <c r="B281" s="4"/>
      <c r="I281" s="8"/>
      <c r="J281" s="5" t="str">
        <f>IF(I281="", "", IF(I281&gt;0, I281/100 +1, -100/I281 +1))</f>
        <v/>
      </c>
      <c r="K281" s="3"/>
      <c r="L281" s="3"/>
      <c r="N281" s="3" t="str">
        <f>IF(M281="", "", IF(M281="Draw", 0, IF(M281="win", L281, -1*K281)))</f>
        <v/>
      </c>
      <c r="O281" s="6" t="str">
        <f t="shared" si="4"/>
        <v/>
      </c>
      <c r="P281" s="7">
        <f>IF(M280="", P280, IF(C281="", P280, P280+LOOKUP(2, 1/($N$2:$N280&lt;&gt;""),$N$2:$N280) +Q281))</f>
        <v>141.32499999999999</v>
      </c>
      <c r="R281" t="b">
        <f>AND(ISNUMBER(FIND($E281,Tables!$I$2)), ISNUMBER(FIND($D281,Tables!$J$2)), $E281&lt;&gt;"")</f>
        <v>0</v>
      </c>
    </row>
    <row r="282" spans="1:18" x14ac:dyDescent="0.25">
      <c r="A282">
        <f>IF(AND(B282="", D282&lt;&gt;""), A281, A281+1)</f>
        <v>276</v>
      </c>
      <c r="B282" s="4"/>
      <c r="I282" s="8"/>
      <c r="J282" s="5" t="str">
        <f>IF(I282="", "", IF(I282&gt;0, I282/100 +1, -100/I282 +1))</f>
        <v/>
      </c>
      <c r="K282" s="3"/>
      <c r="L282" s="3"/>
      <c r="N282" s="3" t="str">
        <f>IF(M282="", "", IF(M282="Draw", 0, IF(M282="win", L282, -1*K282)))</f>
        <v/>
      </c>
      <c r="O282" s="6" t="str">
        <f t="shared" si="4"/>
        <v/>
      </c>
      <c r="P282" s="7">
        <f>IF(M281="", P281, IF(C282="", P281, P281+LOOKUP(2, 1/($N$2:$N281&lt;&gt;""),$N$2:$N281) +Q282))</f>
        <v>141.32499999999999</v>
      </c>
      <c r="R282" t="b">
        <f>AND(ISNUMBER(FIND($E282,Tables!$I$2)), ISNUMBER(FIND($D282,Tables!$J$2)), $E282&lt;&gt;"")</f>
        <v>0</v>
      </c>
    </row>
    <row r="283" spans="1:18" x14ac:dyDescent="0.25">
      <c r="A283">
        <f>IF(AND(B283="", D283&lt;&gt;""), A282, A282+1)</f>
        <v>277</v>
      </c>
      <c r="B283" s="4"/>
      <c r="I283" s="8"/>
      <c r="J283" s="5" t="str">
        <f>IF(I283="", "", IF(I283&gt;0, I283/100 +1, -100/I283 +1))</f>
        <v/>
      </c>
      <c r="K283" s="3"/>
      <c r="L283" s="3"/>
      <c r="N283" s="3" t="str">
        <f>IF(M283="", "", IF(M283="Draw", 0, IF(M283="win", L283, -1*K283)))</f>
        <v/>
      </c>
      <c r="O283" s="6" t="str">
        <f t="shared" si="4"/>
        <v/>
      </c>
      <c r="P283" s="7">
        <f>IF(M282="", P282, IF(C283="", P282, P282+LOOKUP(2, 1/($N$2:$N282&lt;&gt;""),$N$2:$N282) +Q283))</f>
        <v>141.32499999999999</v>
      </c>
      <c r="R283" t="b">
        <f>AND(ISNUMBER(FIND($E283,Tables!$I$2)), ISNUMBER(FIND($D283,Tables!$J$2)), $E283&lt;&gt;"")</f>
        <v>0</v>
      </c>
    </row>
    <row r="284" spans="1:18" x14ac:dyDescent="0.25">
      <c r="A284">
        <f>IF(AND(B284="", D284&lt;&gt;""), A283, A283+1)</f>
        <v>278</v>
      </c>
      <c r="B284" s="4"/>
      <c r="I284" s="8"/>
      <c r="J284" s="5" t="str">
        <f>IF(I284="", "", IF(I284&gt;0, I284/100 +1, -100/I284 +1))</f>
        <v/>
      </c>
      <c r="K284" s="3"/>
      <c r="L284" s="3"/>
      <c r="N284" s="3" t="str">
        <f>IF(M284="", "", IF(M284="Draw", 0, IF(M284="win", L284, -1*K284)))</f>
        <v/>
      </c>
      <c r="O284" s="6" t="str">
        <f t="shared" si="4"/>
        <v/>
      </c>
      <c r="P284" s="7">
        <f>IF(M283="", P283, IF(C284="", P283, P283+LOOKUP(2, 1/($N$2:$N283&lt;&gt;""),$N$2:$N283) +Q284))</f>
        <v>141.32499999999999</v>
      </c>
      <c r="R284" t="b">
        <f>AND(ISNUMBER(FIND($E284,Tables!$I$2)), ISNUMBER(FIND($D284,Tables!$J$2)), $E284&lt;&gt;"")</f>
        <v>0</v>
      </c>
    </row>
    <row r="285" spans="1:18" x14ac:dyDescent="0.25">
      <c r="A285">
        <f>IF(AND(B285="", D285&lt;&gt;""), A284, A284+1)</f>
        <v>279</v>
      </c>
      <c r="B285" s="4"/>
      <c r="I285" s="8"/>
      <c r="J285" s="5" t="str">
        <f>IF(I285="", "", IF(I285&gt;0, I285/100 +1, -100/I285 +1))</f>
        <v/>
      </c>
      <c r="K285" s="3"/>
      <c r="L285" s="3"/>
      <c r="N285" s="3" t="str">
        <f>IF(M285="", "", IF(M285="Draw", 0, IF(M285="win", L285, -1*K285)))</f>
        <v/>
      </c>
      <c r="O285" s="6" t="str">
        <f t="shared" si="4"/>
        <v/>
      </c>
      <c r="P285" s="7">
        <f>IF(M284="", P284, IF(C285="", P284, P284+LOOKUP(2, 1/($N$2:$N284&lt;&gt;""),$N$2:$N284) +Q285))</f>
        <v>141.32499999999999</v>
      </c>
      <c r="R285" t="b">
        <f>AND(ISNUMBER(FIND($E285,Tables!$I$2)), ISNUMBER(FIND($D285,Tables!$J$2)), $E285&lt;&gt;"")</f>
        <v>0</v>
      </c>
    </row>
    <row r="286" spans="1:18" x14ac:dyDescent="0.25">
      <c r="A286">
        <f>IF(AND(B286="", D286&lt;&gt;""), A285, A285+1)</f>
        <v>280</v>
      </c>
      <c r="B286" s="4"/>
      <c r="I286" s="8"/>
      <c r="J286" s="5" t="str">
        <f>IF(I286="", "", IF(I286&gt;0, I286/100 +1, -100/I286 +1))</f>
        <v/>
      </c>
      <c r="K286" s="3"/>
      <c r="L286" s="3"/>
      <c r="N286" s="3" t="str">
        <f>IF(M286="", "", IF(M286="Draw", 0, IF(M286="win", L286, -1*K286)))</f>
        <v/>
      </c>
      <c r="O286" s="6" t="str">
        <f t="shared" si="4"/>
        <v/>
      </c>
      <c r="P286" s="7">
        <f>IF(M285="", P285, IF(C286="", P285, P285+LOOKUP(2, 1/($N$2:$N285&lt;&gt;""),$N$2:$N285) +Q286))</f>
        <v>141.32499999999999</v>
      </c>
      <c r="R286" t="b">
        <f>AND(ISNUMBER(FIND($E286,Tables!$I$2)), ISNUMBER(FIND($D286,Tables!$J$2)), $E286&lt;&gt;"")</f>
        <v>0</v>
      </c>
    </row>
    <row r="287" spans="1:18" x14ac:dyDescent="0.25">
      <c r="A287">
        <f>IF(AND(B287="", D287&lt;&gt;""), A286, A286+1)</f>
        <v>281</v>
      </c>
      <c r="B287" s="4"/>
      <c r="I287" s="8"/>
      <c r="J287" s="5" t="str">
        <f>IF(I287="", "", IF(I287&gt;0, I287/100 +1, -100/I287 +1))</f>
        <v/>
      </c>
      <c r="K287" s="3"/>
      <c r="L287" s="3"/>
      <c r="N287" s="3" t="str">
        <f>IF(M287="", "", IF(M287="Draw", 0, IF(M287="win", L287, -1*K287)))</f>
        <v/>
      </c>
      <c r="O287" s="6" t="str">
        <f t="shared" si="4"/>
        <v/>
      </c>
      <c r="P287" s="7">
        <f>IF(M286="", P286, IF(C287="", P286, P286+LOOKUP(2, 1/($N$2:$N286&lt;&gt;""),$N$2:$N286) +Q287))</f>
        <v>141.32499999999999</v>
      </c>
      <c r="R287" t="b">
        <f>AND(ISNUMBER(FIND($E287,Tables!$I$2)), ISNUMBER(FIND($D287,Tables!$J$2)), $E287&lt;&gt;"")</f>
        <v>0</v>
      </c>
    </row>
    <row r="288" spans="1:18" x14ac:dyDescent="0.25">
      <c r="A288">
        <f>IF(AND(B288="", D288&lt;&gt;""), A287, A287+1)</f>
        <v>282</v>
      </c>
      <c r="B288" s="4"/>
      <c r="I288" s="8"/>
      <c r="J288" s="5" t="str">
        <f>IF(I288="", "", IF(I288&gt;0, I288/100 +1, -100/I288 +1))</f>
        <v/>
      </c>
      <c r="K288" s="3"/>
      <c r="L288" s="3"/>
      <c r="N288" s="3" t="str">
        <f>IF(M288="", "", IF(M288="Draw", 0, IF(M288="win", L288, -1*K288)))</f>
        <v/>
      </c>
      <c r="O288" s="6" t="str">
        <f t="shared" si="4"/>
        <v/>
      </c>
      <c r="P288" s="7">
        <f>IF(M287="", P287, IF(C288="", P287, P287+LOOKUP(2, 1/($N$2:$N287&lt;&gt;""),$N$2:$N287) +Q288))</f>
        <v>141.32499999999999</v>
      </c>
      <c r="R288" t="b">
        <f>AND(ISNUMBER(FIND($E288,Tables!$I$2)), ISNUMBER(FIND($D288,Tables!$J$2)), $E288&lt;&gt;"")</f>
        <v>0</v>
      </c>
    </row>
    <row r="289" spans="1:18" x14ac:dyDescent="0.25">
      <c r="A289">
        <f>IF(AND(B289="", D289&lt;&gt;""), A288, A288+1)</f>
        <v>283</v>
      </c>
      <c r="B289" s="4"/>
      <c r="I289" s="8"/>
      <c r="J289" s="5" t="str">
        <f>IF(I289="", "", IF(I289&gt;0, I289/100 +1, -100/I289 +1))</f>
        <v/>
      </c>
      <c r="K289" s="3"/>
      <c r="L289" s="3"/>
      <c r="N289" s="3" t="str">
        <f>IF(M289="", "", IF(M289="Draw", 0, IF(M289="win", L289, -1*K289)))</f>
        <v/>
      </c>
      <c r="O289" s="6" t="str">
        <f t="shared" si="4"/>
        <v/>
      </c>
      <c r="P289" s="7">
        <f>IF(M288="", P288, IF(C289="", P288, P288+LOOKUP(2, 1/($N$2:$N288&lt;&gt;""),$N$2:$N288) +Q289))</f>
        <v>141.32499999999999</v>
      </c>
      <c r="R289" t="b">
        <f>AND(ISNUMBER(FIND($E289,Tables!$I$2)), ISNUMBER(FIND($D289,Tables!$J$2)), $E289&lt;&gt;"")</f>
        <v>0</v>
      </c>
    </row>
    <row r="290" spans="1:18" x14ac:dyDescent="0.25">
      <c r="A290">
        <f>IF(AND(B290="", D290&lt;&gt;""), A289, A289+1)</f>
        <v>284</v>
      </c>
      <c r="B290" s="4"/>
      <c r="I290" s="8"/>
      <c r="J290" s="5" t="str">
        <f>IF(I290="", "", IF(I290&gt;0, I290/100 +1, -100/I290 +1))</f>
        <v/>
      </c>
      <c r="K290" s="3"/>
      <c r="L290" s="3"/>
      <c r="N290" s="3" t="str">
        <f>IF(M290="", "", IF(M290="Draw", 0, IF(M290="win", L290, -1*K290)))</f>
        <v/>
      </c>
      <c r="O290" s="6" t="str">
        <f t="shared" si="4"/>
        <v/>
      </c>
      <c r="P290" s="7">
        <f>IF(M289="", P289, IF(C290="", P289, P289+LOOKUP(2, 1/($N$2:$N289&lt;&gt;""),$N$2:$N289) +Q290))</f>
        <v>141.32499999999999</v>
      </c>
      <c r="R290" t="b">
        <f>AND(ISNUMBER(FIND($E290,Tables!$I$2)), ISNUMBER(FIND($D290,Tables!$J$2)), $E290&lt;&gt;"")</f>
        <v>0</v>
      </c>
    </row>
    <row r="291" spans="1:18" x14ac:dyDescent="0.25">
      <c r="A291">
        <f>IF(AND(B291="", D291&lt;&gt;""), A290, A290+1)</f>
        <v>285</v>
      </c>
      <c r="B291" s="4"/>
      <c r="I291" s="8"/>
      <c r="J291" s="5" t="str">
        <f>IF(I291="", "", IF(I291&gt;0, I291/100 +1, -100/I291 +1))</f>
        <v/>
      </c>
      <c r="K291" s="3"/>
      <c r="L291" s="3"/>
      <c r="N291" s="3" t="str">
        <f>IF(M291="", "", IF(M291="Draw", 0, IF(M291="win", L291, -1*K291)))</f>
        <v/>
      </c>
      <c r="O291" s="6" t="str">
        <f t="shared" si="4"/>
        <v/>
      </c>
      <c r="P291" s="7">
        <f>IF(M290="", P290, IF(C291="", P290, P290+LOOKUP(2, 1/($N$2:$N290&lt;&gt;""),$N$2:$N290) +Q291))</f>
        <v>141.32499999999999</v>
      </c>
      <c r="R291" t="b">
        <f>AND(ISNUMBER(FIND($E291,Tables!$I$2)), ISNUMBER(FIND($D291,Tables!$J$2)), $E291&lt;&gt;"")</f>
        <v>0</v>
      </c>
    </row>
    <row r="292" spans="1:18" x14ac:dyDescent="0.25">
      <c r="A292">
        <f>IF(AND(B292="", D292&lt;&gt;""), A291, A291+1)</f>
        <v>286</v>
      </c>
      <c r="B292" s="4"/>
      <c r="I292" s="8"/>
      <c r="J292" s="5" t="str">
        <f>IF(I292="", "", IF(I292&gt;0, I292/100 +1, -100/I292 +1))</f>
        <v/>
      </c>
      <c r="K292" s="3"/>
      <c r="L292" s="3"/>
      <c r="N292" s="3" t="str">
        <f>IF(M292="", "", IF(M292="Draw", 0, IF(M292="win", L292, -1*K292)))</f>
        <v/>
      </c>
      <c r="O292" s="6" t="str">
        <f t="shared" si="4"/>
        <v/>
      </c>
      <c r="P292" s="7">
        <f>IF(M291="", P291, IF(C292="", P291, P291+LOOKUP(2, 1/($N$2:$N291&lt;&gt;""),$N$2:$N291) +Q292))</f>
        <v>141.32499999999999</v>
      </c>
      <c r="R292" t="b">
        <f>AND(ISNUMBER(FIND($E292,Tables!$I$2)), ISNUMBER(FIND($D292,Tables!$J$2)), $E292&lt;&gt;"")</f>
        <v>0</v>
      </c>
    </row>
    <row r="293" spans="1:18" x14ac:dyDescent="0.25">
      <c r="A293">
        <f>IF(AND(B293="", D293&lt;&gt;""), A292, A292+1)</f>
        <v>287</v>
      </c>
      <c r="B293" s="4"/>
      <c r="I293" s="8"/>
      <c r="J293" s="5" t="str">
        <f>IF(I293="", "", IF(I293&gt;0, I293/100 +1, -100/I293 +1))</f>
        <v/>
      </c>
      <c r="K293" s="3"/>
      <c r="L293" s="3"/>
      <c r="N293" s="3" t="str">
        <f>IF(M293="", "", IF(M293="Draw", 0, IF(M293="win", L293, -1*K293)))</f>
        <v/>
      </c>
      <c r="O293" s="6" t="str">
        <f t="shared" si="4"/>
        <v/>
      </c>
      <c r="P293" s="7">
        <f>IF(M292="", P292, IF(C293="", P292, P292+LOOKUP(2, 1/($N$2:$N292&lt;&gt;""),$N$2:$N292) +Q293))</f>
        <v>141.32499999999999</v>
      </c>
      <c r="R293" t="b">
        <f>AND(ISNUMBER(FIND($E293,Tables!$I$2)), ISNUMBER(FIND($D293,Tables!$J$2)), $E293&lt;&gt;"")</f>
        <v>0</v>
      </c>
    </row>
    <row r="294" spans="1:18" x14ac:dyDescent="0.25">
      <c r="A294">
        <f>IF(AND(B294="", D294&lt;&gt;""), A293, A293+1)</f>
        <v>288</v>
      </c>
      <c r="B294" s="4"/>
      <c r="I294" s="8"/>
      <c r="J294" s="5" t="str">
        <f>IF(I294="", "", IF(I294&gt;0, I294/100 +1, -100/I294 +1))</f>
        <v/>
      </c>
      <c r="K294" s="3"/>
      <c r="L294" s="3"/>
      <c r="N294" s="3" t="str">
        <f>IF(M294="", "", IF(M294="Draw", 0, IF(M294="win", L294, -1*K294)))</f>
        <v/>
      </c>
      <c r="O294" s="6" t="str">
        <f t="shared" si="4"/>
        <v/>
      </c>
      <c r="P294" s="7">
        <f>IF(M293="", P293, IF(C294="", P293, P293+LOOKUP(2, 1/($N$2:$N293&lt;&gt;""),$N$2:$N293) +Q294))</f>
        <v>141.32499999999999</v>
      </c>
      <c r="R294" t="b">
        <f>AND(ISNUMBER(FIND($E294,Tables!$I$2)), ISNUMBER(FIND($D294,Tables!$J$2)), $E294&lt;&gt;"")</f>
        <v>0</v>
      </c>
    </row>
    <row r="295" spans="1:18" x14ac:dyDescent="0.25">
      <c r="A295">
        <f>IF(AND(B295="", D295&lt;&gt;""), A294, A294+1)</f>
        <v>289</v>
      </c>
      <c r="B295" s="4"/>
      <c r="I295" s="8"/>
      <c r="J295" s="5" t="str">
        <f>IF(I295="", "", IF(I295&gt;0, I295/100 +1, -100/I295 +1))</f>
        <v/>
      </c>
      <c r="K295" s="3"/>
      <c r="L295" s="3"/>
      <c r="N295" s="3" t="str">
        <f>IF(M295="", "", IF(M295="Draw", 0, IF(M295="win", L295, -1*K295)))</f>
        <v/>
      </c>
      <c r="O295" s="6" t="str">
        <f t="shared" si="4"/>
        <v/>
      </c>
      <c r="P295" s="7">
        <f>IF(M294="", P294, IF(C295="", P294, P294+LOOKUP(2, 1/($N$2:$N294&lt;&gt;""),$N$2:$N294) +Q295))</f>
        <v>141.32499999999999</v>
      </c>
      <c r="R295" t="b">
        <f>AND(ISNUMBER(FIND($E295,Tables!$I$2)), ISNUMBER(FIND($D295,Tables!$J$2)), $E295&lt;&gt;"")</f>
        <v>0</v>
      </c>
    </row>
    <row r="296" spans="1:18" x14ac:dyDescent="0.25">
      <c r="A296">
        <f>IF(AND(B296="", D296&lt;&gt;""), A295, A295+1)</f>
        <v>290</v>
      </c>
      <c r="B296" s="4"/>
      <c r="I296" s="8"/>
      <c r="J296" s="5" t="str">
        <f>IF(I296="", "", IF(I296&gt;0, I296/100 +1, -100/I296 +1))</f>
        <v/>
      </c>
      <c r="K296" s="3"/>
      <c r="L296" s="3"/>
      <c r="N296" s="3" t="str">
        <f>IF(M296="", "", IF(M296="Draw", 0, IF(M296="win", L296, -1*K296)))</f>
        <v/>
      </c>
      <c r="O296" s="6" t="str">
        <f t="shared" si="4"/>
        <v/>
      </c>
      <c r="P296" s="7">
        <f>IF(M295="", P295, IF(C296="", P295, P295+LOOKUP(2, 1/($N$2:$N295&lt;&gt;""),$N$2:$N295) +Q296))</f>
        <v>141.32499999999999</v>
      </c>
      <c r="R296" t="b">
        <f>AND(ISNUMBER(FIND($E296,Tables!$I$2)), ISNUMBER(FIND($D296,Tables!$J$2)), $E296&lt;&gt;"")</f>
        <v>0</v>
      </c>
    </row>
    <row r="297" spans="1:18" x14ac:dyDescent="0.25">
      <c r="A297">
        <f>IF(AND(B297="", D297&lt;&gt;""), A296, A296+1)</f>
        <v>291</v>
      </c>
      <c r="B297" s="4"/>
      <c r="I297" s="8"/>
      <c r="J297" s="5" t="str">
        <f>IF(I297="", "", IF(I297&gt;0, I297/100 +1, -100/I297 +1))</f>
        <v/>
      </c>
      <c r="K297" s="3"/>
      <c r="L297" s="3"/>
      <c r="N297" s="3" t="str">
        <f>IF(M297="", "", IF(M297="Draw", 0, IF(M297="win", L297, -1*K297)))</f>
        <v/>
      </c>
      <c r="O297" s="6" t="str">
        <f t="shared" si="4"/>
        <v/>
      </c>
      <c r="P297" s="7">
        <f>IF(M296="", P296, IF(C297="", P296, P296+LOOKUP(2, 1/($N$2:$N296&lt;&gt;""),$N$2:$N296) +Q297))</f>
        <v>141.32499999999999</v>
      </c>
      <c r="R297" t="b">
        <f>AND(ISNUMBER(FIND($E297,Tables!$I$2)), ISNUMBER(FIND($D297,Tables!$J$2)), $E297&lt;&gt;"")</f>
        <v>0</v>
      </c>
    </row>
    <row r="298" spans="1:18" x14ac:dyDescent="0.25">
      <c r="A298">
        <f>IF(AND(B298="", D298&lt;&gt;""), A297, A297+1)</f>
        <v>292</v>
      </c>
      <c r="B298" s="4"/>
      <c r="I298" s="8"/>
      <c r="J298" s="5" t="str">
        <f>IF(I298="", "", IF(I298&gt;0, I298/100 +1, -100/I298 +1))</f>
        <v/>
      </c>
      <c r="K298" s="3"/>
      <c r="L298" s="3"/>
      <c r="N298" s="3" t="str">
        <f>IF(M298="", "", IF(M298="Draw", 0, IF(M298="win", L298, -1*K298)))</f>
        <v/>
      </c>
      <c r="O298" s="6" t="str">
        <f t="shared" si="4"/>
        <v/>
      </c>
      <c r="P298" s="7">
        <f>IF(M297="", P297, IF(C298="", P297, P297+LOOKUP(2, 1/($N$2:$N297&lt;&gt;""),$N$2:$N297) +Q298))</f>
        <v>141.32499999999999</v>
      </c>
      <c r="R298" t="b">
        <f>AND(ISNUMBER(FIND($E298,Tables!$I$2)), ISNUMBER(FIND($D298,Tables!$J$2)), $E298&lt;&gt;"")</f>
        <v>0</v>
      </c>
    </row>
    <row r="299" spans="1:18" x14ac:dyDescent="0.25">
      <c r="A299">
        <f>IF(AND(B299="", D299&lt;&gt;""), A298, A298+1)</f>
        <v>293</v>
      </c>
      <c r="B299" s="4"/>
      <c r="I299" s="8"/>
      <c r="J299" s="5" t="str">
        <f>IF(I299="", "", IF(I299&gt;0, I299/100 +1, -100/I299 +1))</f>
        <v/>
      </c>
      <c r="K299" s="3"/>
      <c r="L299" s="3"/>
      <c r="N299" s="3" t="str">
        <f>IF(M299="", "", IF(M299="Draw", 0, IF(M299="win", L299, -1*K299)))</f>
        <v/>
      </c>
      <c r="O299" s="6" t="str">
        <f t="shared" si="4"/>
        <v/>
      </c>
      <c r="P299" s="7">
        <f>IF(M298="", P298, IF(C299="", P298, P298+LOOKUP(2, 1/($N$2:$N298&lt;&gt;""),$N$2:$N298) +Q299))</f>
        <v>141.32499999999999</v>
      </c>
      <c r="R299" t="b">
        <f>AND(ISNUMBER(FIND($E299,Tables!$I$2)), ISNUMBER(FIND($D299,Tables!$J$2)), $E299&lt;&gt;"")</f>
        <v>0</v>
      </c>
    </row>
    <row r="300" spans="1:18" x14ac:dyDescent="0.25">
      <c r="A300">
        <f>IF(AND(B300="", D300&lt;&gt;""), A299, A299+1)</f>
        <v>294</v>
      </c>
      <c r="B300" s="4"/>
      <c r="I300" s="8"/>
      <c r="J300" s="5" t="str">
        <f>IF(I300="", "", IF(I300&gt;0, I300/100 +1, -100/I300 +1))</f>
        <v/>
      </c>
      <c r="K300" s="3"/>
      <c r="L300" s="3"/>
      <c r="N300" s="3" t="str">
        <f>IF(M300="", "", IF(M300="Draw", 0, IF(M300="win", L300, -1*K300)))</f>
        <v/>
      </c>
      <c r="O300" s="6" t="str">
        <f t="shared" si="4"/>
        <v/>
      </c>
      <c r="P300" s="7">
        <f>IF(M299="", P299, IF(C300="", P299, P299+LOOKUP(2, 1/($N$2:$N299&lt;&gt;""),$N$2:$N299) +Q300))</f>
        <v>141.32499999999999</v>
      </c>
      <c r="R300" t="b">
        <f>AND(ISNUMBER(FIND($E300,Tables!$I$2)), ISNUMBER(FIND($D300,Tables!$J$2)), $E300&lt;&gt;"")</f>
        <v>0</v>
      </c>
    </row>
    <row r="301" spans="1:18" x14ac:dyDescent="0.25">
      <c r="A301">
        <f>IF(AND(B301="", D301&lt;&gt;""), A300, A300+1)</f>
        <v>295</v>
      </c>
      <c r="J301" s="5"/>
      <c r="N301" s="3"/>
      <c r="P301" s="7"/>
      <c r="R301" t="b">
        <f>AND(ISNUMBER(FIND($E301,Tables!$I$2)), ISNUMBER(FIND($D301,Tables!$J$2)), $E301&lt;&gt;"")</f>
        <v>0</v>
      </c>
    </row>
    <row r="302" spans="1:18" x14ac:dyDescent="0.25">
      <c r="A302">
        <f>IF(AND(B302="", D302&lt;&gt;""), A301, A301+1)</f>
        <v>296</v>
      </c>
      <c r="R302" t="b">
        <f>AND(ISNUMBER(FIND($E302,Tables!$I$2)), ISNUMBER(FIND($D302,Tables!$J$2)), $E302&lt;&gt;"")</f>
        <v>0</v>
      </c>
    </row>
    <row r="303" spans="1:18" x14ac:dyDescent="0.25">
      <c r="A303">
        <f>IF(AND(B303="", D303&lt;&gt;""), A302, A302+1)</f>
        <v>297</v>
      </c>
      <c r="R303" t="b">
        <f>AND(ISNUMBER(FIND($E303,Tables!$I$2)), ISNUMBER(FIND($D303,Tables!$J$2)), $E303&lt;&gt;"")</f>
        <v>0</v>
      </c>
    </row>
    <row r="304" spans="1:18" x14ac:dyDescent="0.25">
      <c r="A304">
        <f>IF(AND(B304="", D304&lt;&gt;""), A303, A303+1)</f>
        <v>298</v>
      </c>
      <c r="R304" t="b">
        <f>AND(ISNUMBER(FIND($E304,Tables!$I$2)), ISNUMBER(FIND($D304,Tables!$J$2)), $E304&lt;&gt;"")</f>
        <v>0</v>
      </c>
    </row>
    <row r="305" spans="1:18" x14ac:dyDescent="0.25">
      <c r="A305">
        <f>IF(AND(B305="", D305&lt;&gt;""), A304, A304+1)</f>
        <v>299</v>
      </c>
      <c r="R305" t="b">
        <f>AND(ISNUMBER(FIND($E305,Tables!$I$2)), ISNUMBER(FIND($D305,Tables!$J$2)), $E305&lt;&gt;"")</f>
        <v>0</v>
      </c>
    </row>
    <row r="306" spans="1:18" x14ac:dyDescent="0.25">
      <c r="A306">
        <f>IF(AND(B306="", D306&lt;&gt;""), A305, A305+1)</f>
        <v>300</v>
      </c>
      <c r="R306" t="b">
        <f>AND(ISNUMBER(FIND($E306,Tables!$I$2)), ISNUMBER(FIND($D306,Tables!$J$2)), $E306&lt;&gt;"")</f>
        <v>0</v>
      </c>
    </row>
    <row r="307" spans="1:18" x14ac:dyDescent="0.25">
      <c r="A307">
        <f>IF(AND(B307="", D307&lt;&gt;""), A306, A306+1)</f>
        <v>301</v>
      </c>
      <c r="R307" t="b">
        <f>AND(ISNUMBER(FIND($E307,Tables!$I$2)), ISNUMBER(FIND($D307,Tables!$J$2)), $E307&lt;&gt;"")</f>
        <v>0</v>
      </c>
    </row>
    <row r="308" spans="1:18" x14ac:dyDescent="0.25">
      <c r="A308">
        <f>IF(AND(B308="", D308&lt;&gt;""), A307, A307+1)</f>
        <v>302</v>
      </c>
      <c r="R308" t="b">
        <f>AND(ISNUMBER(FIND($E308,Tables!$I$2)), ISNUMBER(FIND($D308,Tables!$J$2)), $E308&lt;&gt;"")</f>
        <v>0</v>
      </c>
    </row>
    <row r="309" spans="1:18" x14ac:dyDescent="0.25">
      <c r="A309">
        <f>IF(AND(B309="", D309&lt;&gt;""), A308, A308+1)</f>
        <v>303</v>
      </c>
      <c r="R309" t="b">
        <f>AND(ISNUMBER(FIND($E309,Tables!$I$2)), ISNUMBER(FIND($D309,Tables!$J$2)), $E309&lt;&gt;"")</f>
        <v>0</v>
      </c>
    </row>
    <row r="310" spans="1:18" x14ac:dyDescent="0.25">
      <c r="A310">
        <f>IF(AND(B310="", D310&lt;&gt;""), A309, A309+1)</f>
        <v>304</v>
      </c>
      <c r="R310" t="b">
        <f>AND(ISNUMBER(FIND($E310,Tables!$I$2)), ISNUMBER(FIND($D310,Tables!$J$2)), $E310&lt;&gt;"")</f>
        <v>0</v>
      </c>
    </row>
    <row r="311" spans="1:18" x14ac:dyDescent="0.25">
      <c r="A311">
        <f>IF(AND(B311="", D311&lt;&gt;""), A310, A310+1)</f>
        <v>305</v>
      </c>
      <c r="R311" t="b">
        <f>AND(ISNUMBER(FIND($E311,Tables!$I$2)), ISNUMBER(FIND($D311,Tables!$J$2)), $E311&lt;&gt;"")</f>
        <v>0</v>
      </c>
    </row>
    <row r="312" spans="1:18" x14ac:dyDescent="0.25">
      <c r="A312">
        <f>IF(AND(B312="", D312&lt;&gt;""), A311, A311+1)</f>
        <v>306</v>
      </c>
      <c r="R312" t="b">
        <f>AND(ISNUMBER(FIND($E312,Tables!$I$2)), ISNUMBER(FIND($D312,Tables!$J$2)), $E312&lt;&gt;"")</f>
        <v>0</v>
      </c>
    </row>
    <row r="313" spans="1:18" x14ac:dyDescent="0.25">
      <c r="A313">
        <f>IF(AND(B313="", D313&lt;&gt;""), A312, A312+1)</f>
        <v>307</v>
      </c>
      <c r="R313" t="b">
        <f>AND(ISNUMBER(FIND($E313,Tables!$I$2)), ISNUMBER(FIND($D313,Tables!$J$2)), $E313&lt;&gt;"")</f>
        <v>0</v>
      </c>
    </row>
    <row r="314" spans="1:18" x14ac:dyDescent="0.25">
      <c r="A314">
        <f>IF(AND(B314="", D314&lt;&gt;""), A313, A313+1)</f>
        <v>308</v>
      </c>
      <c r="R314" t="b">
        <f>AND(ISNUMBER(FIND($E314,Tables!$I$2)), ISNUMBER(FIND($D314,Tables!$J$2)), $E314&lt;&gt;"")</f>
        <v>0</v>
      </c>
    </row>
    <row r="315" spans="1:18" x14ac:dyDescent="0.25">
      <c r="A315">
        <f>IF(AND(B315="", D315&lt;&gt;""), A314, A314+1)</f>
        <v>309</v>
      </c>
      <c r="R315" t="b">
        <f>AND(ISNUMBER(FIND($E315,Tables!$I$2)), ISNUMBER(FIND($D315,Tables!$J$2)), $E315&lt;&gt;"")</f>
        <v>0</v>
      </c>
    </row>
    <row r="316" spans="1:18" x14ac:dyDescent="0.25">
      <c r="A316">
        <f>IF(AND(B316="", D316&lt;&gt;""), A315, A315+1)</f>
        <v>310</v>
      </c>
      <c r="R316" t="b">
        <f>AND(ISNUMBER(FIND($E316,Tables!$I$2)), ISNUMBER(FIND($D316,Tables!$J$2)), $E316&lt;&gt;"")</f>
        <v>0</v>
      </c>
    </row>
    <row r="317" spans="1:18" x14ac:dyDescent="0.25">
      <c r="A317">
        <f>IF(AND(B317="", D317&lt;&gt;""), A316, A316+1)</f>
        <v>311</v>
      </c>
      <c r="R317" t="b">
        <f>AND(ISNUMBER(FIND($E317,Tables!$I$2)), ISNUMBER(FIND($D317,Tables!$J$2)), $E317&lt;&gt;"")</f>
        <v>0</v>
      </c>
    </row>
    <row r="318" spans="1:18" x14ac:dyDescent="0.25">
      <c r="A318">
        <f>IF(AND(B318="", D318&lt;&gt;""), A317, A317+1)</f>
        <v>312</v>
      </c>
      <c r="R318" t="b">
        <f>AND(ISNUMBER(FIND($E318,Tables!$I$2)), ISNUMBER(FIND($D318,Tables!$J$2)), $E318&lt;&gt;"")</f>
        <v>0</v>
      </c>
    </row>
    <row r="319" spans="1:18" x14ac:dyDescent="0.25">
      <c r="A319">
        <f>IF(AND(B319="", D319&lt;&gt;""), A318, A318+1)</f>
        <v>313</v>
      </c>
      <c r="R319" t="b">
        <f>AND(ISNUMBER(FIND($E319,Tables!$I$2)), ISNUMBER(FIND($D319,Tables!$J$2)), $E319&lt;&gt;"")</f>
        <v>0</v>
      </c>
    </row>
    <row r="320" spans="1:18" x14ac:dyDescent="0.25">
      <c r="A320">
        <f>IF(AND(B320="", D320&lt;&gt;""), A319, A319+1)</f>
        <v>314</v>
      </c>
      <c r="R320" t="b">
        <f>AND(ISNUMBER(FIND($E320,Tables!$I$2)), ISNUMBER(FIND($D320,Tables!$J$2)), $E320&lt;&gt;"")</f>
        <v>0</v>
      </c>
    </row>
    <row r="321" spans="1:18" x14ac:dyDescent="0.25">
      <c r="A321">
        <f>IF(AND(B321="", D321&lt;&gt;""), A320, A320+1)</f>
        <v>315</v>
      </c>
      <c r="R321" t="b">
        <f>AND(ISNUMBER(FIND($E321,Tables!$I$2)), ISNUMBER(FIND($D321,Tables!$J$2)), $E321&lt;&gt;"")</f>
        <v>0</v>
      </c>
    </row>
    <row r="322" spans="1:18" x14ac:dyDescent="0.25">
      <c r="A322">
        <f>IF(AND(B322="", D322&lt;&gt;""), A321, A321+1)</f>
        <v>316</v>
      </c>
      <c r="R322" t="b">
        <f>AND(ISNUMBER(FIND($E322,Tables!$I$2)), ISNUMBER(FIND($D322,Tables!$J$2)), $E322&lt;&gt;"")</f>
        <v>0</v>
      </c>
    </row>
    <row r="323" spans="1:18" x14ac:dyDescent="0.25">
      <c r="A323">
        <f>IF(AND(B323="", D323&lt;&gt;""), A322, A322+1)</f>
        <v>317</v>
      </c>
      <c r="R323" t="b">
        <f>AND(ISNUMBER(FIND($E323,Tables!$I$2)), ISNUMBER(FIND($D323,Tables!$J$2)), $E323&lt;&gt;"")</f>
        <v>0</v>
      </c>
    </row>
    <row r="324" spans="1:18" x14ac:dyDescent="0.25">
      <c r="A324">
        <f>IF(AND(B324="", D324&lt;&gt;""), A323, A323+1)</f>
        <v>318</v>
      </c>
      <c r="R324" t="b">
        <f>AND(ISNUMBER(FIND($E324,Tables!$I$2)), ISNUMBER(FIND($D324,Tables!$J$2)), $E324&lt;&gt;"")</f>
        <v>0</v>
      </c>
    </row>
    <row r="325" spans="1:18" x14ac:dyDescent="0.25">
      <c r="A325">
        <f>IF(AND(B325="", D325&lt;&gt;""), A324, A324+1)</f>
        <v>319</v>
      </c>
      <c r="R325" t="b">
        <f>AND(ISNUMBER(FIND($E325,Tables!$I$2)), ISNUMBER(FIND($D325,Tables!$J$2)), $E325&lt;&gt;"")</f>
        <v>0</v>
      </c>
    </row>
    <row r="326" spans="1:18" x14ac:dyDescent="0.25">
      <c r="A326">
        <f>IF(AND(B326="", D326&lt;&gt;""), A325, A325+1)</f>
        <v>320</v>
      </c>
      <c r="R326" t="b">
        <f>AND(ISNUMBER(FIND($E326,Tables!$I$2)), ISNUMBER(FIND($D326,Tables!$J$2)), $E326&lt;&gt;"")</f>
        <v>0</v>
      </c>
    </row>
    <row r="327" spans="1:18" x14ac:dyDescent="0.25">
      <c r="A327">
        <f>IF(AND(B327="", D327&lt;&gt;""), A326, A326+1)</f>
        <v>321</v>
      </c>
      <c r="R327" t="b">
        <f>AND(ISNUMBER(FIND($E327,Tables!$I$2)), ISNUMBER(FIND($D327,Tables!$J$2)), $E327&lt;&gt;"")</f>
        <v>0</v>
      </c>
    </row>
    <row r="328" spans="1:18" x14ac:dyDescent="0.25">
      <c r="A328">
        <f>IF(AND(B328="", D328&lt;&gt;""), A327, A327+1)</f>
        <v>322</v>
      </c>
      <c r="R328" t="b">
        <f>AND(ISNUMBER(FIND($E328,Tables!$I$2)), ISNUMBER(FIND($D328,Tables!$J$2)), $E328&lt;&gt;"")</f>
        <v>0</v>
      </c>
    </row>
    <row r="329" spans="1:18" x14ac:dyDescent="0.25">
      <c r="A329">
        <f>IF(AND(B329="", D329&lt;&gt;""), A328, A328+1)</f>
        <v>323</v>
      </c>
      <c r="R329" t="b">
        <f>AND(ISNUMBER(FIND($E329,Tables!$I$2)), ISNUMBER(FIND($D329,Tables!$J$2)), $E329&lt;&gt;"")</f>
        <v>0</v>
      </c>
    </row>
    <row r="330" spans="1:18" x14ac:dyDescent="0.25">
      <c r="A330">
        <f>IF(AND(B330="", D330&lt;&gt;""), A329, A329+1)</f>
        <v>324</v>
      </c>
      <c r="R330" t="b">
        <f>AND(ISNUMBER(FIND($E330,Tables!$I$2)), ISNUMBER(FIND($D330,Tables!$J$2)), $E330&lt;&gt;"")</f>
        <v>0</v>
      </c>
    </row>
    <row r="331" spans="1:18" x14ac:dyDescent="0.25">
      <c r="A331">
        <f>IF(AND(B331="", D331&lt;&gt;""), A330, A330+1)</f>
        <v>325</v>
      </c>
      <c r="R331" t="b">
        <f>AND(ISNUMBER(FIND($E331,Tables!$I$2)), ISNUMBER(FIND($D331,Tables!$J$2)), $E331&lt;&gt;"")</f>
        <v>0</v>
      </c>
    </row>
    <row r="332" spans="1:18" x14ac:dyDescent="0.25">
      <c r="A332">
        <f>IF(AND(B332="", D332&lt;&gt;""), A331, A331+1)</f>
        <v>326</v>
      </c>
      <c r="R332" t="b">
        <f>AND(ISNUMBER(FIND($E332,Tables!$I$2)), ISNUMBER(FIND($D332,Tables!$J$2)), $E332&lt;&gt;"")</f>
        <v>0</v>
      </c>
    </row>
    <row r="333" spans="1:18" x14ac:dyDescent="0.25">
      <c r="A333">
        <f>IF(AND(B333="", D333&lt;&gt;""), A332, A332+1)</f>
        <v>327</v>
      </c>
      <c r="R333" t="b">
        <f>AND(ISNUMBER(FIND($E333,Tables!$I$2)), ISNUMBER(FIND($D333,Tables!$J$2)), $E333&lt;&gt;"")</f>
        <v>0</v>
      </c>
    </row>
    <row r="334" spans="1:18" x14ac:dyDescent="0.25">
      <c r="A334">
        <f>IF(AND(B334="", D334&lt;&gt;""), A333, A333+1)</f>
        <v>328</v>
      </c>
      <c r="R334" t="b">
        <f>AND(ISNUMBER(FIND($E334,Tables!$I$2)), ISNUMBER(FIND($D334,Tables!$J$2)), $E334&lt;&gt;"")</f>
        <v>0</v>
      </c>
    </row>
    <row r="335" spans="1:18" x14ac:dyDescent="0.25">
      <c r="A335">
        <f>IF(AND(B335="", D335&lt;&gt;""), A334, A334+1)</f>
        <v>329</v>
      </c>
      <c r="R335" t="b">
        <f>AND(ISNUMBER(FIND($E335,Tables!$I$2)), ISNUMBER(FIND($D335,Tables!$J$2)), $E335&lt;&gt;"")</f>
        <v>0</v>
      </c>
    </row>
    <row r="336" spans="1:18" x14ac:dyDescent="0.25">
      <c r="A336">
        <f>IF(AND(B336="", D336&lt;&gt;""), A335, A335+1)</f>
        <v>330</v>
      </c>
      <c r="R336" t="b">
        <f>AND(ISNUMBER(FIND($E336,Tables!$I$2)), ISNUMBER(FIND($D336,Tables!$J$2)), $E336&lt;&gt;"")</f>
        <v>0</v>
      </c>
    </row>
    <row r="337" spans="1:18" x14ac:dyDescent="0.25">
      <c r="A337">
        <f>IF(AND(B337="", D337&lt;&gt;""), A336, A336+1)</f>
        <v>331</v>
      </c>
      <c r="R337" t="b">
        <f>AND(ISNUMBER(FIND($E337,Tables!$I$2)), ISNUMBER(FIND($D337,Tables!$J$2)), $E337&lt;&gt;"")</f>
        <v>0</v>
      </c>
    </row>
    <row r="338" spans="1:18" x14ac:dyDescent="0.25">
      <c r="A338">
        <f>IF(AND(B338="", D338&lt;&gt;""), A337, A337+1)</f>
        <v>332</v>
      </c>
      <c r="R338" t="b">
        <f>AND(ISNUMBER(FIND($E338,Tables!$I$2)), ISNUMBER(FIND($D338,Tables!$J$2)), $E338&lt;&gt;"")</f>
        <v>0</v>
      </c>
    </row>
    <row r="339" spans="1:18" x14ac:dyDescent="0.25">
      <c r="A339">
        <f>IF(AND(B339="", D339&lt;&gt;""), A338, A338+1)</f>
        <v>333</v>
      </c>
      <c r="R339" t="b">
        <f>AND(ISNUMBER(FIND($E339,Tables!$I$2)), ISNUMBER(FIND($D339,Tables!$J$2)), $E339&lt;&gt;"")</f>
        <v>0</v>
      </c>
    </row>
    <row r="340" spans="1:18" x14ac:dyDescent="0.25">
      <c r="A340">
        <f>IF(AND(B340="", D340&lt;&gt;""), A339, A339+1)</f>
        <v>334</v>
      </c>
      <c r="R340" t="b">
        <f>AND(ISNUMBER(FIND($E340,Tables!$I$2)), ISNUMBER(FIND($D340,Tables!$J$2)), $E340&lt;&gt;"")</f>
        <v>0</v>
      </c>
    </row>
    <row r="341" spans="1:18" x14ac:dyDescent="0.25">
      <c r="A341">
        <f>IF(AND(B341="", D341&lt;&gt;""), A340, A340+1)</f>
        <v>335</v>
      </c>
      <c r="R341" t="b">
        <f>AND(ISNUMBER(FIND($E341,Tables!$I$2)), ISNUMBER(FIND($D341,Tables!$J$2)), $E341&lt;&gt;"")</f>
        <v>0</v>
      </c>
    </row>
    <row r="342" spans="1:18" x14ac:dyDescent="0.25">
      <c r="A342">
        <f>IF(AND(B342="", D342&lt;&gt;""), A341, A341+1)</f>
        <v>336</v>
      </c>
      <c r="R342" t="b">
        <f>AND(ISNUMBER(FIND($E342,Tables!$I$2)), ISNUMBER(FIND($D342,Tables!$J$2)), $E342&lt;&gt;"")</f>
        <v>0</v>
      </c>
    </row>
    <row r="343" spans="1:18" x14ac:dyDescent="0.25">
      <c r="A343">
        <f>IF(AND(B343="", D343&lt;&gt;""), A342, A342+1)</f>
        <v>337</v>
      </c>
      <c r="R343" t="b">
        <f>AND(ISNUMBER(FIND($E343,Tables!$I$2)), ISNUMBER(FIND($D343,Tables!$J$2)), $E343&lt;&gt;"")</f>
        <v>0</v>
      </c>
    </row>
    <row r="344" spans="1:18" x14ac:dyDescent="0.25">
      <c r="A344">
        <f>IF(AND(B344="", D344&lt;&gt;""), A343, A343+1)</f>
        <v>338</v>
      </c>
      <c r="R344" t="b">
        <f>AND(ISNUMBER(FIND($E344,Tables!$I$2)), ISNUMBER(FIND($D344,Tables!$J$2)), $E344&lt;&gt;"")</f>
        <v>0</v>
      </c>
    </row>
    <row r="345" spans="1:18" x14ac:dyDescent="0.25">
      <c r="A345">
        <f>IF(AND(B345="", D345&lt;&gt;""), A344, A344+1)</f>
        <v>339</v>
      </c>
      <c r="R345" t="b">
        <f>AND(ISNUMBER(FIND($E345,Tables!$I$2)), ISNUMBER(FIND($D345,Tables!$J$2)), $E345&lt;&gt;"")</f>
        <v>0</v>
      </c>
    </row>
    <row r="346" spans="1:18" x14ac:dyDescent="0.25">
      <c r="A346">
        <f>IF(AND(B346="", D346&lt;&gt;""), A345, A345+1)</f>
        <v>340</v>
      </c>
      <c r="R346" t="b">
        <f>AND(ISNUMBER(FIND($E346,Tables!$I$2)), ISNUMBER(FIND($D346,Tables!$J$2)), $E346&lt;&gt;"")</f>
        <v>0</v>
      </c>
    </row>
    <row r="347" spans="1:18" x14ac:dyDescent="0.25">
      <c r="A347">
        <f>IF(AND(B347="", D347&lt;&gt;""), A346, A346+1)</f>
        <v>341</v>
      </c>
      <c r="R347" t="b">
        <f>AND(ISNUMBER(FIND($E347,Tables!$I$2)), ISNUMBER(FIND($D347,Tables!$J$2)), $E347&lt;&gt;"")</f>
        <v>0</v>
      </c>
    </row>
    <row r="348" spans="1:18" x14ac:dyDescent="0.25">
      <c r="A348">
        <f>IF(AND(B348="", D348&lt;&gt;""), A347, A347+1)</f>
        <v>342</v>
      </c>
      <c r="R348" t="b">
        <f>AND(ISNUMBER(FIND($E348,Tables!$I$2)), ISNUMBER(FIND($D348,Tables!$J$2)), $E348&lt;&gt;"")</f>
        <v>0</v>
      </c>
    </row>
    <row r="349" spans="1:18" x14ac:dyDescent="0.25">
      <c r="A349">
        <f>IF(AND(B349="", D349&lt;&gt;""), A348, A348+1)</f>
        <v>343</v>
      </c>
      <c r="R349" t="b">
        <f>AND(ISNUMBER(FIND($E349,Tables!$I$2)), ISNUMBER(FIND($D349,Tables!$J$2)), $E349&lt;&gt;"")</f>
        <v>0</v>
      </c>
    </row>
    <row r="350" spans="1:18" x14ac:dyDescent="0.25">
      <c r="A350">
        <f>IF(AND(B350="", D350&lt;&gt;""), A349, A349+1)</f>
        <v>344</v>
      </c>
      <c r="R350" t="b">
        <f>AND(ISNUMBER(FIND($E350,Tables!$I$2)), ISNUMBER(FIND($D350,Tables!$J$2)), $E350&lt;&gt;"")</f>
        <v>0</v>
      </c>
    </row>
    <row r="351" spans="1:18" x14ac:dyDescent="0.25">
      <c r="A351">
        <f>IF(AND(B351="", D351&lt;&gt;""), A350, A350+1)</f>
        <v>345</v>
      </c>
      <c r="R351" t="b">
        <f>AND(ISNUMBER(FIND($E351,Tables!$I$2)), ISNUMBER(FIND($D351,Tables!$J$2)), $E351&lt;&gt;"")</f>
        <v>0</v>
      </c>
    </row>
    <row r="352" spans="1:18" x14ac:dyDescent="0.25">
      <c r="A352">
        <f>IF(AND(B352="", D352&lt;&gt;""), A351, A351+1)</f>
        <v>346</v>
      </c>
      <c r="R352" t="b">
        <f>AND(ISNUMBER(FIND($E352,Tables!$I$2)), ISNUMBER(FIND($D352,Tables!$J$2)), $E352&lt;&gt;"")</f>
        <v>0</v>
      </c>
    </row>
    <row r="353" spans="1:18" x14ac:dyDescent="0.25">
      <c r="A353">
        <f>IF(AND(B353="", D353&lt;&gt;""), A352, A352+1)</f>
        <v>347</v>
      </c>
      <c r="R353" t="b">
        <f>AND(ISNUMBER(FIND($E353,Tables!$I$2)), ISNUMBER(FIND($D353,Tables!$J$2)), $E353&lt;&gt;"")</f>
        <v>0</v>
      </c>
    </row>
    <row r="354" spans="1:18" x14ac:dyDescent="0.25">
      <c r="A354">
        <f>IF(AND(B354="", D354&lt;&gt;""), A353, A353+1)</f>
        <v>348</v>
      </c>
      <c r="R354" t="b">
        <f>AND(ISNUMBER(FIND($E354,Tables!$I$2)), ISNUMBER(FIND($D354,Tables!$J$2)), $E354&lt;&gt;"")</f>
        <v>0</v>
      </c>
    </row>
    <row r="355" spans="1:18" x14ac:dyDescent="0.25">
      <c r="A355">
        <f>IF(AND(B355="", D355&lt;&gt;""), A354, A354+1)</f>
        <v>349</v>
      </c>
      <c r="R355" t="b">
        <f>AND(ISNUMBER(FIND($E355,Tables!$I$2)), ISNUMBER(FIND($D355,Tables!$J$2)), $E355&lt;&gt;"")</f>
        <v>0</v>
      </c>
    </row>
    <row r="356" spans="1:18" x14ac:dyDescent="0.25">
      <c r="A356">
        <f>IF(AND(B356="", D356&lt;&gt;""), A355, A355+1)</f>
        <v>350</v>
      </c>
      <c r="R356" t="b">
        <f>AND(ISNUMBER(FIND($E356,Tables!$I$2)), ISNUMBER(FIND($D356,Tables!$J$2)), $E356&lt;&gt;"")</f>
        <v>0</v>
      </c>
    </row>
    <row r="357" spans="1:18" x14ac:dyDescent="0.25">
      <c r="A357">
        <f>IF(AND(B357="", D357&lt;&gt;""), A356, A356+1)</f>
        <v>351</v>
      </c>
      <c r="R357" t="b">
        <f>AND(ISNUMBER(FIND($E357,Tables!$I$2)), ISNUMBER(FIND($D357,Tables!$J$2)), $E357&lt;&gt;"")</f>
        <v>0</v>
      </c>
    </row>
    <row r="358" spans="1:18" x14ac:dyDescent="0.25">
      <c r="A358">
        <f>IF(AND(B358="", D358&lt;&gt;""), A357, A357+1)</f>
        <v>352</v>
      </c>
      <c r="R358" t="b">
        <f>AND(ISNUMBER(FIND($E358,Tables!$I$2)), ISNUMBER(FIND($D358,Tables!$J$2)), $E358&lt;&gt;"")</f>
        <v>0</v>
      </c>
    </row>
    <row r="359" spans="1:18" x14ac:dyDescent="0.25">
      <c r="A359">
        <f>IF(AND(B359="", D359&lt;&gt;""), A358, A358+1)</f>
        <v>353</v>
      </c>
      <c r="R359" t="b">
        <f>AND(ISNUMBER(FIND($E359,Tables!$I$2)), ISNUMBER(FIND($D359,Tables!$J$2)), $E359&lt;&gt;"")</f>
        <v>0</v>
      </c>
    </row>
    <row r="360" spans="1:18" x14ac:dyDescent="0.25">
      <c r="A360">
        <f>IF(AND(B360="", D360&lt;&gt;""), A359, A359+1)</f>
        <v>354</v>
      </c>
      <c r="R360" t="b">
        <f>AND(ISNUMBER(FIND($E360,Tables!$I$2)), ISNUMBER(FIND($D360,Tables!$J$2)), $E360&lt;&gt;"")</f>
        <v>0</v>
      </c>
    </row>
    <row r="361" spans="1:18" x14ac:dyDescent="0.25">
      <c r="A361">
        <f>IF(AND(B361="", D361&lt;&gt;""), A360, A360+1)</f>
        <v>355</v>
      </c>
      <c r="R361" t="b">
        <f>AND(ISNUMBER(FIND($E361,Tables!$I$2)), ISNUMBER(FIND($D361,Tables!$J$2)), $E361&lt;&gt;"")</f>
        <v>0</v>
      </c>
    </row>
    <row r="362" spans="1:18" x14ac:dyDescent="0.25">
      <c r="A362">
        <f>IF(AND(B362="", D362&lt;&gt;""), A361, A361+1)</f>
        <v>356</v>
      </c>
      <c r="R362" t="b">
        <f>AND(ISNUMBER(FIND($E362,Tables!$I$2)), ISNUMBER(FIND($D362,Tables!$J$2)), $E362&lt;&gt;"")</f>
        <v>0</v>
      </c>
    </row>
    <row r="363" spans="1:18" x14ac:dyDescent="0.25">
      <c r="A363">
        <f>IF(AND(B363="", D363&lt;&gt;""), A362, A362+1)</f>
        <v>357</v>
      </c>
      <c r="R363" t="b">
        <f>AND(ISNUMBER(FIND($E363,Tables!$I$2)), ISNUMBER(FIND($D363,Tables!$J$2)), $E363&lt;&gt;"")</f>
        <v>0</v>
      </c>
    </row>
    <row r="364" spans="1:18" x14ac:dyDescent="0.25">
      <c r="A364">
        <f>IF(AND(B364="", D364&lt;&gt;""), A363, A363+1)</f>
        <v>358</v>
      </c>
      <c r="R364" t="b">
        <f>AND(ISNUMBER(FIND($E364,Tables!$I$2)), ISNUMBER(FIND($D364,Tables!$J$2)), $E364&lt;&gt;"")</f>
        <v>0</v>
      </c>
    </row>
    <row r="365" spans="1:18" x14ac:dyDescent="0.25">
      <c r="A365">
        <f>IF(AND(B365="", D365&lt;&gt;""), A364, A364+1)</f>
        <v>359</v>
      </c>
      <c r="R365" t="b">
        <f>AND(ISNUMBER(FIND($E365,Tables!$I$2)), ISNUMBER(FIND($D365,Tables!$J$2)), $E365&lt;&gt;"")</f>
        <v>0</v>
      </c>
    </row>
    <row r="366" spans="1:18" x14ac:dyDescent="0.25">
      <c r="A366">
        <f>IF(AND(B366="", D366&lt;&gt;""), A365, A365+1)</f>
        <v>360</v>
      </c>
      <c r="R366" t="b">
        <f>AND(ISNUMBER(FIND($E366,Tables!$I$2)), ISNUMBER(FIND($D366,Tables!$J$2)), $E366&lt;&gt;"")</f>
        <v>0</v>
      </c>
    </row>
    <row r="367" spans="1:18" x14ac:dyDescent="0.25">
      <c r="A367">
        <f>IF(AND(B367="", D367&lt;&gt;""), A366, A366+1)</f>
        <v>361</v>
      </c>
      <c r="R367" t="b">
        <f>AND(ISNUMBER(FIND($E367,Tables!$I$2)), ISNUMBER(FIND($D367,Tables!$J$2)), $E367&lt;&gt;"")</f>
        <v>0</v>
      </c>
    </row>
    <row r="368" spans="1:18" x14ac:dyDescent="0.25">
      <c r="A368">
        <f>IF(AND(B368="", D368&lt;&gt;""), A367, A367+1)</f>
        <v>362</v>
      </c>
      <c r="R368" t="b">
        <f>AND(ISNUMBER(FIND($E368,Tables!$I$2)), ISNUMBER(FIND($D368,Tables!$J$2)), $E368&lt;&gt;"")</f>
        <v>0</v>
      </c>
    </row>
    <row r="369" spans="1:18" x14ac:dyDescent="0.25">
      <c r="A369">
        <f>IF(AND(B369="", D369&lt;&gt;""), A368, A368+1)</f>
        <v>363</v>
      </c>
      <c r="R369" t="b">
        <f>AND(ISNUMBER(FIND($E369,Tables!$I$2)), ISNUMBER(FIND($D369,Tables!$J$2)), $E369&lt;&gt;"")</f>
        <v>0</v>
      </c>
    </row>
    <row r="370" spans="1:18" x14ac:dyDescent="0.25">
      <c r="A370">
        <f>IF(AND(B370="", D370&lt;&gt;""), A369, A369+1)</f>
        <v>364</v>
      </c>
      <c r="R370" t="b">
        <f>AND(ISNUMBER(FIND($E370,Tables!$I$2)), ISNUMBER(FIND($D370,Tables!$J$2)), $E370&lt;&gt;"")</f>
        <v>0</v>
      </c>
    </row>
    <row r="371" spans="1:18" x14ac:dyDescent="0.25">
      <c r="A371">
        <f>IF(AND(B371="", D371&lt;&gt;""), A370, A370+1)</f>
        <v>365</v>
      </c>
      <c r="R371" t="b">
        <f>AND(ISNUMBER(FIND($E371,Tables!$I$2)), ISNUMBER(FIND($D371,Tables!$J$2)), $E371&lt;&gt;"")</f>
        <v>0</v>
      </c>
    </row>
    <row r="372" spans="1:18" x14ac:dyDescent="0.25">
      <c r="A372">
        <f>IF(AND(B372="", D372&lt;&gt;""), A371, A371+1)</f>
        <v>366</v>
      </c>
      <c r="R372" t="b">
        <f>AND(ISNUMBER(FIND($E372,Tables!$I$2)), ISNUMBER(FIND($D372,Tables!$J$2)), $E372&lt;&gt;"")</f>
        <v>0</v>
      </c>
    </row>
    <row r="373" spans="1:18" x14ac:dyDescent="0.25">
      <c r="A373">
        <f>IF(AND(B373="", D373&lt;&gt;""), A372, A372+1)</f>
        <v>367</v>
      </c>
      <c r="R373" t="b">
        <f>AND(ISNUMBER(FIND($E373,Tables!$I$2)), ISNUMBER(FIND($D373,Tables!$J$2)), $E373&lt;&gt;"")</f>
        <v>0</v>
      </c>
    </row>
    <row r="374" spans="1:18" x14ac:dyDescent="0.25">
      <c r="A374">
        <f>IF(AND(B374="", D374&lt;&gt;""), A373, A373+1)</f>
        <v>368</v>
      </c>
      <c r="R374" t="b">
        <f>AND(ISNUMBER(FIND($E374,Tables!$I$2)), ISNUMBER(FIND($D374,Tables!$J$2)), $E374&lt;&gt;"")</f>
        <v>0</v>
      </c>
    </row>
    <row r="375" spans="1:18" x14ac:dyDescent="0.25">
      <c r="A375">
        <f>IF(AND(B375="", D375&lt;&gt;""), A374, A374+1)</f>
        <v>369</v>
      </c>
      <c r="R375" t="b">
        <f>AND(ISNUMBER(FIND($E375,Tables!$I$2)), ISNUMBER(FIND($D375,Tables!$J$2)), $E375&lt;&gt;"")</f>
        <v>0</v>
      </c>
    </row>
    <row r="376" spans="1:18" x14ac:dyDescent="0.25">
      <c r="A376">
        <f>IF(AND(B376="", D376&lt;&gt;""), A375, A375+1)</f>
        <v>370</v>
      </c>
      <c r="R376" t="b">
        <f>AND(ISNUMBER(FIND($E376,Tables!$I$2)), ISNUMBER(FIND($D376,Tables!$J$2)), $E376&lt;&gt;"")</f>
        <v>0</v>
      </c>
    </row>
    <row r="377" spans="1:18" x14ac:dyDescent="0.25">
      <c r="A377">
        <f>IF(AND(B377="", D377&lt;&gt;""), A376, A376+1)</f>
        <v>371</v>
      </c>
      <c r="R377" t="b">
        <f>AND(ISNUMBER(FIND($E377,Tables!$I$2)), ISNUMBER(FIND($D377,Tables!$J$2)), $E377&lt;&gt;"")</f>
        <v>0</v>
      </c>
    </row>
    <row r="378" spans="1:18" x14ac:dyDescent="0.25">
      <c r="A378">
        <f>IF(AND(B378="", D378&lt;&gt;""), A377, A377+1)</f>
        <v>372</v>
      </c>
      <c r="R378" t="b">
        <f>AND(ISNUMBER(FIND($E378,Tables!$I$2)), ISNUMBER(FIND($D378,Tables!$J$2)), $E378&lt;&gt;"")</f>
        <v>0</v>
      </c>
    </row>
    <row r="379" spans="1:18" x14ac:dyDescent="0.25">
      <c r="A379">
        <f>IF(AND(B379="", D379&lt;&gt;""), A378, A378+1)</f>
        <v>373</v>
      </c>
      <c r="R379" t="b">
        <f>AND(ISNUMBER(FIND($E379,Tables!$I$2)), ISNUMBER(FIND($D379,Tables!$J$2)), $E379&lt;&gt;"")</f>
        <v>0</v>
      </c>
    </row>
    <row r="380" spans="1:18" x14ac:dyDescent="0.25">
      <c r="A380">
        <f>IF(AND(B380="", D380&lt;&gt;""), A379, A379+1)</f>
        <v>374</v>
      </c>
      <c r="R380" t="b">
        <f>AND(ISNUMBER(FIND($E380,Tables!$I$2)), ISNUMBER(FIND($D380,Tables!$J$2)), $E380&lt;&gt;"")</f>
        <v>0</v>
      </c>
    </row>
    <row r="381" spans="1:18" x14ac:dyDescent="0.25">
      <c r="A381">
        <f>IF(AND(B381="", D381&lt;&gt;""), A380, A380+1)</f>
        <v>375</v>
      </c>
      <c r="R381" t="b">
        <f>AND(ISNUMBER(FIND($E381,Tables!$I$2)), ISNUMBER(FIND($D381,Tables!$J$2)), $E381&lt;&gt;"")</f>
        <v>0</v>
      </c>
    </row>
    <row r="382" spans="1:18" x14ac:dyDescent="0.25">
      <c r="A382">
        <f>IF(AND(B382="", D382&lt;&gt;""), A381, A381+1)</f>
        <v>376</v>
      </c>
      <c r="R382" t="b">
        <f>AND(ISNUMBER(FIND($E382,Tables!$I$2)), ISNUMBER(FIND($D382,Tables!$J$2)), $E382&lt;&gt;"")</f>
        <v>0</v>
      </c>
    </row>
    <row r="383" spans="1:18" x14ac:dyDescent="0.25">
      <c r="A383">
        <f>IF(AND(B383="", D383&lt;&gt;""), A382, A382+1)</f>
        <v>377</v>
      </c>
      <c r="R383" t="b">
        <f>AND(ISNUMBER(FIND($E383,Tables!$I$2)), ISNUMBER(FIND($D383,Tables!$J$2)), $E383&lt;&gt;"")</f>
        <v>0</v>
      </c>
    </row>
    <row r="384" spans="1:18" x14ac:dyDescent="0.25">
      <c r="A384">
        <f>IF(AND(B384="", D384&lt;&gt;""), A383, A383+1)</f>
        <v>378</v>
      </c>
      <c r="R384" t="b">
        <f>AND(ISNUMBER(FIND($E384,Tables!$I$2)), ISNUMBER(FIND($D384,Tables!$J$2)), $E384&lt;&gt;"")</f>
        <v>0</v>
      </c>
    </row>
    <row r="385" spans="1:18" x14ac:dyDescent="0.25">
      <c r="A385">
        <f>IF(AND(B385="", D385&lt;&gt;""), A384, A384+1)</f>
        <v>379</v>
      </c>
      <c r="R385" t="b">
        <f>AND(ISNUMBER(FIND($E385,Tables!$I$2)), ISNUMBER(FIND($D385,Tables!$J$2)), $E385&lt;&gt;"")</f>
        <v>0</v>
      </c>
    </row>
    <row r="386" spans="1:18" x14ac:dyDescent="0.25">
      <c r="A386">
        <f>IF(AND(B386="", D386&lt;&gt;""), A385, A385+1)</f>
        <v>380</v>
      </c>
      <c r="R386" t="b">
        <f>AND(ISNUMBER(FIND($E386,Tables!$I$2)), ISNUMBER(FIND($D386,Tables!$J$2)), $E386&lt;&gt;"")</f>
        <v>0</v>
      </c>
    </row>
    <row r="387" spans="1:18" x14ac:dyDescent="0.25">
      <c r="A387">
        <f>IF(AND(B387="", D387&lt;&gt;""), A386, A386+1)</f>
        <v>381</v>
      </c>
      <c r="R387" t="b">
        <f>AND(ISNUMBER(FIND($E387,Tables!$I$2)), ISNUMBER(FIND($D387,Tables!$J$2)), $E387&lt;&gt;"")</f>
        <v>0</v>
      </c>
    </row>
    <row r="388" spans="1:18" x14ac:dyDescent="0.25">
      <c r="A388">
        <f>IF(AND(B388="", D388&lt;&gt;""), A387, A387+1)</f>
        <v>382</v>
      </c>
      <c r="R388" t="b">
        <f>AND(ISNUMBER(FIND($E388,Tables!$I$2)), ISNUMBER(FIND($D388,Tables!$J$2)), $E388&lt;&gt;"")</f>
        <v>0</v>
      </c>
    </row>
    <row r="389" spans="1:18" x14ac:dyDescent="0.25">
      <c r="A389">
        <f>IF(AND(B389="", D389&lt;&gt;""), A388, A388+1)</f>
        <v>383</v>
      </c>
      <c r="R389" t="b">
        <f>AND(ISNUMBER(FIND($E389,Tables!$I$2)), ISNUMBER(FIND($D389,Tables!$J$2)), $E389&lt;&gt;"")</f>
        <v>0</v>
      </c>
    </row>
    <row r="390" spans="1:18" x14ac:dyDescent="0.25">
      <c r="A390">
        <f>IF(AND(B390="", D390&lt;&gt;""), A389, A389+1)</f>
        <v>384</v>
      </c>
      <c r="R390" t="b">
        <f>AND(ISNUMBER(FIND($E390,Tables!$I$2)), ISNUMBER(FIND($D390,Tables!$J$2)), $E390&lt;&gt;"")</f>
        <v>0</v>
      </c>
    </row>
    <row r="391" spans="1:18" x14ac:dyDescent="0.25">
      <c r="A391">
        <f>IF(AND(B391="", D391&lt;&gt;""), A390, A390+1)</f>
        <v>385</v>
      </c>
      <c r="R391" t="b">
        <f>AND(ISNUMBER(FIND($E391,Tables!$I$2)), ISNUMBER(FIND($D391,Tables!$J$2)), $E391&lt;&gt;"")</f>
        <v>0</v>
      </c>
    </row>
    <row r="392" spans="1:18" x14ac:dyDescent="0.25">
      <c r="A392">
        <f>IF(AND(B392="", D392&lt;&gt;""), A391, A391+1)</f>
        <v>386</v>
      </c>
      <c r="R392" t="b">
        <f>AND(ISNUMBER(FIND($E392,Tables!$I$2)), ISNUMBER(FIND($D392,Tables!$J$2)), $E392&lt;&gt;"")</f>
        <v>0</v>
      </c>
    </row>
    <row r="393" spans="1:18" x14ac:dyDescent="0.25">
      <c r="A393">
        <f>IF(AND(B393="", D393&lt;&gt;""), A392, A392+1)</f>
        <v>387</v>
      </c>
      <c r="R393" t="b">
        <f>AND(ISNUMBER(FIND($E393,Tables!$I$2)), ISNUMBER(FIND($D393,Tables!$J$2)), $E393&lt;&gt;"")</f>
        <v>0</v>
      </c>
    </row>
    <row r="394" spans="1:18" x14ac:dyDescent="0.25">
      <c r="A394">
        <f>IF(AND(B394="", D394&lt;&gt;""), A393, A393+1)</f>
        <v>388</v>
      </c>
      <c r="R394" t="b">
        <f>AND(ISNUMBER(FIND($E394,Tables!$I$2)), ISNUMBER(FIND($D394,Tables!$J$2)), $E394&lt;&gt;"")</f>
        <v>0</v>
      </c>
    </row>
    <row r="395" spans="1:18" x14ac:dyDescent="0.25">
      <c r="A395">
        <f>IF(AND(B395="", D395&lt;&gt;""), A394, A394+1)</f>
        <v>389</v>
      </c>
      <c r="R395" t="b">
        <f>AND(ISNUMBER(FIND($E395,Tables!$I$2)), ISNUMBER(FIND($D395,Tables!$J$2)), $E395&lt;&gt;"")</f>
        <v>0</v>
      </c>
    </row>
    <row r="396" spans="1:18" x14ac:dyDescent="0.25">
      <c r="A396">
        <f>IF(AND(B396="", D396&lt;&gt;""), A395, A395+1)</f>
        <v>390</v>
      </c>
      <c r="R396" t="b">
        <f>AND(ISNUMBER(FIND($E396,Tables!$I$2)), ISNUMBER(FIND($D396,Tables!$J$2)), $E396&lt;&gt;"")</f>
        <v>0</v>
      </c>
    </row>
    <row r="397" spans="1:18" x14ac:dyDescent="0.25">
      <c r="A397">
        <f>IF(AND(B397="", D397&lt;&gt;""), A396, A396+1)</f>
        <v>391</v>
      </c>
      <c r="R397" t="b">
        <f>AND(ISNUMBER(FIND($E397,Tables!$I$2)), ISNUMBER(FIND($D397,Tables!$J$2)), $E397&lt;&gt;"")</f>
        <v>0</v>
      </c>
    </row>
    <row r="398" spans="1:18" x14ac:dyDescent="0.25">
      <c r="A398">
        <f>IF(AND(B398="", D398&lt;&gt;""), A397, A397+1)</f>
        <v>392</v>
      </c>
      <c r="R398" t="b">
        <f>AND(ISNUMBER(FIND($E398,Tables!$I$2)), ISNUMBER(FIND($D398,Tables!$J$2)), $E398&lt;&gt;"")</f>
        <v>0</v>
      </c>
    </row>
    <row r="399" spans="1:18" x14ac:dyDescent="0.25">
      <c r="A399">
        <f>IF(AND(B399="", D399&lt;&gt;""), A398, A398+1)</f>
        <v>393</v>
      </c>
      <c r="R399" t="b">
        <f>AND(ISNUMBER(FIND($E399,Tables!$I$2)), ISNUMBER(FIND($D399,Tables!$J$2)), $E399&lt;&gt;"")</f>
        <v>0</v>
      </c>
    </row>
    <row r="400" spans="1:18" x14ac:dyDescent="0.25">
      <c r="A400">
        <f>IF(AND(B400="", D400&lt;&gt;""), A399, A399+1)</f>
        <v>394</v>
      </c>
      <c r="R400" t="b">
        <f>AND(ISNUMBER(FIND($E400,Tables!$I$2)), ISNUMBER(FIND($D400,Tables!$J$2)), $E400&lt;&gt;"")</f>
        <v>0</v>
      </c>
    </row>
    <row r="401" spans="1:18" x14ac:dyDescent="0.25">
      <c r="A401">
        <f>IF(AND(B401="", D401&lt;&gt;""), A400, A400+1)</f>
        <v>395</v>
      </c>
      <c r="R401" t="b">
        <f>AND(ISNUMBER(FIND($E401,Tables!$I$2)), ISNUMBER(FIND($D401,Tables!$J$2)), $E401&lt;&gt;"")</f>
        <v>0</v>
      </c>
    </row>
    <row r="402" spans="1:18" x14ac:dyDescent="0.25">
      <c r="A402">
        <f>IF(AND(B402="", D402&lt;&gt;""), A401, A401+1)</f>
        <v>396</v>
      </c>
      <c r="R402" t="b">
        <f>AND(ISNUMBER(FIND($E402,Tables!$I$2)), ISNUMBER(FIND($D402,Tables!$J$2)), $E402&lt;&gt;"")</f>
        <v>0</v>
      </c>
    </row>
    <row r="403" spans="1:18" x14ac:dyDescent="0.25">
      <c r="A403">
        <f>IF(AND(B403="", D403&lt;&gt;""), A402, A402+1)</f>
        <v>397</v>
      </c>
      <c r="R403" t="b">
        <f>AND(ISNUMBER(FIND($E403,Tables!$I$2)), ISNUMBER(FIND($D403,Tables!$J$2)), $E403&lt;&gt;"")</f>
        <v>0</v>
      </c>
    </row>
    <row r="404" spans="1:18" x14ac:dyDescent="0.25">
      <c r="A404">
        <f>IF(AND(B404="", D404&lt;&gt;""), A403, A403+1)</f>
        <v>398</v>
      </c>
      <c r="R404" t="b">
        <f>AND(ISNUMBER(FIND($E404,Tables!$I$2)), ISNUMBER(FIND($D404,Tables!$J$2)), $E404&lt;&gt;"")</f>
        <v>0</v>
      </c>
    </row>
    <row r="405" spans="1:18" x14ac:dyDescent="0.25">
      <c r="A405">
        <f>IF(AND(B405="", D405&lt;&gt;""), A404, A404+1)</f>
        <v>399</v>
      </c>
      <c r="R405" t="b">
        <f>AND(ISNUMBER(FIND($E405,Tables!$I$2)), ISNUMBER(FIND($D405,Tables!$J$2)), $E405&lt;&gt;"")</f>
        <v>0</v>
      </c>
    </row>
    <row r="406" spans="1:18" x14ac:dyDescent="0.25">
      <c r="A406">
        <f>IF(AND(B406="", D406&lt;&gt;""), A405, A405+1)</f>
        <v>400</v>
      </c>
      <c r="R406" t="b">
        <f>AND(ISNUMBER(FIND($E406,Tables!$I$2)), ISNUMBER(FIND($D406,Tables!$J$2)), $E406&lt;&gt;"")</f>
        <v>0</v>
      </c>
    </row>
    <row r="407" spans="1:18" x14ac:dyDescent="0.25">
      <c r="A407">
        <f>IF(AND(B407="", D407&lt;&gt;""), A406, A406+1)</f>
        <v>401</v>
      </c>
      <c r="R407" t="b">
        <f>AND(ISNUMBER(FIND($E407,Tables!$I$2)), ISNUMBER(FIND($D407,Tables!$J$2)), $E407&lt;&gt;"")</f>
        <v>0</v>
      </c>
    </row>
    <row r="408" spans="1:18" x14ac:dyDescent="0.25">
      <c r="A408">
        <f>IF(AND(B408="", D408&lt;&gt;""), A407, A407+1)</f>
        <v>402</v>
      </c>
      <c r="R408" t="b">
        <f>AND(ISNUMBER(FIND($E408,Tables!$I$2)), ISNUMBER(FIND($D408,Tables!$J$2)), $E408&lt;&gt;"")</f>
        <v>0</v>
      </c>
    </row>
    <row r="409" spans="1:18" x14ac:dyDescent="0.25">
      <c r="A409">
        <f>IF(AND(B409="", D409&lt;&gt;""), A408, A408+1)</f>
        <v>403</v>
      </c>
      <c r="R409" t="b">
        <f>AND(ISNUMBER(FIND($E409,Tables!$I$2)), ISNUMBER(FIND($D409,Tables!$J$2)), $E409&lt;&gt;"")</f>
        <v>0</v>
      </c>
    </row>
    <row r="410" spans="1:18" x14ac:dyDescent="0.25">
      <c r="A410">
        <f>IF(AND(B410="", D410&lt;&gt;""), A409, A409+1)</f>
        <v>404</v>
      </c>
      <c r="R410" t="b">
        <f>AND(ISNUMBER(FIND($E410,Tables!$I$2)), ISNUMBER(FIND($D410,Tables!$J$2)), $E410&lt;&gt;"")</f>
        <v>0</v>
      </c>
    </row>
    <row r="411" spans="1:18" x14ac:dyDescent="0.25">
      <c r="A411">
        <f>IF(AND(B411="", D411&lt;&gt;""), A410, A410+1)</f>
        <v>405</v>
      </c>
      <c r="R411" t="b">
        <f>AND(ISNUMBER(FIND($E411,Tables!$I$2)), ISNUMBER(FIND($D411,Tables!$J$2)), $E411&lt;&gt;"")</f>
        <v>0</v>
      </c>
    </row>
    <row r="412" spans="1:18" x14ac:dyDescent="0.25">
      <c r="A412">
        <f>IF(AND(B412="", D412&lt;&gt;""), A411, A411+1)</f>
        <v>406</v>
      </c>
      <c r="R412" t="b">
        <f>AND(ISNUMBER(FIND($E412,Tables!$I$2)), ISNUMBER(FIND($D412,Tables!$J$2)), $E412&lt;&gt;"")</f>
        <v>0</v>
      </c>
    </row>
    <row r="413" spans="1:18" x14ac:dyDescent="0.25">
      <c r="A413">
        <f>IF(AND(B413="", D413&lt;&gt;""), A412, A412+1)</f>
        <v>407</v>
      </c>
      <c r="R413" t="b">
        <f>AND(ISNUMBER(FIND($E413,Tables!$I$2)), ISNUMBER(FIND($D413,Tables!$J$2)), $E413&lt;&gt;"")</f>
        <v>0</v>
      </c>
    </row>
    <row r="414" spans="1:18" x14ac:dyDescent="0.25">
      <c r="A414">
        <f>IF(AND(B414="", D414&lt;&gt;""), A413, A413+1)</f>
        <v>408</v>
      </c>
      <c r="R414" t="b">
        <f>AND(ISNUMBER(FIND($E414,Tables!$I$2)), ISNUMBER(FIND($D414,Tables!$J$2)), $E414&lt;&gt;"")</f>
        <v>0</v>
      </c>
    </row>
    <row r="415" spans="1:18" x14ac:dyDescent="0.25">
      <c r="A415">
        <f>IF(AND(B415="", D415&lt;&gt;""), A414, A414+1)</f>
        <v>409</v>
      </c>
      <c r="R415" t="b">
        <f>AND(ISNUMBER(FIND($E415,Tables!$I$2)), ISNUMBER(FIND($D415,Tables!$J$2)), $E415&lt;&gt;"")</f>
        <v>0</v>
      </c>
    </row>
    <row r="416" spans="1:18" x14ac:dyDescent="0.25">
      <c r="A416">
        <f>IF(AND(B416="", D416&lt;&gt;""), A415, A415+1)</f>
        <v>410</v>
      </c>
      <c r="R416" t="b">
        <f>AND(ISNUMBER(FIND($E416,Tables!$I$2)), ISNUMBER(FIND($D416,Tables!$J$2)), $E416&lt;&gt;"")</f>
        <v>0</v>
      </c>
    </row>
    <row r="417" spans="1:18" x14ac:dyDescent="0.25">
      <c r="A417">
        <f>IF(AND(B417="", D417&lt;&gt;""), A416, A416+1)</f>
        <v>411</v>
      </c>
      <c r="R417" t="b">
        <f>AND(ISNUMBER(FIND($E417,Tables!$I$2)), ISNUMBER(FIND($D417,Tables!$J$2)), $E417&lt;&gt;"")</f>
        <v>0</v>
      </c>
    </row>
    <row r="418" spans="1:18" x14ac:dyDescent="0.25">
      <c r="A418">
        <f>IF(AND(B418="", D418&lt;&gt;""), A417, A417+1)</f>
        <v>412</v>
      </c>
      <c r="R418" t="b">
        <f>AND(ISNUMBER(FIND($E418,Tables!$I$2)), ISNUMBER(FIND($D418,Tables!$J$2)), $E418&lt;&gt;"")</f>
        <v>0</v>
      </c>
    </row>
    <row r="419" spans="1:18" x14ac:dyDescent="0.25">
      <c r="A419">
        <f>IF(AND(B419="", D419&lt;&gt;""), A418, A418+1)</f>
        <v>413</v>
      </c>
      <c r="R419" t="b">
        <f>AND(ISNUMBER(FIND($E419,Tables!$I$2)), ISNUMBER(FIND($D419,Tables!$J$2)), $E419&lt;&gt;"")</f>
        <v>0</v>
      </c>
    </row>
    <row r="420" spans="1:18" x14ac:dyDescent="0.25">
      <c r="A420">
        <f>IF(AND(B420="", D420&lt;&gt;""), A419, A419+1)</f>
        <v>414</v>
      </c>
      <c r="R420" t="b">
        <f>AND(ISNUMBER(FIND($E420,Tables!$I$2)), ISNUMBER(FIND($D420,Tables!$J$2)), $E420&lt;&gt;"")</f>
        <v>0</v>
      </c>
    </row>
    <row r="421" spans="1:18" x14ac:dyDescent="0.25">
      <c r="A421">
        <f>IF(AND(B421="", D421&lt;&gt;""), A420, A420+1)</f>
        <v>415</v>
      </c>
      <c r="R421" t="b">
        <f>AND(ISNUMBER(FIND($E421,Tables!$I$2)), ISNUMBER(FIND($D421,Tables!$J$2)), $E421&lt;&gt;"")</f>
        <v>0</v>
      </c>
    </row>
    <row r="422" spans="1:18" x14ac:dyDescent="0.25">
      <c r="A422">
        <f>IF(AND(B422="", D422&lt;&gt;""), A421, A421+1)</f>
        <v>416</v>
      </c>
      <c r="R422" t="b">
        <f>AND(ISNUMBER(FIND($E422,Tables!$I$2)), ISNUMBER(FIND($D422,Tables!$J$2)), $E422&lt;&gt;"")</f>
        <v>0</v>
      </c>
    </row>
    <row r="423" spans="1:18" x14ac:dyDescent="0.25">
      <c r="A423">
        <f>IF(AND(B423="", D423&lt;&gt;""), A422, A422+1)</f>
        <v>417</v>
      </c>
      <c r="R423" t="b">
        <f>AND(ISNUMBER(FIND($E423,Tables!$I$2)), ISNUMBER(FIND($D423,Tables!$J$2)), $E423&lt;&gt;"")</f>
        <v>0</v>
      </c>
    </row>
    <row r="424" spans="1:18" x14ac:dyDescent="0.25">
      <c r="A424">
        <f>IF(AND(B424="", D424&lt;&gt;""), A423, A423+1)</f>
        <v>418</v>
      </c>
      <c r="R424" t="b">
        <f>AND(ISNUMBER(FIND($E424,Tables!$I$2)), ISNUMBER(FIND($D424,Tables!$J$2)), $E424&lt;&gt;"")</f>
        <v>0</v>
      </c>
    </row>
    <row r="425" spans="1:18" x14ac:dyDescent="0.25">
      <c r="A425">
        <f>IF(AND(B425="", D425&lt;&gt;""), A424, A424+1)</f>
        <v>419</v>
      </c>
      <c r="R425" t="b">
        <f>AND(ISNUMBER(FIND($E425,Tables!$I$2)), ISNUMBER(FIND($D425,Tables!$J$2)), $E425&lt;&gt;"")</f>
        <v>0</v>
      </c>
    </row>
    <row r="426" spans="1:18" x14ac:dyDescent="0.25">
      <c r="A426">
        <f>IF(AND(B426="", D426&lt;&gt;""), A425, A425+1)</f>
        <v>420</v>
      </c>
      <c r="R426" t="b">
        <f>AND(ISNUMBER(FIND($E426,Tables!$I$2)), ISNUMBER(FIND($D426,Tables!$J$2)), $E426&lt;&gt;"")</f>
        <v>0</v>
      </c>
    </row>
    <row r="427" spans="1:18" x14ac:dyDescent="0.25">
      <c r="A427">
        <f>IF(AND(B427="", D427&lt;&gt;""), A426, A426+1)</f>
        <v>421</v>
      </c>
      <c r="R427" t="b">
        <f>AND(ISNUMBER(FIND($E427,Tables!$I$2)), ISNUMBER(FIND($D427,Tables!$J$2)), $E427&lt;&gt;"")</f>
        <v>0</v>
      </c>
    </row>
    <row r="428" spans="1:18" x14ac:dyDescent="0.25">
      <c r="A428">
        <f>IF(AND(B428="", D428&lt;&gt;""), A427, A427+1)</f>
        <v>422</v>
      </c>
      <c r="R428" t="b">
        <f>AND(ISNUMBER(FIND($E428,Tables!$I$2)), ISNUMBER(FIND($D428,Tables!$J$2)), $E428&lt;&gt;"")</f>
        <v>0</v>
      </c>
    </row>
    <row r="429" spans="1:18" x14ac:dyDescent="0.25">
      <c r="A429">
        <f>IF(AND(B429="", D429&lt;&gt;""), A428, A428+1)</f>
        <v>423</v>
      </c>
      <c r="R429" t="b">
        <f>AND(ISNUMBER(FIND($E429,Tables!$I$2)), ISNUMBER(FIND($D429,Tables!$J$2)), $E429&lt;&gt;"")</f>
        <v>0</v>
      </c>
    </row>
    <row r="430" spans="1:18" x14ac:dyDescent="0.25">
      <c r="A430">
        <f>IF(AND(B430="", D430&lt;&gt;""), A429, A429+1)</f>
        <v>424</v>
      </c>
      <c r="R430" t="b">
        <f>AND(ISNUMBER(FIND($E430,Tables!$I$2)), ISNUMBER(FIND($D430,Tables!$J$2)), $E430&lt;&gt;"")</f>
        <v>0</v>
      </c>
    </row>
    <row r="431" spans="1:18" x14ac:dyDescent="0.25">
      <c r="A431">
        <f>IF(AND(B431="", D431&lt;&gt;""), A430, A430+1)</f>
        <v>425</v>
      </c>
      <c r="R431" t="b">
        <f>AND(ISNUMBER(FIND($E431,Tables!$I$2)), ISNUMBER(FIND($D431,Tables!$J$2)), $E431&lt;&gt;"")</f>
        <v>0</v>
      </c>
    </row>
    <row r="432" spans="1:18" x14ac:dyDescent="0.25">
      <c r="A432">
        <f>IF(AND(B432="", D432&lt;&gt;""), A431, A431+1)</f>
        <v>426</v>
      </c>
      <c r="R432" t="b">
        <f>AND(ISNUMBER(FIND($E432,Tables!$I$2)), ISNUMBER(FIND($D432,Tables!$J$2)), $E432&lt;&gt;"")</f>
        <v>0</v>
      </c>
    </row>
    <row r="433" spans="1:18" x14ac:dyDescent="0.25">
      <c r="A433">
        <f>IF(AND(B433="", D433&lt;&gt;""), A432, A432+1)</f>
        <v>427</v>
      </c>
      <c r="R433" t="b">
        <f>AND(ISNUMBER(FIND($E433,Tables!$I$2)), ISNUMBER(FIND($D433,Tables!$J$2)), $E433&lt;&gt;"")</f>
        <v>0</v>
      </c>
    </row>
    <row r="434" spans="1:18" x14ac:dyDescent="0.25">
      <c r="A434">
        <f>IF(AND(B434="", D434&lt;&gt;""), A433, A433+1)</f>
        <v>428</v>
      </c>
      <c r="R434" t="b">
        <f>AND(ISNUMBER(FIND($E434,Tables!$I$2)), ISNUMBER(FIND($D434,Tables!$J$2)), $E434&lt;&gt;"")</f>
        <v>0</v>
      </c>
    </row>
    <row r="435" spans="1:18" x14ac:dyDescent="0.25">
      <c r="A435">
        <f>IF(AND(B435="", D435&lt;&gt;""), A434, A434+1)</f>
        <v>429</v>
      </c>
      <c r="R435" t="b">
        <f>AND(ISNUMBER(FIND($E435,Tables!$I$2)), ISNUMBER(FIND($D435,Tables!$J$2)), $E435&lt;&gt;"")</f>
        <v>0</v>
      </c>
    </row>
    <row r="436" spans="1:18" x14ac:dyDescent="0.25">
      <c r="A436">
        <f>IF(AND(B436="", D436&lt;&gt;""), A435, A435+1)</f>
        <v>430</v>
      </c>
      <c r="R436" t="b">
        <f>AND(ISNUMBER(FIND($E436,Tables!$I$2)), ISNUMBER(FIND($D436,Tables!$J$2)), $E436&lt;&gt;"")</f>
        <v>0</v>
      </c>
    </row>
    <row r="437" spans="1:18" x14ac:dyDescent="0.25">
      <c r="A437">
        <f>IF(AND(B437="", D437&lt;&gt;""), A436, A436+1)</f>
        <v>431</v>
      </c>
      <c r="R437" t="b">
        <f>AND(ISNUMBER(FIND($E437,Tables!$I$2)), ISNUMBER(FIND($D437,Tables!$J$2)), $E437&lt;&gt;"")</f>
        <v>0</v>
      </c>
    </row>
    <row r="438" spans="1:18" x14ac:dyDescent="0.25">
      <c r="A438">
        <f>IF(AND(B438="", D438&lt;&gt;""), A437, A437+1)</f>
        <v>432</v>
      </c>
      <c r="R438" t="b">
        <f>AND(ISNUMBER(FIND($E438,Tables!$I$2)), ISNUMBER(FIND($D438,Tables!$J$2)), $E438&lt;&gt;"")</f>
        <v>0</v>
      </c>
    </row>
    <row r="439" spans="1:18" x14ac:dyDescent="0.25">
      <c r="A439">
        <f>IF(AND(B439="", D439&lt;&gt;""), A438, A438+1)</f>
        <v>433</v>
      </c>
      <c r="R439" t="b">
        <f>AND(ISNUMBER(FIND($E439,Tables!$I$2)), ISNUMBER(FIND($D439,Tables!$J$2)), $E439&lt;&gt;"")</f>
        <v>0</v>
      </c>
    </row>
    <row r="440" spans="1:18" x14ac:dyDescent="0.25">
      <c r="A440">
        <f>IF(AND(B440="", D440&lt;&gt;""), A439, A439+1)</f>
        <v>434</v>
      </c>
      <c r="R440" t="b">
        <f>AND(ISNUMBER(FIND($E440,Tables!$I$2)), ISNUMBER(FIND($D440,Tables!$J$2)), $E440&lt;&gt;"")</f>
        <v>0</v>
      </c>
    </row>
    <row r="441" spans="1:18" x14ac:dyDescent="0.25">
      <c r="A441">
        <f>IF(AND(B441="", D441&lt;&gt;""), A440, A440+1)</f>
        <v>435</v>
      </c>
      <c r="R441" t="b">
        <f>AND(ISNUMBER(FIND($E441,Tables!$I$2)), ISNUMBER(FIND($D441,Tables!$J$2)), $E441&lt;&gt;"")</f>
        <v>0</v>
      </c>
    </row>
    <row r="442" spans="1:18" x14ac:dyDescent="0.25">
      <c r="A442">
        <f>IF(AND(B442="", D442&lt;&gt;""), A441, A441+1)</f>
        <v>436</v>
      </c>
      <c r="R442" t="b">
        <f>AND(ISNUMBER(FIND($E442,Tables!$I$2)), ISNUMBER(FIND($D442,Tables!$J$2)), $E442&lt;&gt;"")</f>
        <v>0</v>
      </c>
    </row>
    <row r="443" spans="1:18" x14ac:dyDescent="0.25">
      <c r="A443">
        <f>IF(AND(B443="", D443&lt;&gt;""), A442, A442+1)</f>
        <v>437</v>
      </c>
      <c r="R443" t="b">
        <f>AND(ISNUMBER(FIND($E443,Tables!$I$2)), ISNUMBER(FIND($D443,Tables!$J$2)), $E443&lt;&gt;"")</f>
        <v>0</v>
      </c>
    </row>
    <row r="444" spans="1:18" x14ac:dyDescent="0.25">
      <c r="A444">
        <f>IF(AND(B444="", D444&lt;&gt;""), A443, A443+1)</f>
        <v>438</v>
      </c>
      <c r="R444" t="b">
        <f>AND(ISNUMBER(FIND($E444,Tables!$I$2)), ISNUMBER(FIND($D444,Tables!$J$2)), $E444&lt;&gt;"")</f>
        <v>0</v>
      </c>
    </row>
    <row r="445" spans="1:18" x14ac:dyDescent="0.25">
      <c r="A445">
        <f>IF(AND(B445="", D445&lt;&gt;""), A444, A444+1)</f>
        <v>439</v>
      </c>
      <c r="R445" t="b">
        <f>AND(ISNUMBER(FIND($E445,Tables!$I$2)), ISNUMBER(FIND($D445,Tables!$J$2)), $E445&lt;&gt;"")</f>
        <v>0</v>
      </c>
    </row>
    <row r="446" spans="1:18" x14ac:dyDescent="0.25">
      <c r="A446">
        <f>IF(AND(B446="", D446&lt;&gt;""), A445, A445+1)</f>
        <v>440</v>
      </c>
      <c r="R446" t="b">
        <f>AND(ISNUMBER(FIND($E446,Tables!$I$2)), ISNUMBER(FIND($D446,Tables!$J$2)), $E446&lt;&gt;"")</f>
        <v>0</v>
      </c>
    </row>
    <row r="447" spans="1:18" x14ac:dyDescent="0.25">
      <c r="A447">
        <f>IF(AND(B447="", D447&lt;&gt;""), A446, A446+1)</f>
        <v>441</v>
      </c>
      <c r="R447" t="b">
        <f>AND(ISNUMBER(FIND($E447,Tables!$I$2)), ISNUMBER(FIND($D447,Tables!$J$2)), $E447&lt;&gt;"")</f>
        <v>0</v>
      </c>
    </row>
    <row r="448" spans="1:18" x14ac:dyDescent="0.25">
      <c r="A448">
        <f>IF(AND(B448="", D448&lt;&gt;""), A447, A447+1)</f>
        <v>442</v>
      </c>
      <c r="R448" t="b">
        <f>AND(ISNUMBER(FIND($E448,Tables!$I$2)), ISNUMBER(FIND($D448,Tables!$J$2)), $E448&lt;&gt;"")</f>
        <v>0</v>
      </c>
    </row>
    <row r="449" spans="1:18" x14ac:dyDescent="0.25">
      <c r="A449">
        <f>IF(AND(B449="", D449&lt;&gt;""), A448, A448+1)</f>
        <v>443</v>
      </c>
      <c r="R449" t="b">
        <f>AND(ISNUMBER(FIND($E449,Tables!$I$2)), ISNUMBER(FIND($D449,Tables!$J$2)), $E449&lt;&gt;"")</f>
        <v>0</v>
      </c>
    </row>
    <row r="450" spans="1:18" x14ac:dyDescent="0.25">
      <c r="A450">
        <f>IF(AND(B450="", D450&lt;&gt;""), A449, A449+1)</f>
        <v>444</v>
      </c>
      <c r="R450" t="b">
        <f>AND(ISNUMBER(FIND($E450,Tables!$I$2)), ISNUMBER(FIND($D450,Tables!$J$2)), $E450&lt;&gt;"")</f>
        <v>0</v>
      </c>
    </row>
    <row r="451" spans="1:18" x14ac:dyDescent="0.25">
      <c r="A451">
        <f>IF(AND(B451="", D451&lt;&gt;""), A450, A450+1)</f>
        <v>445</v>
      </c>
      <c r="R451" t="b">
        <f>AND(ISNUMBER(FIND($E451,Tables!$I$2)), ISNUMBER(FIND($D451,Tables!$J$2)), $E451&lt;&gt;"")</f>
        <v>0</v>
      </c>
    </row>
    <row r="452" spans="1:18" x14ac:dyDescent="0.25">
      <c r="A452">
        <f>IF(AND(B452="", D452&lt;&gt;""), A451, A451+1)</f>
        <v>446</v>
      </c>
      <c r="R452" t="b">
        <f>AND(ISNUMBER(FIND($E452,Tables!$I$2)), ISNUMBER(FIND($D452,Tables!$J$2)), $E452&lt;&gt;"")</f>
        <v>0</v>
      </c>
    </row>
    <row r="453" spans="1:18" x14ac:dyDescent="0.25">
      <c r="A453">
        <f>IF(AND(B453="", D453&lt;&gt;""), A452, A452+1)</f>
        <v>447</v>
      </c>
      <c r="R453" t="b">
        <f>AND(ISNUMBER(FIND($E453,Tables!$I$2)), ISNUMBER(FIND($D453,Tables!$J$2)), $E453&lt;&gt;"")</f>
        <v>0</v>
      </c>
    </row>
    <row r="454" spans="1:18" x14ac:dyDescent="0.25">
      <c r="A454">
        <f>IF(AND(B454="", D454&lt;&gt;""), A453, A453+1)</f>
        <v>448</v>
      </c>
      <c r="R454" t="b">
        <f>AND(ISNUMBER(FIND($E454,Tables!$I$2)), ISNUMBER(FIND($D454,Tables!$J$2)), $E454&lt;&gt;"")</f>
        <v>0</v>
      </c>
    </row>
    <row r="455" spans="1:18" x14ac:dyDescent="0.25">
      <c r="A455">
        <f>IF(AND(B455="", D455&lt;&gt;""), A454, A454+1)</f>
        <v>449</v>
      </c>
      <c r="R455" t="b">
        <f>AND(ISNUMBER(FIND($E455,Tables!$I$2)), ISNUMBER(FIND($D455,Tables!$J$2)), $E455&lt;&gt;"")</f>
        <v>0</v>
      </c>
    </row>
    <row r="456" spans="1:18" x14ac:dyDescent="0.25">
      <c r="A456">
        <f>IF(AND(B456="", D456&lt;&gt;""), A455, A455+1)</f>
        <v>450</v>
      </c>
      <c r="R456" t="b">
        <f>AND(ISNUMBER(FIND($E456,Tables!$I$2)), ISNUMBER(FIND($D456,Tables!$J$2)), $E456&lt;&gt;"")</f>
        <v>0</v>
      </c>
    </row>
    <row r="457" spans="1:18" x14ac:dyDescent="0.25">
      <c r="A457">
        <f>IF(AND(B457="", D457&lt;&gt;""), A456, A456+1)</f>
        <v>451</v>
      </c>
      <c r="R457" t="b">
        <f>AND(ISNUMBER(FIND($E457,Tables!$I$2)), ISNUMBER(FIND($D457,Tables!$J$2)), $E457&lt;&gt;"")</f>
        <v>0</v>
      </c>
    </row>
    <row r="458" spans="1:18" x14ac:dyDescent="0.25">
      <c r="A458">
        <f>IF(AND(B458="", D458&lt;&gt;""), A457, A457+1)</f>
        <v>452</v>
      </c>
      <c r="R458" t="b">
        <f>AND(ISNUMBER(FIND($E458,Tables!$I$2)), ISNUMBER(FIND($D458,Tables!$J$2)), $E458&lt;&gt;"")</f>
        <v>0</v>
      </c>
    </row>
    <row r="459" spans="1:18" x14ac:dyDescent="0.25">
      <c r="A459">
        <f>IF(AND(B459="", D459&lt;&gt;""), A458, A458+1)</f>
        <v>453</v>
      </c>
      <c r="R459" t="b">
        <f>AND(ISNUMBER(FIND($E459,Tables!$I$2)), ISNUMBER(FIND($D459,Tables!$J$2)), $E459&lt;&gt;"")</f>
        <v>0</v>
      </c>
    </row>
    <row r="460" spans="1:18" x14ac:dyDescent="0.25">
      <c r="A460">
        <f>IF(AND(B460="", D460&lt;&gt;""), A459, A459+1)</f>
        <v>454</v>
      </c>
      <c r="R460" t="b">
        <f>AND(ISNUMBER(FIND($E460,Tables!$I$2)), ISNUMBER(FIND($D460,Tables!$J$2)), $E460&lt;&gt;"")</f>
        <v>0</v>
      </c>
    </row>
    <row r="461" spans="1:18" x14ac:dyDescent="0.25">
      <c r="A461">
        <f>IF(AND(B461="", D461&lt;&gt;""), A460, A460+1)</f>
        <v>455</v>
      </c>
      <c r="R461" t="b">
        <f>AND(ISNUMBER(FIND($E461,Tables!$I$2)), ISNUMBER(FIND($D461,Tables!$J$2)), $E461&lt;&gt;"")</f>
        <v>0</v>
      </c>
    </row>
    <row r="462" spans="1:18" x14ac:dyDescent="0.25">
      <c r="A462">
        <f>IF(AND(B462="", D462&lt;&gt;""), A461, A461+1)</f>
        <v>456</v>
      </c>
      <c r="R462" t="b">
        <f>AND(ISNUMBER(FIND($E462,Tables!$I$2)), ISNUMBER(FIND($D462,Tables!$J$2)), $E462&lt;&gt;"")</f>
        <v>0</v>
      </c>
    </row>
    <row r="463" spans="1:18" x14ac:dyDescent="0.25">
      <c r="A463">
        <f>IF(AND(B463="", D463&lt;&gt;""), A462, A462+1)</f>
        <v>457</v>
      </c>
      <c r="R463" t="b">
        <f>AND(ISNUMBER(FIND($E463,Tables!$I$2)), ISNUMBER(FIND($D463,Tables!$J$2)), $E463&lt;&gt;"")</f>
        <v>0</v>
      </c>
    </row>
    <row r="464" spans="1:18" x14ac:dyDescent="0.25">
      <c r="A464">
        <f>IF(AND(B464="", D464&lt;&gt;""), A463, A463+1)</f>
        <v>458</v>
      </c>
      <c r="R464" t="b">
        <f>AND(ISNUMBER(FIND($E464,Tables!$I$2)), ISNUMBER(FIND($D464,Tables!$J$2)), $E464&lt;&gt;"")</f>
        <v>0</v>
      </c>
    </row>
    <row r="465" spans="1:18" x14ac:dyDescent="0.25">
      <c r="A465">
        <f>IF(AND(B465="", D465&lt;&gt;""), A464, A464+1)</f>
        <v>459</v>
      </c>
      <c r="R465" t="b">
        <f>AND(ISNUMBER(FIND($E465,Tables!$I$2)), ISNUMBER(FIND($D465,Tables!$J$2)), $E465&lt;&gt;"")</f>
        <v>0</v>
      </c>
    </row>
    <row r="466" spans="1:18" x14ac:dyDescent="0.25">
      <c r="A466">
        <f>IF(AND(B466="", D466&lt;&gt;""), A465, A465+1)</f>
        <v>460</v>
      </c>
      <c r="R466" t="b">
        <f>AND(ISNUMBER(FIND($E466,Tables!$I$2)), ISNUMBER(FIND($D466,Tables!$J$2)), $E466&lt;&gt;"")</f>
        <v>0</v>
      </c>
    </row>
    <row r="467" spans="1:18" x14ac:dyDescent="0.25">
      <c r="A467">
        <f>IF(AND(B467="", D467&lt;&gt;""), A466, A466+1)</f>
        <v>461</v>
      </c>
      <c r="R467" t="b">
        <f>AND(ISNUMBER(FIND($E467,Tables!$I$2)), ISNUMBER(FIND($D467,Tables!$J$2)), $E467&lt;&gt;"")</f>
        <v>0</v>
      </c>
    </row>
    <row r="468" spans="1:18" x14ac:dyDescent="0.25">
      <c r="A468">
        <f>IF(AND(B468="", D468&lt;&gt;""), A467, A467+1)</f>
        <v>462</v>
      </c>
      <c r="R468" t="b">
        <f>AND(ISNUMBER(FIND($E468,Tables!$I$2)), ISNUMBER(FIND($D468,Tables!$J$2)), $E468&lt;&gt;"")</f>
        <v>0</v>
      </c>
    </row>
    <row r="469" spans="1:18" x14ac:dyDescent="0.25">
      <c r="A469">
        <f>IF(AND(B469="", D469&lt;&gt;""), A468, A468+1)</f>
        <v>463</v>
      </c>
      <c r="R469" t="b">
        <f>AND(ISNUMBER(FIND($E469,Tables!$I$2)), ISNUMBER(FIND($D469,Tables!$J$2)), $E469&lt;&gt;"")</f>
        <v>0</v>
      </c>
    </row>
    <row r="470" spans="1:18" x14ac:dyDescent="0.25">
      <c r="A470">
        <f>IF(AND(B470="", D470&lt;&gt;""), A469, A469+1)</f>
        <v>464</v>
      </c>
      <c r="R470" t="b">
        <f>AND(ISNUMBER(FIND($E470,Tables!$I$2)), ISNUMBER(FIND($D470,Tables!$J$2)), $E470&lt;&gt;"")</f>
        <v>0</v>
      </c>
    </row>
    <row r="471" spans="1:18" x14ac:dyDescent="0.25">
      <c r="A471">
        <f>IF(AND(B471="", D471&lt;&gt;""), A470, A470+1)</f>
        <v>465</v>
      </c>
      <c r="R471" t="b">
        <f>AND(ISNUMBER(FIND($E471,Tables!$I$2)), ISNUMBER(FIND($D471,Tables!$J$2)), $E471&lt;&gt;"")</f>
        <v>0</v>
      </c>
    </row>
    <row r="472" spans="1:18" x14ac:dyDescent="0.25">
      <c r="A472">
        <f>IF(AND(B472="", D472&lt;&gt;""), A471, A471+1)</f>
        <v>466</v>
      </c>
      <c r="R472" t="b">
        <f>AND(ISNUMBER(FIND($E472,Tables!$I$2)), ISNUMBER(FIND($D472,Tables!$J$2)), $E472&lt;&gt;"")</f>
        <v>0</v>
      </c>
    </row>
    <row r="473" spans="1:18" x14ac:dyDescent="0.25">
      <c r="A473">
        <f>IF(AND(B473="", D473&lt;&gt;""), A472, A472+1)</f>
        <v>467</v>
      </c>
      <c r="R473" t="b">
        <f>AND(ISNUMBER(FIND($E473,Tables!$I$2)), ISNUMBER(FIND($D473,Tables!$J$2)), $E473&lt;&gt;"")</f>
        <v>0</v>
      </c>
    </row>
    <row r="474" spans="1:18" x14ac:dyDescent="0.25">
      <c r="A474">
        <f>IF(AND(B474="", D474&lt;&gt;""), A473, A473+1)</f>
        <v>468</v>
      </c>
      <c r="R474" t="b">
        <f>AND(ISNUMBER(FIND($E474,Tables!$I$2)), ISNUMBER(FIND($D474,Tables!$J$2)), $E474&lt;&gt;"")</f>
        <v>0</v>
      </c>
    </row>
    <row r="475" spans="1:18" x14ac:dyDescent="0.25">
      <c r="A475">
        <f>IF(AND(B475="", D475&lt;&gt;""), A474, A474+1)</f>
        <v>469</v>
      </c>
      <c r="R475" t="b">
        <f>AND(ISNUMBER(FIND($E475,Tables!$I$2)), ISNUMBER(FIND($D475,Tables!$J$2)), $E475&lt;&gt;"")</f>
        <v>0</v>
      </c>
    </row>
    <row r="476" spans="1:18" x14ac:dyDescent="0.25">
      <c r="A476">
        <f>IF(AND(B476="", D476&lt;&gt;""), A475, A475+1)</f>
        <v>470</v>
      </c>
      <c r="R476" t="b">
        <f>AND(ISNUMBER(FIND($E476,Tables!$I$2)), ISNUMBER(FIND($D476,Tables!$J$2)), $E476&lt;&gt;"")</f>
        <v>0</v>
      </c>
    </row>
    <row r="477" spans="1:18" x14ac:dyDescent="0.25">
      <c r="A477">
        <f>IF(AND(B477="", D477&lt;&gt;""), A476, A476+1)</f>
        <v>471</v>
      </c>
      <c r="R477" t="b">
        <f>AND(ISNUMBER(FIND($E477,Tables!$I$2)), ISNUMBER(FIND($D477,Tables!$J$2)), $E477&lt;&gt;"")</f>
        <v>0</v>
      </c>
    </row>
    <row r="478" spans="1:18" x14ac:dyDescent="0.25">
      <c r="A478">
        <f>IF(AND(B478="", D478&lt;&gt;""), A477, A477+1)</f>
        <v>472</v>
      </c>
      <c r="R478" t="b">
        <f>AND(ISNUMBER(FIND($E478,Tables!$I$2)), ISNUMBER(FIND($D478,Tables!$J$2)), $E478&lt;&gt;"")</f>
        <v>0</v>
      </c>
    </row>
    <row r="479" spans="1:18" x14ac:dyDescent="0.25">
      <c r="A479">
        <f>IF(AND(B479="", D479&lt;&gt;""), A478, A478+1)</f>
        <v>473</v>
      </c>
      <c r="R479" t="b">
        <f>AND(ISNUMBER(FIND($E479,Tables!$I$2)), ISNUMBER(FIND($D479,Tables!$J$2)), $E479&lt;&gt;"")</f>
        <v>0</v>
      </c>
    </row>
    <row r="480" spans="1:18" x14ac:dyDescent="0.25">
      <c r="A480">
        <f>IF(AND(B480="", D480&lt;&gt;""), A479, A479+1)</f>
        <v>474</v>
      </c>
      <c r="R480" t="b">
        <f>AND(ISNUMBER(FIND($E480,Tables!$I$2)), ISNUMBER(FIND($D480,Tables!$J$2)), $E480&lt;&gt;"")</f>
        <v>0</v>
      </c>
    </row>
    <row r="481" spans="1:18" x14ac:dyDescent="0.25">
      <c r="A481">
        <f>IF(AND(B481="", D481&lt;&gt;""), A480, A480+1)</f>
        <v>475</v>
      </c>
      <c r="R481" t="b">
        <f>AND(ISNUMBER(FIND($E481,Tables!$I$2)), ISNUMBER(FIND($D481,Tables!$J$2)), $E481&lt;&gt;"")</f>
        <v>0</v>
      </c>
    </row>
    <row r="482" spans="1:18" x14ac:dyDescent="0.25">
      <c r="A482">
        <f>IF(AND(B482="", D482&lt;&gt;""), A481, A481+1)</f>
        <v>476</v>
      </c>
      <c r="R482" t="b">
        <f>AND(ISNUMBER(FIND($E482,Tables!$I$2)), ISNUMBER(FIND($D482,Tables!$J$2)), $E482&lt;&gt;"")</f>
        <v>0</v>
      </c>
    </row>
    <row r="483" spans="1:18" x14ac:dyDescent="0.25">
      <c r="A483">
        <f>IF(AND(B483="", D483&lt;&gt;""), A482, A482+1)</f>
        <v>477</v>
      </c>
      <c r="R483" t="b">
        <f>AND(ISNUMBER(FIND($E483,Tables!$I$2)), ISNUMBER(FIND($D483,Tables!$J$2)), $E483&lt;&gt;"")</f>
        <v>0</v>
      </c>
    </row>
    <row r="484" spans="1:18" x14ac:dyDescent="0.25">
      <c r="A484">
        <f>IF(AND(B484="", D484&lt;&gt;""), A483, A483+1)</f>
        <v>478</v>
      </c>
      <c r="R484" t="b">
        <f>AND(ISNUMBER(FIND($E484,Tables!$I$2)), ISNUMBER(FIND($D484,Tables!$J$2)), $E484&lt;&gt;"")</f>
        <v>0</v>
      </c>
    </row>
    <row r="485" spans="1:18" x14ac:dyDescent="0.25">
      <c r="A485">
        <f>IF(AND(B485="", D485&lt;&gt;""), A484, A484+1)</f>
        <v>479</v>
      </c>
      <c r="R485" t="b">
        <f>AND(ISNUMBER(FIND($E485,Tables!$I$2)), ISNUMBER(FIND($D485,Tables!$J$2)), $E485&lt;&gt;"")</f>
        <v>0</v>
      </c>
    </row>
    <row r="486" spans="1:18" x14ac:dyDescent="0.25">
      <c r="A486">
        <f>IF(AND(B486="", D486&lt;&gt;""), A485, A485+1)</f>
        <v>480</v>
      </c>
      <c r="R486" t="b">
        <f>AND(ISNUMBER(FIND($E486,Tables!$I$2)), ISNUMBER(FIND($D486,Tables!$J$2)), $E486&lt;&gt;"")</f>
        <v>0</v>
      </c>
    </row>
    <row r="487" spans="1:18" x14ac:dyDescent="0.25">
      <c r="A487">
        <f>IF(AND(B487="", D487&lt;&gt;""), A486, A486+1)</f>
        <v>481</v>
      </c>
      <c r="R487" t="b">
        <f>AND(ISNUMBER(FIND($E487,Tables!$I$2)), ISNUMBER(FIND($D487,Tables!$J$2)), $E487&lt;&gt;"")</f>
        <v>0</v>
      </c>
    </row>
    <row r="488" spans="1:18" x14ac:dyDescent="0.25">
      <c r="A488">
        <f>IF(AND(B488="", D488&lt;&gt;""), A487, A487+1)</f>
        <v>482</v>
      </c>
      <c r="R488" t="b">
        <f>AND(ISNUMBER(FIND($E488,Tables!$I$2)), ISNUMBER(FIND($D488,Tables!$J$2)), $E488&lt;&gt;"")</f>
        <v>0</v>
      </c>
    </row>
    <row r="489" spans="1:18" x14ac:dyDescent="0.25">
      <c r="A489">
        <f>IF(AND(B489="", D489&lt;&gt;""), A488, A488+1)</f>
        <v>483</v>
      </c>
      <c r="R489" t="b">
        <f>AND(ISNUMBER(FIND($E489,Tables!$I$2)), ISNUMBER(FIND($D489,Tables!$J$2)), $E489&lt;&gt;"")</f>
        <v>0</v>
      </c>
    </row>
    <row r="490" spans="1:18" x14ac:dyDescent="0.25">
      <c r="A490">
        <f>IF(AND(B490="", D490&lt;&gt;""), A489, A489+1)</f>
        <v>484</v>
      </c>
      <c r="R490" t="b">
        <f>AND(ISNUMBER(FIND($E490,Tables!$I$2)), ISNUMBER(FIND($D490,Tables!$J$2)), $E490&lt;&gt;"")</f>
        <v>0</v>
      </c>
    </row>
    <row r="491" spans="1:18" x14ac:dyDescent="0.25">
      <c r="A491">
        <f>IF(AND(B491="", D491&lt;&gt;""), A490, A490+1)</f>
        <v>485</v>
      </c>
      <c r="R491" t="b">
        <f>AND(ISNUMBER(FIND($E491,Tables!$I$2)), ISNUMBER(FIND($D491,Tables!$J$2)), $E491&lt;&gt;"")</f>
        <v>0</v>
      </c>
    </row>
    <row r="492" spans="1:18" x14ac:dyDescent="0.25">
      <c r="A492">
        <f>IF(AND(B492="", D492&lt;&gt;""), A491, A491+1)</f>
        <v>486</v>
      </c>
      <c r="R492" t="b">
        <f>AND(ISNUMBER(FIND($E492,Tables!$I$2)), ISNUMBER(FIND($D492,Tables!$J$2)), $E492&lt;&gt;"")</f>
        <v>0</v>
      </c>
    </row>
    <row r="493" spans="1:18" x14ac:dyDescent="0.25">
      <c r="A493">
        <f>IF(AND(B493="", D493&lt;&gt;""), A492, A492+1)</f>
        <v>487</v>
      </c>
      <c r="R493" t="b">
        <f>AND(ISNUMBER(FIND($E493,Tables!$I$2)), ISNUMBER(FIND($D493,Tables!$J$2)), $E493&lt;&gt;"")</f>
        <v>0</v>
      </c>
    </row>
    <row r="494" spans="1:18" x14ac:dyDescent="0.25">
      <c r="A494">
        <f>IF(AND(B494="", D494&lt;&gt;""), A493, A493+1)</f>
        <v>488</v>
      </c>
      <c r="R494" t="b">
        <f>AND(ISNUMBER(FIND($E494,Tables!$I$2)), ISNUMBER(FIND($D494,Tables!$J$2)), $E494&lt;&gt;"")</f>
        <v>0</v>
      </c>
    </row>
    <row r="495" spans="1:18" x14ac:dyDescent="0.25">
      <c r="A495">
        <f>IF(AND(B495="", D495&lt;&gt;""), A494, A494+1)</f>
        <v>489</v>
      </c>
      <c r="R495" t="b">
        <f>AND(ISNUMBER(FIND($E495,Tables!$I$2)), ISNUMBER(FIND($D495,Tables!$J$2)), $E495&lt;&gt;"")</f>
        <v>0</v>
      </c>
    </row>
    <row r="496" spans="1:18" x14ac:dyDescent="0.25">
      <c r="A496">
        <f>IF(AND(B496="", D496&lt;&gt;""), A495, A495+1)</f>
        <v>490</v>
      </c>
      <c r="R496" t="b">
        <f>AND(ISNUMBER(FIND($E496,Tables!$I$2)), ISNUMBER(FIND($D496,Tables!$J$2)), $E496&lt;&gt;"")</f>
        <v>0</v>
      </c>
    </row>
    <row r="497" spans="1:18" x14ac:dyDescent="0.25">
      <c r="A497">
        <f>IF(AND(B497="", D497&lt;&gt;""), A496, A496+1)</f>
        <v>491</v>
      </c>
      <c r="R497" t="b">
        <f>AND(ISNUMBER(FIND($E497,Tables!$I$2)), ISNUMBER(FIND($D497,Tables!$J$2)), $E497&lt;&gt;"")</f>
        <v>0</v>
      </c>
    </row>
    <row r="498" spans="1:18" x14ac:dyDescent="0.25">
      <c r="A498">
        <f>IF(AND(B498="", D498&lt;&gt;""), A497, A497+1)</f>
        <v>492</v>
      </c>
      <c r="R498" t="b">
        <f>AND(ISNUMBER(FIND($E498,Tables!$I$2)), ISNUMBER(FIND($D498,Tables!$J$2)), $E498&lt;&gt;"")</f>
        <v>0</v>
      </c>
    </row>
    <row r="499" spans="1:18" x14ac:dyDescent="0.25">
      <c r="A499">
        <f>IF(AND(B499="", D499&lt;&gt;""), A498, A498+1)</f>
        <v>493</v>
      </c>
      <c r="R499" t="b">
        <f>AND(ISNUMBER(FIND($E499,Tables!$I$2)), ISNUMBER(FIND($D499,Tables!$J$2)), $E499&lt;&gt;"")</f>
        <v>0</v>
      </c>
    </row>
    <row r="500" spans="1:18" x14ac:dyDescent="0.25">
      <c r="A500">
        <f>IF(AND(B500="", D500&lt;&gt;""), A499, A499+1)</f>
        <v>494</v>
      </c>
      <c r="R500" t="b">
        <f>AND(ISNUMBER(FIND($E500,Tables!$I$2)), ISNUMBER(FIND($D500,Tables!$J$2)), $E500&lt;&gt;"")</f>
        <v>0</v>
      </c>
    </row>
    <row r="501" spans="1:18" x14ac:dyDescent="0.25">
      <c r="A501">
        <f>IF(AND(B501="", D501&lt;&gt;""), A500, A500+1)</f>
        <v>495</v>
      </c>
      <c r="R501" t="b">
        <f>AND(ISNUMBER(FIND($E501,Tables!$I$2)), ISNUMBER(FIND($D501,Tables!$J$2)), $E501&lt;&gt;"")</f>
        <v>0</v>
      </c>
    </row>
    <row r="502" spans="1:18" x14ac:dyDescent="0.25">
      <c r="A502">
        <f>IF(AND(B502="", D502&lt;&gt;""), A501, A501+1)</f>
        <v>496</v>
      </c>
      <c r="R502" t="b">
        <f>AND(ISNUMBER(FIND($E502,Tables!$I$2)), ISNUMBER(FIND($D502,Tables!$J$2)), $E502&lt;&gt;"")</f>
        <v>0</v>
      </c>
    </row>
    <row r="503" spans="1:18" x14ac:dyDescent="0.25">
      <c r="A503">
        <f>IF(AND(B503="", D503&lt;&gt;""), A502, A502+1)</f>
        <v>497</v>
      </c>
      <c r="R503" t="b">
        <f>AND(ISNUMBER(FIND($E503,Tables!$I$2)), ISNUMBER(FIND($D503,Tables!$J$2)), $E503&lt;&gt;"")</f>
        <v>0</v>
      </c>
    </row>
    <row r="504" spans="1:18" x14ac:dyDescent="0.25">
      <c r="A504">
        <f>IF(AND(B504="", D504&lt;&gt;""), A503, A503+1)</f>
        <v>498</v>
      </c>
      <c r="R504" t="b">
        <f>AND(ISNUMBER(FIND($E504,Tables!$I$2)), ISNUMBER(FIND($D504,Tables!$J$2)), $E504&lt;&gt;"")</f>
        <v>0</v>
      </c>
    </row>
    <row r="505" spans="1:18" x14ac:dyDescent="0.25">
      <c r="A505">
        <f>IF(AND(B505="", D505&lt;&gt;""), A504, A504+1)</f>
        <v>499</v>
      </c>
      <c r="R505" t="b">
        <f>AND(ISNUMBER(FIND($E505,Tables!$I$2)), ISNUMBER(FIND($D505,Tables!$J$2)), $E505&lt;&gt;"")</f>
        <v>0</v>
      </c>
    </row>
    <row r="506" spans="1:18" x14ac:dyDescent="0.25">
      <c r="A506">
        <f>IF(AND(B506="", D506&lt;&gt;""), A505, A505+1)</f>
        <v>500</v>
      </c>
      <c r="R506" t="b">
        <f>AND(ISNUMBER(FIND($E506,Tables!$I$2)), ISNUMBER(FIND($D506,Tables!$J$2)), $E506&lt;&gt;"")</f>
        <v>0</v>
      </c>
    </row>
    <row r="507" spans="1:18" x14ac:dyDescent="0.25">
      <c r="A507">
        <f>IF(AND(B507="", D507&lt;&gt;""), A506, A506+1)</f>
        <v>501</v>
      </c>
      <c r="R507" t="b">
        <f>AND(ISNUMBER(FIND($E507,Tables!$I$2)), ISNUMBER(FIND($D507,Tables!$J$2)), $E507&lt;&gt;"")</f>
        <v>0</v>
      </c>
    </row>
    <row r="508" spans="1:18" x14ac:dyDescent="0.25">
      <c r="A508">
        <f>IF(AND(B508="", D508&lt;&gt;""), A507, A507+1)</f>
        <v>502</v>
      </c>
      <c r="R508" t="b">
        <f>AND(ISNUMBER(FIND($E508,Tables!$I$2)), ISNUMBER(FIND($D508,Tables!$J$2)), $E508&lt;&gt;"")</f>
        <v>0</v>
      </c>
    </row>
    <row r="509" spans="1:18" x14ac:dyDescent="0.25">
      <c r="A509">
        <f>IF(AND(B509="", D509&lt;&gt;""), A508, A508+1)</f>
        <v>503</v>
      </c>
      <c r="R509" t="b">
        <f>AND(ISNUMBER(FIND($E509,Tables!$I$2)), ISNUMBER(FIND($D509,Tables!$J$2)), $E509&lt;&gt;"")</f>
        <v>0</v>
      </c>
    </row>
    <row r="510" spans="1:18" x14ac:dyDescent="0.25">
      <c r="A510">
        <f>IF(AND(B510="", D510&lt;&gt;""), A509, A509+1)</f>
        <v>504</v>
      </c>
      <c r="R510" t="b">
        <f>AND(ISNUMBER(FIND($E510,Tables!$I$2)), ISNUMBER(FIND($D510,Tables!$J$2)), $E510&lt;&gt;"")</f>
        <v>0</v>
      </c>
    </row>
    <row r="511" spans="1:18" x14ac:dyDescent="0.25">
      <c r="A511">
        <f>IF(AND(B511="", D511&lt;&gt;""), A510, A510+1)</f>
        <v>505</v>
      </c>
      <c r="R511" t="b">
        <f>AND(ISNUMBER(FIND($E511,Tables!$I$2)), ISNUMBER(FIND($D511,Tables!$J$2)), $E511&lt;&gt;"")</f>
        <v>0</v>
      </c>
    </row>
    <row r="512" spans="1:18" x14ac:dyDescent="0.25">
      <c r="A512">
        <f>IF(AND(B512="", D512&lt;&gt;""), A511, A511+1)</f>
        <v>506</v>
      </c>
      <c r="R512" t="b">
        <f>AND(ISNUMBER(FIND($E512,Tables!$I$2)), ISNUMBER(FIND($D512,Tables!$J$2)), $E512&lt;&gt;"")</f>
        <v>0</v>
      </c>
    </row>
    <row r="513" spans="1:18" x14ac:dyDescent="0.25">
      <c r="A513">
        <f>IF(AND(B513="", D513&lt;&gt;""), A512, A512+1)</f>
        <v>507</v>
      </c>
      <c r="R513" t="b">
        <f>AND(ISNUMBER(FIND($E513,Tables!$I$2)), ISNUMBER(FIND($D513,Tables!$J$2)), $E513&lt;&gt;"")</f>
        <v>0</v>
      </c>
    </row>
    <row r="514" spans="1:18" x14ac:dyDescent="0.25">
      <c r="A514">
        <f>IF(AND(B514="", D514&lt;&gt;""), A513, A513+1)</f>
        <v>508</v>
      </c>
      <c r="R514" t="b">
        <f>AND(ISNUMBER(FIND($E514,Tables!$I$2)), ISNUMBER(FIND($D514,Tables!$J$2)), $E514&lt;&gt;"")</f>
        <v>0</v>
      </c>
    </row>
    <row r="515" spans="1:18" x14ac:dyDescent="0.25">
      <c r="A515">
        <f>IF(AND(B515="", D515&lt;&gt;""), A514, A514+1)</f>
        <v>509</v>
      </c>
      <c r="R515" t="b">
        <f>AND(ISNUMBER(FIND($E515,Tables!$I$2)), ISNUMBER(FIND($D515,Tables!$J$2)), $E515&lt;&gt;"")</f>
        <v>0</v>
      </c>
    </row>
    <row r="516" spans="1:18" x14ac:dyDescent="0.25">
      <c r="A516">
        <f>IF(AND(B516="", D516&lt;&gt;""), A515, A515+1)</f>
        <v>510</v>
      </c>
      <c r="R516" t="b">
        <f>AND(ISNUMBER(FIND($E516,Tables!$I$2)), ISNUMBER(FIND($D516,Tables!$J$2)), $E516&lt;&gt;"")</f>
        <v>0</v>
      </c>
    </row>
    <row r="517" spans="1:18" x14ac:dyDescent="0.25">
      <c r="A517">
        <f>IF(AND(B517="", D517&lt;&gt;""), A516, A516+1)</f>
        <v>511</v>
      </c>
      <c r="R517" t="b">
        <f>AND(ISNUMBER(FIND($E517,Tables!$I$2)), ISNUMBER(FIND($D517,Tables!$J$2)), $E517&lt;&gt;"")</f>
        <v>0</v>
      </c>
    </row>
    <row r="518" spans="1:18" x14ac:dyDescent="0.25">
      <c r="A518">
        <f>IF(AND(B518="", D518&lt;&gt;""), A517, A517+1)</f>
        <v>512</v>
      </c>
      <c r="R518" t="b">
        <f>AND(ISNUMBER(FIND($E518,Tables!$I$2)), ISNUMBER(FIND($D518,Tables!$J$2)), $E518&lt;&gt;"")</f>
        <v>0</v>
      </c>
    </row>
    <row r="519" spans="1:18" x14ac:dyDescent="0.25">
      <c r="A519">
        <f>IF(AND(B519="", D519&lt;&gt;""), A518, A518+1)</f>
        <v>513</v>
      </c>
      <c r="R519" t="b">
        <f>AND(ISNUMBER(FIND($E519,Tables!$I$2)), ISNUMBER(FIND($D519,Tables!$J$2)), $E519&lt;&gt;"")</f>
        <v>0</v>
      </c>
    </row>
    <row r="520" spans="1:18" x14ac:dyDescent="0.25">
      <c r="A520">
        <f>IF(AND(B520="", D520&lt;&gt;""), A519, A519+1)</f>
        <v>514</v>
      </c>
      <c r="R520" t="b">
        <f>AND(ISNUMBER(FIND($E520,Tables!$I$2)), ISNUMBER(FIND($D520,Tables!$J$2)), $E520&lt;&gt;"")</f>
        <v>0</v>
      </c>
    </row>
    <row r="521" spans="1:18" x14ac:dyDescent="0.25">
      <c r="A521">
        <f>IF(AND(B521="", D521&lt;&gt;""), A520, A520+1)</f>
        <v>515</v>
      </c>
      <c r="R521" t="b">
        <f>AND(ISNUMBER(FIND($E521,Tables!$I$2)), ISNUMBER(FIND($D521,Tables!$J$2)), $E521&lt;&gt;"")</f>
        <v>0</v>
      </c>
    </row>
    <row r="522" spans="1:18" x14ac:dyDescent="0.25">
      <c r="A522">
        <f>IF(AND(B522="", D522&lt;&gt;""), A521, A521+1)</f>
        <v>516</v>
      </c>
      <c r="R522" t="b">
        <f>AND(ISNUMBER(FIND($E522,Tables!$I$2)), ISNUMBER(FIND($D522,Tables!$J$2)), $E522&lt;&gt;"")</f>
        <v>0</v>
      </c>
    </row>
    <row r="523" spans="1:18" x14ac:dyDescent="0.25">
      <c r="A523">
        <f>IF(AND(B523="", D523&lt;&gt;""), A522, A522+1)</f>
        <v>517</v>
      </c>
      <c r="R523" t="b">
        <f>AND(ISNUMBER(FIND($E523,Tables!$I$2)), ISNUMBER(FIND($D523,Tables!$J$2)), $E523&lt;&gt;"")</f>
        <v>0</v>
      </c>
    </row>
    <row r="524" spans="1:18" x14ac:dyDescent="0.25">
      <c r="A524">
        <f>IF(AND(B524="", D524&lt;&gt;""), A523, A523+1)</f>
        <v>518</v>
      </c>
      <c r="R524" t="b">
        <f>AND(ISNUMBER(FIND($E524,Tables!$I$2)), ISNUMBER(FIND($D524,Tables!$J$2)), $E524&lt;&gt;"")</f>
        <v>0</v>
      </c>
    </row>
    <row r="525" spans="1:18" x14ac:dyDescent="0.25">
      <c r="A525">
        <f>IF(AND(B525="", D525&lt;&gt;""), A524, A524+1)</f>
        <v>519</v>
      </c>
      <c r="R525" t="b">
        <f>AND(ISNUMBER(FIND($E525,Tables!$I$2)), ISNUMBER(FIND($D525,Tables!$J$2)), $E525&lt;&gt;"")</f>
        <v>0</v>
      </c>
    </row>
    <row r="526" spans="1:18" x14ac:dyDescent="0.25">
      <c r="A526">
        <f>IF(AND(B526="", D526&lt;&gt;""), A525, A525+1)</f>
        <v>520</v>
      </c>
      <c r="R526" t="b">
        <f>AND(ISNUMBER(FIND($E526,Tables!$I$2)), ISNUMBER(FIND($D526,Tables!$J$2)), $E526&lt;&gt;"")</f>
        <v>0</v>
      </c>
    </row>
    <row r="527" spans="1:18" x14ac:dyDescent="0.25">
      <c r="A527">
        <f>IF(AND(B527="", D527&lt;&gt;""), A526, A526+1)</f>
        <v>521</v>
      </c>
      <c r="R527" t="b">
        <f>AND(ISNUMBER(FIND($E527,Tables!$I$2)), ISNUMBER(FIND($D527,Tables!$J$2)), $E527&lt;&gt;"")</f>
        <v>0</v>
      </c>
    </row>
    <row r="528" spans="1:18" x14ac:dyDescent="0.25">
      <c r="A528">
        <f>IF(AND(B528="", D528&lt;&gt;""), A527, A527+1)</f>
        <v>522</v>
      </c>
      <c r="R528" t="b">
        <f>AND(ISNUMBER(FIND($E528,Tables!$I$2)), ISNUMBER(FIND($D528,Tables!$J$2)), $E528&lt;&gt;"")</f>
        <v>0</v>
      </c>
    </row>
    <row r="529" spans="1:18" x14ac:dyDescent="0.25">
      <c r="A529">
        <f>IF(AND(B529="", D529&lt;&gt;""), A528, A528+1)</f>
        <v>523</v>
      </c>
      <c r="R529" t="b">
        <f>AND(ISNUMBER(FIND($E529,Tables!$I$2)), ISNUMBER(FIND($D529,Tables!$J$2)), $E529&lt;&gt;"")</f>
        <v>0</v>
      </c>
    </row>
    <row r="530" spans="1:18" x14ac:dyDescent="0.25">
      <c r="A530">
        <f>IF(AND(B530="", D530&lt;&gt;""), A529, A529+1)</f>
        <v>524</v>
      </c>
      <c r="R530" t="b">
        <f>AND(ISNUMBER(FIND($E530,Tables!$I$2)), ISNUMBER(FIND($D530,Tables!$J$2)), $E530&lt;&gt;"")</f>
        <v>0</v>
      </c>
    </row>
    <row r="531" spans="1:18" x14ac:dyDescent="0.25">
      <c r="A531">
        <f>IF(AND(B531="", D531&lt;&gt;""), A530, A530+1)</f>
        <v>525</v>
      </c>
      <c r="R531" t="b">
        <f>AND(ISNUMBER(FIND($E531,Tables!$I$2)), ISNUMBER(FIND($D531,Tables!$J$2)), $E531&lt;&gt;"")</f>
        <v>0</v>
      </c>
    </row>
    <row r="532" spans="1:18" x14ac:dyDescent="0.25">
      <c r="A532">
        <f>IF(AND(B532="", D532&lt;&gt;""), A531, A531+1)</f>
        <v>526</v>
      </c>
      <c r="R532" t="b">
        <f>AND(ISNUMBER(FIND($E532,Tables!$I$2)), ISNUMBER(FIND($D532,Tables!$J$2)), $E532&lt;&gt;"")</f>
        <v>0</v>
      </c>
    </row>
    <row r="533" spans="1:18" x14ac:dyDescent="0.25">
      <c r="A533">
        <f>IF(AND(B533="", D533&lt;&gt;""), A532, A532+1)</f>
        <v>527</v>
      </c>
      <c r="R533" t="b">
        <f>AND(ISNUMBER(FIND($E533,Tables!$I$2)), ISNUMBER(FIND($D533,Tables!$J$2)), $E533&lt;&gt;"")</f>
        <v>0</v>
      </c>
    </row>
    <row r="534" spans="1:18" x14ac:dyDescent="0.25">
      <c r="A534">
        <f>IF(AND(B534="", D534&lt;&gt;""), A533, A533+1)</f>
        <v>528</v>
      </c>
      <c r="R534" t="b">
        <f>AND(ISNUMBER(FIND($E534,Tables!$I$2)), ISNUMBER(FIND($D534,Tables!$J$2)), $E534&lt;&gt;"")</f>
        <v>0</v>
      </c>
    </row>
    <row r="535" spans="1:18" x14ac:dyDescent="0.25">
      <c r="A535">
        <f>IF(AND(B535="", D535&lt;&gt;""), A534, A534+1)</f>
        <v>529</v>
      </c>
      <c r="R535" t="b">
        <f>AND(ISNUMBER(FIND($E535,Tables!$I$2)), ISNUMBER(FIND($D535,Tables!$J$2)), $E535&lt;&gt;"")</f>
        <v>0</v>
      </c>
    </row>
    <row r="536" spans="1:18" x14ac:dyDescent="0.25">
      <c r="A536">
        <f>IF(AND(B536="", D536&lt;&gt;""), A535, A535+1)</f>
        <v>530</v>
      </c>
      <c r="R536" t="b">
        <f>AND(ISNUMBER(FIND($E536,Tables!$I$2)), ISNUMBER(FIND($D536,Tables!$J$2)), $E536&lt;&gt;"")</f>
        <v>0</v>
      </c>
    </row>
    <row r="537" spans="1:18" x14ac:dyDescent="0.25">
      <c r="A537">
        <f>IF(AND(B537="", D537&lt;&gt;""), A536, A536+1)</f>
        <v>531</v>
      </c>
      <c r="R537" t="b">
        <f>AND(ISNUMBER(FIND($E537,Tables!$I$2)), ISNUMBER(FIND($D537,Tables!$J$2)), $E537&lt;&gt;"")</f>
        <v>0</v>
      </c>
    </row>
    <row r="538" spans="1:18" x14ac:dyDescent="0.25">
      <c r="A538">
        <f>IF(AND(B538="", D538&lt;&gt;""), A537, A537+1)</f>
        <v>532</v>
      </c>
      <c r="R538" t="b">
        <f>AND(ISNUMBER(FIND($E538,Tables!$I$2)), ISNUMBER(FIND($D538,Tables!$J$2)), $E538&lt;&gt;"")</f>
        <v>0</v>
      </c>
    </row>
    <row r="539" spans="1:18" x14ac:dyDescent="0.25">
      <c r="A539">
        <f>IF(AND(B539="", D539&lt;&gt;""), A538, A538+1)</f>
        <v>533</v>
      </c>
      <c r="R539" t="b">
        <f>AND(ISNUMBER(FIND($E539,Tables!$I$2)), ISNUMBER(FIND($D539,Tables!$J$2)), $E539&lt;&gt;"")</f>
        <v>0</v>
      </c>
    </row>
    <row r="540" spans="1:18" x14ac:dyDescent="0.25">
      <c r="A540">
        <f>IF(AND(B540="", D540&lt;&gt;""), A539, A539+1)</f>
        <v>534</v>
      </c>
      <c r="R540" t="b">
        <f>AND(ISNUMBER(FIND($E540,Tables!$I$2)), ISNUMBER(FIND($D540,Tables!$J$2)), $E540&lt;&gt;"")</f>
        <v>0</v>
      </c>
    </row>
    <row r="541" spans="1:18" x14ac:dyDescent="0.25">
      <c r="A541">
        <f>IF(AND(B541="", D541&lt;&gt;""), A540, A540+1)</f>
        <v>535</v>
      </c>
      <c r="R541" t="b">
        <f>AND(ISNUMBER(FIND($E541,Tables!$I$2)), ISNUMBER(FIND($D541,Tables!$J$2)), $E541&lt;&gt;"")</f>
        <v>0</v>
      </c>
    </row>
    <row r="542" spans="1:18" x14ac:dyDescent="0.25">
      <c r="A542">
        <f>IF(AND(B542="", D542&lt;&gt;""), A541, A541+1)</f>
        <v>536</v>
      </c>
      <c r="R542" t="b">
        <f>AND(ISNUMBER(FIND($E542,Tables!$I$2)), ISNUMBER(FIND($D542,Tables!$J$2)), $E542&lt;&gt;"")</f>
        <v>0</v>
      </c>
    </row>
    <row r="543" spans="1:18" x14ac:dyDescent="0.25">
      <c r="A543">
        <f>IF(AND(B543="", D543&lt;&gt;""), A542, A542+1)</f>
        <v>537</v>
      </c>
      <c r="R543" t="b">
        <f>AND(ISNUMBER(FIND($E543,Tables!$I$2)), ISNUMBER(FIND($D543,Tables!$J$2)), $E543&lt;&gt;"")</f>
        <v>0</v>
      </c>
    </row>
    <row r="544" spans="1:18" x14ac:dyDescent="0.25">
      <c r="A544">
        <f>IF(AND(B544="", D544&lt;&gt;""), A543, A543+1)</f>
        <v>538</v>
      </c>
      <c r="R544" t="b">
        <f>AND(ISNUMBER(FIND($E544,Tables!$I$2)), ISNUMBER(FIND($D544,Tables!$J$2)), $E544&lt;&gt;"")</f>
        <v>0</v>
      </c>
    </row>
    <row r="545" spans="1:18" x14ac:dyDescent="0.25">
      <c r="A545">
        <f>IF(AND(B545="", D545&lt;&gt;""), A544, A544+1)</f>
        <v>539</v>
      </c>
      <c r="R545" t="b">
        <f>AND(ISNUMBER(FIND($E545,Tables!$I$2)), ISNUMBER(FIND($D545,Tables!$J$2)), $E545&lt;&gt;"")</f>
        <v>0</v>
      </c>
    </row>
    <row r="546" spans="1:18" x14ac:dyDescent="0.25">
      <c r="A546">
        <f>IF(AND(B546="", D546&lt;&gt;""), A545, A545+1)</f>
        <v>540</v>
      </c>
      <c r="R546" t="b">
        <f>AND(ISNUMBER(FIND($E546,Tables!$I$2)), ISNUMBER(FIND($D546,Tables!$J$2)), $E546&lt;&gt;"")</f>
        <v>0</v>
      </c>
    </row>
    <row r="547" spans="1:18" x14ac:dyDescent="0.25">
      <c r="A547">
        <f>IF(AND(B547="", D547&lt;&gt;""), A546, A546+1)</f>
        <v>541</v>
      </c>
      <c r="R547" t="b">
        <f>AND(ISNUMBER(FIND($E547,Tables!$I$2)), ISNUMBER(FIND($D547,Tables!$J$2)), $E547&lt;&gt;"")</f>
        <v>0</v>
      </c>
    </row>
    <row r="548" spans="1:18" x14ac:dyDescent="0.25">
      <c r="A548">
        <f>IF(AND(B548="", D548&lt;&gt;""), A547, A547+1)</f>
        <v>542</v>
      </c>
      <c r="R548" t="b">
        <f>AND(ISNUMBER(FIND($E548,Tables!$I$2)), ISNUMBER(FIND($D548,Tables!$J$2)), $E548&lt;&gt;"")</f>
        <v>0</v>
      </c>
    </row>
    <row r="549" spans="1:18" x14ac:dyDescent="0.25">
      <c r="A549">
        <f>IF(AND(B549="", D549&lt;&gt;""), A548, A548+1)</f>
        <v>543</v>
      </c>
      <c r="R549" t="b">
        <f>AND(ISNUMBER(FIND($E549,Tables!$I$2)), ISNUMBER(FIND($D549,Tables!$J$2)), $E549&lt;&gt;"")</f>
        <v>0</v>
      </c>
    </row>
    <row r="550" spans="1:18" x14ac:dyDescent="0.25">
      <c r="A550">
        <f>IF(AND(B550="", D550&lt;&gt;""), A549, A549+1)</f>
        <v>544</v>
      </c>
      <c r="R550" t="b">
        <f>AND(ISNUMBER(FIND($E550,Tables!$I$2)), ISNUMBER(FIND($D550,Tables!$J$2)), $E550&lt;&gt;"")</f>
        <v>0</v>
      </c>
    </row>
    <row r="551" spans="1:18" x14ac:dyDescent="0.25">
      <c r="A551">
        <f>IF(AND(B551="", D551&lt;&gt;""), A550, A550+1)</f>
        <v>545</v>
      </c>
      <c r="R551" t="b">
        <f>AND(ISNUMBER(FIND($E551,Tables!$I$2)), ISNUMBER(FIND($D551,Tables!$J$2)), $E551&lt;&gt;"")</f>
        <v>0</v>
      </c>
    </row>
    <row r="552" spans="1:18" x14ac:dyDescent="0.25">
      <c r="A552">
        <f>IF(AND(B552="", D552&lt;&gt;""), A551, A551+1)</f>
        <v>546</v>
      </c>
      <c r="R552" t="b">
        <f>AND(ISNUMBER(FIND($E552,Tables!$I$2)), ISNUMBER(FIND($D552,Tables!$J$2)), $E552&lt;&gt;"")</f>
        <v>0</v>
      </c>
    </row>
    <row r="553" spans="1:18" x14ac:dyDescent="0.25">
      <c r="A553">
        <f>IF(AND(B553="", D553&lt;&gt;""), A552, A552+1)</f>
        <v>547</v>
      </c>
      <c r="R553" t="b">
        <f>AND(ISNUMBER(FIND($E553,Tables!$I$2)), ISNUMBER(FIND($D553,Tables!$J$2)), $E553&lt;&gt;"")</f>
        <v>0</v>
      </c>
    </row>
    <row r="554" spans="1:18" x14ac:dyDescent="0.25">
      <c r="A554">
        <f>IF(AND(B554="", D554&lt;&gt;""), A553, A553+1)</f>
        <v>548</v>
      </c>
      <c r="R554" t="b">
        <f>AND(ISNUMBER(FIND($E554,Tables!$I$2)), ISNUMBER(FIND($D554,Tables!$J$2)), $E554&lt;&gt;"")</f>
        <v>0</v>
      </c>
    </row>
    <row r="555" spans="1:18" x14ac:dyDescent="0.25">
      <c r="A555">
        <f>IF(AND(B555="", D555&lt;&gt;""), A554, A554+1)</f>
        <v>549</v>
      </c>
      <c r="R555" t="b">
        <f>AND(ISNUMBER(FIND($E555,Tables!$I$2)), ISNUMBER(FIND($D555,Tables!$J$2)), $E555&lt;&gt;"")</f>
        <v>0</v>
      </c>
    </row>
    <row r="556" spans="1:18" x14ac:dyDescent="0.25">
      <c r="A556">
        <f>IF(AND(B556="", D556&lt;&gt;""), A555, A555+1)</f>
        <v>550</v>
      </c>
      <c r="R556" t="b">
        <f>AND(ISNUMBER(FIND($E556,Tables!$I$2)), ISNUMBER(FIND($D556,Tables!$J$2)), $E556&lt;&gt;"")</f>
        <v>0</v>
      </c>
    </row>
    <row r="557" spans="1:18" x14ac:dyDescent="0.25">
      <c r="A557">
        <f>IF(AND(B557="", D557&lt;&gt;""), A556, A556+1)</f>
        <v>551</v>
      </c>
      <c r="R557" t="b">
        <f>AND(ISNUMBER(FIND($E557,Tables!$I$2)), ISNUMBER(FIND($D557,Tables!$J$2)), $E557&lt;&gt;"")</f>
        <v>0</v>
      </c>
    </row>
    <row r="558" spans="1:18" x14ac:dyDescent="0.25">
      <c r="A558">
        <f>IF(AND(B558="", D558&lt;&gt;""), A557, A557+1)</f>
        <v>552</v>
      </c>
      <c r="R558" t="b">
        <f>AND(ISNUMBER(FIND($E558,Tables!$I$2)), ISNUMBER(FIND($D558,Tables!$J$2)), $E558&lt;&gt;"")</f>
        <v>0</v>
      </c>
    </row>
    <row r="559" spans="1:18" x14ac:dyDescent="0.25">
      <c r="A559">
        <f>IF(AND(B559="", D559&lt;&gt;""), A558, A558+1)</f>
        <v>553</v>
      </c>
      <c r="R559" t="b">
        <f>AND(ISNUMBER(FIND($E559,Tables!$I$2)), ISNUMBER(FIND($D559,Tables!$J$2)), $E559&lt;&gt;"")</f>
        <v>0</v>
      </c>
    </row>
    <row r="560" spans="1:18" x14ac:dyDescent="0.25">
      <c r="A560">
        <f>IF(AND(B560="", D560&lt;&gt;""), A559, A559+1)</f>
        <v>554</v>
      </c>
      <c r="R560" t="b">
        <f>AND(ISNUMBER(FIND($E560,Tables!$I$2)), ISNUMBER(FIND($D560,Tables!$J$2)), $E560&lt;&gt;"")</f>
        <v>0</v>
      </c>
    </row>
    <row r="561" spans="1:18" x14ac:dyDescent="0.25">
      <c r="A561">
        <f>IF(AND(B561="", D561&lt;&gt;""), A560, A560+1)</f>
        <v>555</v>
      </c>
      <c r="R561" t="b">
        <f>AND(ISNUMBER(FIND($E561,Tables!$I$2)), ISNUMBER(FIND($D561,Tables!$J$2)), $E561&lt;&gt;"")</f>
        <v>0</v>
      </c>
    </row>
    <row r="562" spans="1:18" x14ac:dyDescent="0.25">
      <c r="A562">
        <f>IF(AND(B562="", D562&lt;&gt;""), A561, A561+1)</f>
        <v>556</v>
      </c>
      <c r="R562" t="b">
        <f>AND(ISNUMBER(FIND($E562,Tables!$I$2)), ISNUMBER(FIND($D562,Tables!$J$2)), $E562&lt;&gt;"")</f>
        <v>0</v>
      </c>
    </row>
    <row r="563" spans="1:18" x14ac:dyDescent="0.25">
      <c r="A563">
        <f>IF(AND(B563="", D563&lt;&gt;""), A562, A562+1)</f>
        <v>557</v>
      </c>
      <c r="R563" t="b">
        <f>AND(ISNUMBER(FIND($E563,Tables!$I$2)), ISNUMBER(FIND($D563,Tables!$J$2)), $E563&lt;&gt;"")</f>
        <v>0</v>
      </c>
    </row>
    <row r="564" spans="1:18" x14ac:dyDescent="0.25">
      <c r="A564">
        <f>IF(AND(B564="", D564&lt;&gt;""), A563, A563+1)</f>
        <v>558</v>
      </c>
      <c r="R564" t="b">
        <f>AND(ISNUMBER(FIND($E564,Tables!$I$2)), ISNUMBER(FIND($D564,Tables!$J$2)), $E564&lt;&gt;"")</f>
        <v>0</v>
      </c>
    </row>
    <row r="565" spans="1:18" x14ac:dyDescent="0.25">
      <c r="A565">
        <f>IF(AND(B565="", D565&lt;&gt;""), A564, A564+1)</f>
        <v>559</v>
      </c>
      <c r="R565" t="b">
        <f>AND(ISNUMBER(FIND($E565,Tables!$I$2)), ISNUMBER(FIND($D565,Tables!$J$2)), $E565&lt;&gt;"")</f>
        <v>0</v>
      </c>
    </row>
    <row r="566" spans="1:18" x14ac:dyDescent="0.25">
      <c r="A566">
        <f>IF(AND(B566="", D566&lt;&gt;""), A565, A565+1)</f>
        <v>560</v>
      </c>
      <c r="R566" t="b">
        <f>AND(ISNUMBER(FIND($E566,Tables!$I$2)), ISNUMBER(FIND($D566,Tables!$J$2)), $E566&lt;&gt;"")</f>
        <v>0</v>
      </c>
    </row>
    <row r="567" spans="1:18" x14ac:dyDescent="0.25">
      <c r="A567">
        <f>IF(AND(B567="", D567&lt;&gt;""), A566, A566+1)</f>
        <v>561</v>
      </c>
      <c r="R567" t="b">
        <f>AND(ISNUMBER(FIND($E567,Tables!$I$2)), ISNUMBER(FIND($D567,Tables!$J$2)), $E567&lt;&gt;"")</f>
        <v>0</v>
      </c>
    </row>
    <row r="568" spans="1:18" x14ac:dyDescent="0.25">
      <c r="A568">
        <f>IF(AND(B568="", D568&lt;&gt;""), A567, A567+1)</f>
        <v>562</v>
      </c>
      <c r="R568" t="b">
        <f>AND(ISNUMBER(FIND($E568,Tables!$I$2)), ISNUMBER(FIND($D568,Tables!$J$2)), $E568&lt;&gt;"")</f>
        <v>0</v>
      </c>
    </row>
    <row r="569" spans="1:18" x14ac:dyDescent="0.25">
      <c r="A569">
        <f>IF(AND(B569="", D569&lt;&gt;""), A568, A568+1)</f>
        <v>563</v>
      </c>
      <c r="R569" t="b">
        <f>AND(ISNUMBER(FIND($E569,Tables!$I$2)), ISNUMBER(FIND($D569,Tables!$J$2)), $E569&lt;&gt;"")</f>
        <v>0</v>
      </c>
    </row>
    <row r="570" spans="1:18" x14ac:dyDescent="0.25">
      <c r="A570">
        <f>IF(AND(B570="", D570&lt;&gt;""), A569, A569+1)</f>
        <v>564</v>
      </c>
      <c r="R570" t="b">
        <f>AND(ISNUMBER(FIND($E570,Tables!$I$2)), ISNUMBER(FIND($D570,Tables!$J$2)), $E570&lt;&gt;"")</f>
        <v>0</v>
      </c>
    </row>
    <row r="571" spans="1:18" x14ac:dyDescent="0.25">
      <c r="A571">
        <f>IF(AND(B571="", D571&lt;&gt;""), A570, A570+1)</f>
        <v>565</v>
      </c>
      <c r="R571" t="b">
        <f>AND(ISNUMBER(FIND($E571,Tables!$I$2)), ISNUMBER(FIND($D571,Tables!$J$2)), $E571&lt;&gt;"")</f>
        <v>0</v>
      </c>
    </row>
    <row r="572" spans="1:18" x14ac:dyDescent="0.25">
      <c r="A572">
        <f>IF(AND(B572="", D572&lt;&gt;""), A571, A571+1)</f>
        <v>566</v>
      </c>
      <c r="R572" t="b">
        <f>AND(ISNUMBER(FIND($E572,Tables!$I$2)), ISNUMBER(FIND($D572,Tables!$J$2)), $E572&lt;&gt;"")</f>
        <v>0</v>
      </c>
    </row>
    <row r="573" spans="1:18" x14ac:dyDescent="0.25">
      <c r="A573">
        <f>IF(AND(B573="", D573&lt;&gt;""), A572, A572+1)</f>
        <v>567</v>
      </c>
      <c r="R573" t="b">
        <f>AND(ISNUMBER(FIND($E573,Tables!$I$2)), ISNUMBER(FIND($D573,Tables!$J$2)), $E573&lt;&gt;"")</f>
        <v>0</v>
      </c>
    </row>
    <row r="574" spans="1:18" x14ac:dyDescent="0.25">
      <c r="A574">
        <f>IF(AND(B574="", D574&lt;&gt;""), A573, A573+1)</f>
        <v>568</v>
      </c>
      <c r="R574" t="b">
        <f>AND(ISNUMBER(FIND($E574,Tables!$I$2)), ISNUMBER(FIND($D574,Tables!$J$2)), $E574&lt;&gt;"")</f>
        <v>0</v>
      </c>
    </row>
    <row r="575" spans="1:18" x14ac:dyDescent="0.25">
      <c r="A575">
        <f>IF(AND(B575="", D575&lt;&gt;""), A574, A574+1)</f>
        <v>569</v>
      </c>
      <c r="R575" t="b">
        <f>AND(ISNUMBER(FIND($E575,Tables!$I$2)), ISNUMBER(FIND($D575,Tables!$J$2)), $E575&lt;&gt;"")</f>
        <v>0</v>
      </c>
    </row>
    <row r="576" spans="1:18" x14ac:dyDescent="0.25">
      <c r="A576">
        <f>IF(AND(B576="", D576&lt;&gt;""), A575, A575+1)</f>
        <v>570</v>
      </c>
      <c r="R576" t="b">
        <f>AND(ISNUMBER(FIND($E576,Tables!$I$2)), ISNUMBER(FIND($D576,Tables!$J$2)), $E576&lt;&gt;"")</f>
        <v>0</v>
      </c>
    </row>
    <row r="577" spans="1:18" x14ac:dyDescent="0.25">
      <c r="A577">
        <f>IF(AND(B577="", D577&lt;&gt;""), A576, A576+1)</f>
        <v>571</v>
      </c>
      <c r="R577" t="b">
        <f>AND(ISNUMBER(FIND($E577,Tables!$I$2)), ISNUMBER(FIND($D577,Tables!$J$2)), $E577&lt;&gt;"")</f>
        <v>0</v>
      </c>
    </row>
    <row r="578" spans="1:18" x14ac:dyDescent="0.25">
      <c r="A578">
        <f>IF(AND(B578="", D578&lt;&gt;""), A577, A577+1)</f>
        <v>572</v>
      </c>
      <c r="R578" t="b">
        <f>AND(ISNUMBER(FIND($E578,Tables!$I$2)), ISNUMBER(FIND($D578,Tables!$J$2)), $E578&lt;&gt;"")</f>
        <v>0</v>
      </c>
    </row>
    <row r="579" spans="1:18" x14ac:dyDescent="0.25">
      <c r="A579">
        <f>IF(AND(B579="", D579&lt;&gt;""), A578, A578+1)</f>
        <v>573</v>
      </c>
      <c r="R579" t="b">
        <f>AND(ISNUMBER(FIND($E579,Tables!$I$2)), ISNUMBER(FIND($D579,Tables!$J$2)), $E579&lt;&gt;"")</f>
        <v>0</v>
      </c>
    </row>
    <row r="580" spans="1:18" x14ac:dyDescent="0.25">
      <c r="A580">
        <f>IF(AND(B580="", D580&lt;&gt;""), A579, A579+1)</f>
        <v>574</v>
      </c>
      <c r="R580" t="b">
        <f>AND(ISNUMBER(FIND($E580,Tables!$I$2)), ISNUMBER(FIND($D580,Tables!$J$2)), $E580&lt;&gt;"")</f>
        <v>0</v>
      </c>
    </row>
    <row r="581" spans="1:18" x14ac:dyDescent="0.25">
      <c r="A581">
        <f>IF(AND(B581="", D581&lt;&gt;""), A580, A580+1)</f>
        <v>575</v>
      </c>
      <c r="R581" t="b">
        <f>AND(ISNUMBER(FIND($E581,Tables!$I$2)), ISNUMBER(FIND($D581,Tables!$J$2)), $E581&lt;&gt;"")</f>
        <v>0</v>
      </c>
    </row>
    <row r="582" spans="1:18" x14ac:dyDescent="0.25">
      <c r="A582">
        <f>IF(AND(B582="", D582&lt;&gt;""), A581, A581+1)</f>
        <v>576</v>
      </c>
      <c r="R582" t="b">
        <f>AND(ISNUMBER(FIND($E582,Tables!$I$2)), ISNUMBER(FIND($D582,Tables!$J$2)), $E582&lt;&gt;"")</f>
        <v>0</v>
      </c>
    </row>
    <row r="583" spans="1:18" x14ac:dyDescent="0.25">
      <c r="A583">
        <f>IF(AND(B583="", D583&lt;&gt;""), A582, A582+1)</f>
        <v>577</v>
      </c>
      <c r="R583" t="b">
        <f>AND(ISNUMBER(FIND($E583,Tables!$I$2)), ISNUMBER(FIND($D583,Tables!$J$2)), $E583&lt;&gt;"")</f>
        <v>0</v>
      </c>
    </row>
    <row r="584" spans="1:18" x14ac:dyDescent="0.25">
      <c r="A584">
        <f>IF(AND(B584="", D584&lt;&gt;""), A583, A583+1)</f>
        <v>578</v>
      </c>
      <c r="R584" t="b">
        <f>AND(ISNUMBER(FIND($E584,Tables!$I$2)), ISNUMBER(FIND($D584,Tables!$J$2)), $E584&lt;&gt;"")</f>
        <v>0</v>
      </c>
    </row>
    <row r="585" spans="1:18" x14ac:dyDescent="0.25">
      <c r="A585">
        <f>IF(AND(B585="", D585&lt;&gt;""), A584, A584+1)</f>
        <v>579</v>
      </c>
      <c r="R585" t="b">
        <f>AND(ISNUMBER(FIND($E585,Tables!$I$2)), ISNUMBER(FIND($D585,Tables!$J$2)), $E585&lt;&gt;"")</f>
        <v>0</v>
      </c>
    </row>
    <row r="586" spans="1:18" x14ac:dyDescent="0.25">
      <c r="A586">
        <f>IF(AND(B586="", D586&lt;&gt;""), A585, A585+1)</f>
        <v>580</v>
      </c>
      <c r="R586" t="b">
        <f>AND(ISNUMBER(FIND($E586,Tables!$I$2)), ISNUMBER(FIND($D586,Tables!$J$2)), $E586&lt;&gt;"")</f>
        <v>0</v>
      </c>
    </row>
    <row r="587" spans="1:18" x14ac:dyDescent="0.25">
      <c r="A587">
        <f>IF(AND(B587="", D587&lt;&gt;""), A586, A586+1)</f>
        <v>581</v>
      </c>
      <c r="R587" t="b">
        <f>AND(ISNUMBER(FIND($E587,Tables!$I$2)), ISNUMBER(FIND($D587,Tables!$J$2)), $E587&lt;&gt;"")</f>
        <v>0</v>
      </c>
    </row>
    <row r="588" spans="1:18" x14ac:dyDescent="0.25">
      <c r="A588">
        <f>IF(AND(B588="", D588&lt;&gt;""), A587, A587+1)</f>
        <v>582</v>
      </c>
      <c r="R588" t="b">
        <f>AND(ISNUMBER(FIND($E588,Tables!$I$2)), ISNUMBER(FIND($D588,Tables!$J$2)), $E588&lt;&gt;"")</f>
        <v>0</v>
      </c>
    </row>
    <row r="589" spans="1:18" x14ac:dyDescent="0.25">
      <c r="A589">
        <f>IF(AND(B589="", D589&lt;&gt;""), A588, A588+1)</f>
        <v>583</v>
      </c>
      <c r="R589" t="b">
        <f>AND(ISNUMBER(FIND($E589,Tables!$I$2)), ISNUMBER(FIND($D589,Tables!$J$2)), $E589&lt;&gt;"")</f>
        <v>0</v>
      </c>
    </row>
    <row r="590" spans="1:18" x14ac:dyDescent="0.25">
      <c r="A590">
        <f>IF(AND(B590="", D590&lt;&gt;""), A589, A589+1)</f>
        <v>584</v>
      </c>
      <c r="R590" t="b">
        <f>AND(ISNUMBER(FIND($E590,Tables!$I$2)), ISNUMBER(FIND($D590,Tables!$J$2)), $E590&lt;&gt;"")</f>
        <v>0</v>
      </c>
    </row>
    <row r="591" spans="1:18" x14ac:dyDescent="0.25">
      <c r="A591">
        <f>IF(AND(B591="", D591&lt;&gt;""), A590, A590+1)</f>
        <v>585</v>
      </c>
      <c r="R591" t="b">
        <f>AND(ISNUMBER(FIND($E591,Tables!$I$2)), ISNUMBER(FIND($D591,Tables!$J$2)), $E591&lt;&gt;"")</f>
        <v>0</v>
      </c>
    </row>
    <row r="592" spans="1:18" x14ac:dyDescent="0.25">
      <c r="A592">
        <f>IF(AND(B592="", D592&lt;&gt;""), A591, A591+1)</f>
        <v>586</v>
      </c>
      <c r="R592" t="b">
        <f>AND(ISNUMBER(FIND($E592,Tables!$I$2)), ISNUMBER(FIND($D592,Tables!$J$2)), $E592&lt;&gt;"")</f>
        <v>0</v>
      </c>
    </row>
    <row r="593" spans="1:18" x14ac:dyDescent="0.25">
      <c r="A593">
        <f>IF(AND(B593="", D593&lt;&gt;""), A592, A592+1)</f>
        <v>587</v>
      </c>
      <c r="R593" t="b">
        <f>AND(ISNUMBER(FIND($E593,Tables!$I$2)), ISNUMBER(FIND($D593,Tables!$J$2)), $E593&lt;&gt;"")</f>
        <v>0</v>
      </c>
    </row>
    <row r="594" spans="1:18" x14ac:dyDescent="0.25">
      <c r="A594">
        <f>IF(AND(B594="", D594&lt;&gt;""), A593, A593+1)</f>
        <v>588</v>
      </c>
      <c r="R594" t="b">
        <f>AND(ISNUMBER(FIND($E594,Tables!$I$2)), ISNUMBER(FIND($D594,Tables!$J$2)), $E594&lt;&gt;"")</f>
        <v>0</v>
      </c>
    </row>
    <row r="595" spans="1:18" x14ac:dyDescent="0.25">
      <c r="A595">
        <f>IF(AND(B595="", D595&lt;&gt;""), A594, A594+1)</f>
        <v>589</v>
      </c>
      <c r="R595" t="b">
        <f>AND(ISNUMBER(FIND($E595,Tables!$I$2)), ISNUMBER(FIND($D595,Tables!$J$2)), $E595&lt;&gt;"")</f>
        <v>0</v>
      </c>
    </row>
    <row r="596" spans="1:18" x14ac:dyDescent="0.25">
      <c r="A596">
        <f>IF(AND(B596="", D596&lt;&gt;""), A595, A595+1)</f>
        <v>590</v>
      </c>
      <c r="R596" t="b">
        <f>AND(ISNUMBER(FIND($E596,Tables!$I$2)), ISNUMBER(FIND($D596,Tables!$J$2)), $E596&lt;&gt;"")</f>
        <v>0</v>
      </c>
    </row>
    <row r="597" spans="1:18" x14ac:dyDescent="0.25">
      <c r="A597">
        <f>IF(AND(B597="", D597&lt;&gt;""), A596, A596+1)</f>
        <v>591</v>
      </c>
      <c r="R597" t="b">
        <f>AND(ISNUMBER(FIND($E597,Tables!$I$2)), ISNUMBER(FIND($D597,Tables!$J$2)), $E597&lt;&gt;"")</f>
        <v>0</v>
      </c>
    </row>
    <row r="598" spans="1:18" x14ac:dyDescent="0.25">
      <c r="A598">
        <f>IF(AND(B598="", D598&lt;&gt;""), A597, A597+1)</f>
        <v>592</v>
      </c>
      <c r="R598" t="b">
        <f>AND(ISNUMBER(FIND($E598,Tables!$I$2)), ISNUMBER(FIND($D598,Tables!$J$2)), $E598&lt;&gt;"")</f>
        <v>0</v>
      </c>
    </row>
    <row r="599" spans="1:18" x14ac:dyDescent="0.25">
      <c r="A599">
        <f>IF(AND(B599="", D599&lt;&gt;""), A598, A598+1)</f>
        <v>593</v>
      </c>
      <c r="R599" t="b">
        <f>AND(ISNUMBER(FIND($E599,Tables!$I$2)), ISNUMBER(FIND($D599,Tables!$J$2)), $E599&lt;&gt;"")</f>
        <v>0</v>
      </c>
    </row>
    <row r="600" spans="1:18" x14ac:dyDescent="0.25">
      <c r="A600">
        <f>IF(AND(B600="", D600&lt;&gt;""), A599, A599+1)</f>
        <v>594</v>
      </c>
      <c r="R600" t="b">
        <f>AND(ISNUMBER(FIND($E600,Tables!$I$2)), ISNUMBER(FIND($D600,Tables!$J$2)), $E600&lt;&gt;"")</f>
        <v>0</v>
      </c>
    </row>
    <row r="601" spans="1:18" x14ac:dyDescent="0.25">
      <c r="A601">
        <f>IF(AND(B601="", D601&lt;&gt;""), A600, A600+1)</f>
        <v>595</v>
      </c>
      <c r="R601" t="b">
        <f>AND(ISNUMBER(FIND($E601,Tables!$I$2)), ISNUMBER(FIND($D601,Tables!$J$2)), $E601&lt;&gt;"")</f>
        <v>0</v>
      </c>
    </row>
    <row r="602" spans="1:18" x14ac:dyDescent="0.25">
      <c r="A602">
        <f>IF(AND(B602="", D602&lt;&gt;""), A601, A601+1)</f>
        <v>596</v>
      </c>
      <c r="R602" t="b">
        <f>AND(ISNUMBER(FIND($E602,Tables!$I$2)), ISNUMBER(FIND($D602,Tables!$J$2)), $E602&lt;&gt;"")</f>
        <v>0</v>
      </c>
    </row>
    <row r="603" spans="1:18" x14ac:dyDescent="0.25">
      <c r="A603">
        <f>IF(AND(B603="", D603&lt;&gt;""), A602, A602+1)</f>
        <v>597</v>
      </c>
      <c r="R603" t="b">
        <f>AND(ISNUMBER(FIND($E603,Tables!$I$2)), ISNUMBER(FIND($D603,Tables!$J$2)), $E603&lt;&gt;"")</f>
        <v>0</v>
      </c>
    </row>
    <row r="604" spans="1:18" x14ac:dyDescent="0.25">
      <c r="A604">
        <f>IF(AND(B604="", D604&lt;&gt;""), A603, A603+1)</f>
        <v>598</v>
      </c>
      <c r="R604" t="b">
        <f>AND(ISNUMBER(FIND($E604,Tables!$I$2)), ISNUMBER(FIND($D604,Tables!$J$2)), $E604&lt;&gt;"")</f>
        <v>0</v>
      </c>
    </row>
    <row r="605" spans="1:18" x14ac:dyDescent="0.25">
      <c r="A605">
        <f>IF(AND(B605="", D605&lt;&gt;""), A604, A604+1)</f>
        <v>599</v>
      </c>
      <c r="R605" t="b">
        <f>AND(ISNUMBER(FIND($E605,Tables!$I$2)), ISNUMBER(FIND($D605,Tables!$J$2)), $E605&lt;&gt;"")</f>
        <v>0</v>
      </c>
    </row>
    <row r="606" spans="1:18" x14ac:dyDescent="0.25">
      <c r="A606">
        <f>IF(AND(B606="", D606&lt;&gt;""), A605, A605+1)</f>
        <v>600</v>
      </c>
      <c r="R606" t="b">
        <f>AND(ISNUMBER(FIND($E606,Tables!$I$2)), ISNUMBER(FIND($D606,Tables!$J$2)), $E606&lt;&gt;"")</f>
        <v>0</v>
      </c>
    </row>
    <row r="607" spans="1:18" x14ac:dyDescent="0.25">
      <c r="A607">
        <f>IF(AND(B607="", D607&lt;&gt;""), A606, A606+1)</f>
        <v>601</v>
      </c>
      <c r="R607" t="b">
        <f>AND(ISNUMBER(FIND($E607,Tables!$I$2)), ISNUMBER(FIND($D607,Tables!$J$2)), $E607&lt;&gt;"")</f>
        <v>0</v>
      </c>
    </row>
    <row r="608" spans="1:18" x14ac:dyDescent="0.25">
      <c r="A608">
        <f>IF(AND(B608="", D608&lt;&gt;""), A607, A607+1)</f>
        <v>602</v>
      </c>
      <c r="R608" t="b">
        <f>AND(ISNUMBER(FIND($E608,Tables!$I$2)), ISNUMBER(FIND($D608,Tables!$J$2)), $E608&lt;&gt;"")</f>
        <v>0</v>
      </c>
    </row>
    <row r="609" spans="1:18" x14ac:dyDescent="0.25">
      <c r="A609">
        <f>IF(AND(B609="", D609&lt;&gt;""), A608, A608+1)</f>
        <v>603</v>
      </c>
      <c r="R609" t="b">
        <f>AND(ISNUMBER(FIND($E609,Tables!$I$2)), ISNUMBER(FIND($D609,Tables!$J$2)), $E609&lt;&gt;"")</f>
        <v>0</v>
      </c>
    </row>
    <row r="610" spans="1:18" x14ac:dyDescent="0.25">
      <c r="A610">
        <f>IF(AND(B610="", D610&lt;&gt;""), A609, A609+1)</f>
        <v>604</v>
      </c>
      <c r="R610" t="b">
        <f>AND(ISNUMBER(FIND($E610,Tables!$I$2)), ISNUMBER(FIND($D610,Tables!$J$2)), $E610&lt;&gt;"")</f>
        <v>0</v>
      </c>
    </row>
    <row r="611" spans="1:18" x14ac:dyDescent="0.25">
      <c r="A611">
        <f>IF(AND(B611="", D611&lt;&gt;""), A610, A610+1)</f>
        <v>605</v>
      </c>
      <c r="R611" t="b">
        <f>AND(ISNUMBER(FIND($E611,Tables!$I$2)), ISNUMBER(FIND($D611,Tables!$J$2)), $E611&lt;&gt;"")</f>
        <v>0</v>
      </c>
    </row>
    <row r="612" spans="1:18" x14ac:dyDescent="0.25">
      <c r="A612">
        <f>IF(AND(B612="", D612&lt;&gt;""), A611, A611+1)</f>
        <v>606</v>
      </c>
      <c r="R612" t="b">
        <f>AND(ISNUMBER(FIND($E612,Tables!$I$2)), ISNUMBER(FIND($D612,Tables!$J$2)), $E612&lt;&gt;"")</f>
        <v>0</v>
      </c>
    </row>
    <row r="613" spans="1:18" x14ac:dyDescent="0.25">
      <c r="A613">
        <f>IF(AND(B613="", D613&lt;&gt;""), A612, A612+1)</f>
        <v>607</v>
      </c>
      <c r="R613" t="b">
        <f>AND(ISNUMBER(FIND($E613,Tables!$I$2)), ISNUMBER(FIND($D613,Tables!$J$2)), $E613&lt;&gt;"")</f>
        <v>0</v>
      </c>
    </row>
    <row r="614" spans="1:18" x14ac:dyDescent="0.25">
      <c r="A614">
        <f>IF(AND(B614="", D614&lt;&gt;""), A613, A613+1)</f>
        <v>608</v>
      </c>
      <c r="R614" t="b">
        <f>AND(ISNUMBER(FIND($E614,Tables!$I$2)), ISNUMBER(FIND($D614,Tables!$J$2)), $E614&lt;&gt;"")</f>
        <v>0</v>
      </c>
    </row>
    <row r="615" spans="1:18" x14ac:dyDescent="0.25">
      <c r="A615">
        <f>IF(AND(B615="", D615&lt;&gt;""), A614, A614+1)</f>
        <v>609</v>
      </c>
      <c r="R615" t="b">
        <f>AND(ISNUMBER(FIND($E615,Tables!$I$2)), ISNUMBER(FIND($D615,Tables!$J$2)), $E615&lt;&gt;"")</f>
        <v>0</v>
      </c>
    </row>
    <row r="616" spans="1:18" x14ac:dyDescent="0.25">
      <c r="A616">
        <f>IF(AND(B616="", D616&lt;&gt;""), A615, A615+1)</f>
        <v>610</v>
      </c>
      <c r="R616" t="b">
        <f>AND(ISNUMBER(FIND($E616,Tables!$I$2)), ISNUMBER(FIND($D616,Tables!$J$2)), $E616&lt;&gt;"")</f>
        <v>0</v>
      </c>
    </row>
    <row r="617" spans="1:18" x14ac:dyDescent="0.25">
      <c r="A617">
        <f>IF(AND(B617="", D617&lt;&gt;""), A616, A616+1)</f>
        <v>611</v>
      </c>
      <c r="R617" t="b">
        <f>AND(ISNUMBER(FIND($E617,Tables!$I$2)), ISNUMBER(FIND($D617,Tables!$J$2)), $E617&lt;&gt;"")</f>
        <v>0</v>
      </c>
    </row>
    <row r="618" spans="1:18" x14ac:dyDescent="0.25">
      <c r="A618">
        <f>IF(AND(B618="", D618&lt;&gt;""), A617, A617+1)</f>
        <v>612</v>
      </c>
      <c r="R618" t="b">
        <f>AND(ISNUMBER(FIND($E618,Tables!$I$2)), ISNUMBER(FIND($D618,Tables!$J$2)), $E618&lt;&gt;"")</f>
        <v>0</v>
      </c>
    </row>
    <row r="619" spans="1:18" x14ac:dyDescent="0.25">
      <c r="A619">
        <f>IF(AND(B619="", D619&lt;&gt;""), A618, A618+1)</f>
        <v>613</v>
      </c>
      <c r="R619" t="b">
        <f>AND(ISNUMBER(FIND($E619,Tables!$I$2)), ISNUMBER(FIND($D619,Tables!$J$2)), $E619&lt;&gt;"")</f>
        <v>0</v>
      </c>
    </row>
    <row r="620" spans="1:18" x14ac:dyDescent="0.25">
      <c r="A620">
        <f>IF(AND(B620="", D620&lt;&gt;""), A619, A619+1)</f>
        <v>614</v>
      </c>
      <c r="R620" t="b">
        <f>AND(ISNUMBER(FIND($E620,Tables!$I$2)), ISNUMBER(FIND($D620,Tables!$J$2)), $E620&lt;&gt;"")</f>
        <v>0</v>
      </c>
    </row>
    <row r="621" spans="1:18" x14ac:dyDescent="0.25">
      <c r="A621">
        <f>IF(AND(B621="", D621&lt;&gt;""), A620, A620+1)</f>
        <v>615</v>
      </c>
      <c r="R621" t="b">
        <f>AND(ISNUMBER(FIND($E621,Tables!$I$2)), ISNUMBER(FIND($D621,Tables!$J$2)), $E621&lt;&gt;"")</f>
        <v>0</v>
      </c>
    </row>
    <row r="622" spans="1:18" x14ac:dyDescent="0.25">
      <c r="A622">
        <f>IF(AND(B622="", D622&lt;&gt;""), A621, A621+1)</f>
        <v>616</v>
      </c>
      <c r="R622" t="b">
        <f>AND(ISNUMBER(FIND($E622,Tables!$I$2)), ISNUMBER(FIND($D622,Tables!$J$2)), $E622&lt;&gt;"")</f>
        <v>0</v>
      </c>
    </row>
    <row r="623" spans="1:18" x14ac:dyDescent="0.25">
      <c r="A623">
        <f>IF(AND(B623="", D623&lt;&gt;""), A622, A622+1)</f>
        <v>617</v>
      </c>
      <c r="R623" t="b">
        <f>AND(ISNUMBER(FIND($E623,Tables!$I$2)), ISNUMBER(FIND($D623,Tables!$J$2)), $E623&lt;&gt;"")</f>
        <v>0</v>
      </c>
    </row>
    <row r="624" spans="1:18" x14ac:dyDescent="0.25">
      <c r="A624">
        <f>IF(AND(B624="", D624&lt;&gt;""), A623, A623+1)</f>
        <v>618</v>
      </c>
      <c r="R624" t="b">
        <f>AND(ISNUMBER(FIND($E624,Tables!$I$2)), ISNUMBER(FIND($D624,Tables!$J$2)), $E624&lt;&gt;"")</f>
        <v>0</v>
      </c>
    </row>
    <row r="625" spans="1:18" x14ac:dyDescent="0.25">
      <c r="A625">
        <f>IF(AND(B625="", D625&lt;&gt;""), A624, A624+1)</f>
        <v>619</v>
      </c>
      <c r="R625" t="b">
        <f>AND(ISNUMBER(FIND($E625,Tables!$I$2)), ISNUMBER(FIND($D625,Tables!$J$2)), $E625&lt;&gt;"")</f>
        <v>0</v>
      </c>
    </row>
    <row r="626" spans="1:18" x14ac:dyDescent="0.25">
      <c r="A626">
        <f>IF(AND(B626="", D626&lt;&gt;""), A625, A625+1)</f>
        <v>620</v>
      </c>
      <c r="R626" t="b">
        <f>AND(ISNUMBER(FIND($E626,Tables!$I$2)), ISNUMBER(FIND($D626,Tables!$J$2)), $E626&lt;&gt;"")</f>
        <v>0</v>
      </c>
    </row>
    <row r="627" spans="1:18" x14ac:dyDescent="0.25">
      <c r="A627">
        <f>IF(AND(B627="", D627&lt;&gt;""), A626, A626+1)</f>
        <v>621</v>
      </c>
      <c r="R627" t="b">
        <f>AND(ISNUMBER(FIND($E627,Tables!$I$2)), ISNUMBER(FIND($D627,Tables!$J$2)), $E627&lt;&gt;"")</f>
        <v>0</v>
      </c>
    </row>
    <row r="628" spans="1:18" x14ac:dyDescent="0.25">
      <c r="A628">
        <f>IF(AND(B628="", D628&lt;&gt;""), A627, A627+1)</f>
        <v>622</v>
      </c>
      <c r="R628" t="b">
        <f>AND(ISNUMBER(FIND($E628,Tables!$I$2)), ISNUMBER(FIND($D628,Tables!$J$2)), $E628&lt;&gt;"")</f>
        <v>0</v>
      </c>
    </row>
    <row r="629" spans="1:18" x14ac:dyDescent="0.25">
      <c r="A629">
        <f>IF(AND(B629="", D629&lt;&gt;""), A628, A628+1)</f>
        <v>623</v>
      </c>
      <c r="R629" t="b">
        <f>AND(ISNUMBER(FIND($E629,Tables!$I$2)), ISNUMBER(FIND($D629,Tables!$J$2)), $E629&lt;&gt;"")</f>
        <v>0</v>
      </c>
    </row>
    <row r="630" spans="1:18" x14ac:dyDescent="0.25">
      <c r="A630">
        <f>IF(AND(B630="", D630&lt;&gt;""), A629, A629+1)</f>
        <v>624</v>
      </c>
      <c r="R630" t="b">
        <f>AND(ISNUMBER(FIND($E630,Tables!$I$2)), ISNUMBER(FIND($D630,Tables!$J$2)), $E630&lt;&gt;"")</f>
        <v>0</v>
      </c>
    </row>
    <row r="631" spans="1:18" x14ac:dyDescent="0.25">
      <c r="A631">
        <f>IF(AND(B631="", D631&lt;&gt;""), A630, A630+1)</f>
        <v>625</v>
      </c>
      <c r="R631" t="b">
        <f>AND(ISNUMBER(FIND($E631,Tables!$I$2)), ISNUMBER(FIND($D631,Tables!$J$2)), $E631&lt;&gt;"")</f>
        <v>0</v>
      </c>
    </row>
    <row r="632" spans="1:18" x14ac:dyDescent="0.25">
      <c r="A632">
        <f>IF(AND(B632="", D632&lt;&gt;""), A631, A631+1)</f>
        <v>626</v>
      </c>
      <c r="R632" t="b">
        <f>AND(ISNUMBER(FIND($E632,Tables!$I$2)), ISNUMBER(FIND($D632,Tables!$J$2)), $E632&lt;&gt;"")</f>
        <v>0</v>
      </c>
    </row>
    <row r="633" spans="1:18" x14ac:dyDescent="0.25">
      <c r="A633">
        <f>IF(AND(B633="", D633&lt;&gt;""), A632, A632+1)</f>
        <v>627</v>
      </c>
      <c r="R633" t="b">
        <f>AND(ISNUMBER(FIND($E633,Tables!$I$2)), ISNUMBER(FIND($D633,Tables!$J$2)), $E633&lt;&gt;"")</f>
        <v>0</v>
      </c>
    </row>
    <row r="634" spans="1:18" x14ac:dyDescent="0.25">
      <c r="A634">
        <f>IF(AND(B634="", D634&lt;&gt;""), A633, A633+1)</f>
        <v>628</v>
      </c>
      <c r="R634" t="b">
        <f>AND(ISNUMBER(FIND($E634,Tables!$I$2)), ISNUMBER(FIND($D634,Tables!$J$2)), $E634&lt;&gt;"")</f>
        <v>0</v>
      </c>
    </row>
    <row r="635" spans="1:18" x14ac:dyDescent="0.25">
      <c r="A635">
        <f>IF(AND(B635="", D635&lt;&gt;""), A634, A634+1)</f>
        <v>629</v>
      </c>
      <c r="R635" t="b">
        <f>AND(ISNUMBER(FIND($E635,Tables!$I$2)), ISNUMBER(FIND($D635,Tables!$J$2)), $E635&lt;&gt;"")</f>
        <v>0</v>
      </c>
    </row>
    <row r="636" spans="1:18" x14ac:dyDescent="0.25">
      <c r="A636">
        <f>IF(AND(B636="", D636&lt;&gt;""), A635, A635+1)</f>
        <v>630</v>
      </c>
      <c r="R636" t="b">
        <f>AND(ISNUMBER(FIND($E636,Tables!$I$2)), ISNUMBER(FIND($D636,Tables!$J$2)), $E636&lt;&gt;"")</f>
        <v>0</v>
      </c>
    </row>
    <row r="637" spans="1:18" x14ac:dyDescent="0.25">
      <c r="A637">
        <f>IF(AND(B637="", D637&lt;&gt;""), A636, A636+1)</f>
        <v>631</v>
      </c>
      <c r="R637" t="b">
        <f>AND(ISNUMBER(FIND($E637,Tables!$I$2)), ISNUMBER(FIND($D637,Tables!$J$2)), $E637&lt;&gt;"")</f>
        <v>0</v>
      </c>
    </row>
    <row r="638" spans="1:18" x14ac:dyDescent="0.25">
      <c r="A638">
        <f>IF(AND(B638="", D638&lt;&gt;""), A637, A637+1)</f>
        <v>632</v>
      </c>
      <c r="R638" t="b">
        <f>AND(ISNUMBER(FIND($E638,Tables!$I$2)), ISNUMBER(FIND($D638,Tables!$J$2)), $E638&lt;&gt;"")</f>
        <v>0</v>
      </c>
    </row>
    <row r="639" spans="1:18" x14ac:dyDescent="0.25">
      <c r="A639">
        <f>IF(AND(B639="", D639&lt;&gt;""), A638, A638+1)</f>
        <v>633</v>
      </c>
      <c r="R639" t="b">
        <f>AND(ISNUMBER(FIND($E639,Tables!$I$2)), ISNUMBER(FIND($D639,Tables!$J$2)), $E639&lt;&gt;"")</f>
        <v>0</v>
      </c>
    </row>
    <row r="640" spans="1:18" x14ac:dyDescent="0.25">
      <c r="A640">
        <f>IF(AND(B640="", D640&lt;&gt;""), A639, A639+1)</f>
        <v>634</v>
      </c>
      <c r="R640" t="b">
        <f>AND(ISNUMBER(FIND($E640,Tables!$I$2)), ISNUMBER(FIND($D640,Tables!$J$2)), $E640&lt;&gt;"")</f>
        <v>0</v>
      </c>
    </row>
    <row r="641" spans="1:18" x14ac:dyDescent="0.25">
      <c r="A641">
        <f>IF(AND(B641="", D641&lt;&gt;""), A640, A640+1)</f>
        <v>635</v>
      </c>
      <c r="R641" t="b">
        <f>AND(ISNUMBER(FIND($E641,Tables!$I$2)), ISNUMBER(FIND($D641,Tables!$J$2)), $E641&lt;&gt;"")</f>
        <v>0</v>
      </c>
    </row>
    <row r="642" spans="1:18" x14ac:dyDescent="0.25">
      <c r="A642">
        <f>IF(AND(B642="", D642&lt;&gt;""), A641, A641+1)</f>
        <v>636</v>
      </c>
      <c r="R642" t="b">
        <f>AND(ISNUMBER(FIND($E642,Tables!$I$2)), ISNUMBER(FIND($D642,Tables!$J$2)), $E642&lt;&gt;"")</f>
        <v>0</v>
      </c>
    </row>
    <row r="643" spans="1:18" x14ac:dyDescent="0.25">
      <c r="A643">
        <f>IF(AND(B643="", D643&lt;&gt;""), A642, A642+1)</f>
        <v>637</v>
      </c>
      <c r="R643" t="b">
        <f>AND(ISNUMBER(FIND($E643,Tables!$I$2)), ISNUMBER(FIND($D643,Tables!$J$2)), $E643&lt;&gt;"")</f>
        <v>0</v>
      </c>
    </row>
    <row r="644" spans="1:18" x14ac:dyDescent="0.25">
      <c r="A644">
        <f>IF(AND(B644="", D644&lt;&gt;""), A643, A643+1)</f>
        <v>638</v>
      </c>
      <c r="R644" t="b">
        <f>AND(ISNUMBER(FIND($E644,Tables!$I$2)), ISNUMBER(FIND($D644,Tables!$J$2)), $E644&lt;&gt;"")</f>
        <v>0</v>
      </c>
    </row>
    <row r="645" spans="1:18" x14ac:dyDescent="0.25">
      <c r="A645">
        <f>IF(AND(B645="", D645&lt;&gt;""), A644, A644+1)</f>
        <v>639</v>
      </c>
      <c r="R645" t="b">
        <f>AND(ISNUMBER(FIND($E645,Tables!$I$2)), ISNUMBER(FIND($D645,Tables!$J$2)), $E645&lt;&gt;"")</f>
        <v>0</v>
      </c>
    </row>
    <row r="646" spans="1:18" x14ac:dyDescent="0.25">
      <c r="A646">
        <f>IF(AND(B646="", D646&lt;&gt;""), A645, A645+1)</f>
        <v>640</v>
      </c>
      <c r="R646" t="b">
        <f>AND(ISNUMBER(FIND($E646,Tables!$I$2)), ISNUMBER(FIND($D646,Tables!$J$2)), $E646&lt;&gt;"")</f>
        <v>0</v>
      </c>
    </row>
    <row r="647" spans="1:18" x14ac:dyDescent="0.25">
      <c r="A647">
        <f>IF(AND(B647="", D647&lt;&gt;""), A646, A646+1)</f>
        <v>641</v>
      </c>
      <c r="R647" t="b">
        <f>AND(ISNUMBER(FIND($E647,Tables!$I$2)), ISNUMBER(FIND($D647,Tables!$J$2)), $E647&lt;&gt;"")</f>
        <v>0</v>
      </c>
    </row>
    <row r="648" spans="1:18" x14ac:dyDescent="0.25">
      <c r="A648">
        <f>IF(AND(B648="", D648&lt;&gt;""), A647, A647+1)</f>
        <v>642</v>
      </c>
      <c r="R648" t="b">
        <f>AND(ISNUMBER(FIND($E648,Tables!$I$2)), ISNUMBER(FIND($D648,Tables!$J$2)), $E648&lt;&gt;"")</f>
        <v>0</v>
      </c>
    </row>
    <row r="649" spans="1:18" x14ac:dyDescent="0.25">
      <c r="A649">
        <f>IF(AND(B649="", D649&lt;&gt;""), A648, A648+1)</f>
        <v>643</v>
      </c>
      <c r="R649" t="b">
        <f>AND(ISNUMBER(FIND($E649,Tables!$I$2)), ISNUMBER(FIND($D649,Tables!$J$2)), $E649&lt;&gt;"")</f>
        <v>0</v>
      </c>
    </row>
    <row r="650" spans="1:18" x14ac:dyDescent="0.25">
      <c r="A650">
        <f>IF(AND(B650="", D650&lt;&gt;""), A649, A649+1)</f>
        <v>644</v>
      </c>
      <c r="R650" t="b">
        <f>AND(ISNUMBER(FIND($E650,Tables!$I$2)), ISNUMBER(FIND($D650,Tables!$J$2)), $E650&lt;&gt;"")</f>
        <v>0</v>
      </c>
    </row>
    <row r="651" spans="1:18" x14ac:dyDescent="0.25">
      <c r="A651">
        <f>IF(AND(B651="", D651&lt;&gt;""), A650, A650+1)</f>
        <v>645</v>
      </c>
      <c r="R651" t="b">
        <f>AND(ISNUMBER(FIND($E651,Tables!$I$2)), ISNUMBER(FIND($D651,Tables!$J$2)), $E651&lt;&gt;"")</f>
        <v>0</v>
      </c>
    </row>
    <row r="652" spans="1:18" x14ac:dyDescent="0.25">
      <c r="A652">
        <f>IF(AND(B652="", D652&lt;&gt;""), A651, A651+1)</f>
        <v>646</v>
      </c>
      <c r="R652" t="b">
        <f>AND(ISNUMBER(FIND($E652,Tables!$I$2)), ISNUMBER(FIND($D652,Tables!$J$2)), $E652&lt;&gt;"")</f>
        <v>0</v>
      </c>
    </row>
    <row r="653" spans="1:18" x14ac:dyDescent="0.25">
      <c r="A653">
        <f>IF(AND(B653="", D653&lt;&gt;""), A652, A652+1)</f>
        <v>647</v>
      </c>
      <c r="R653" t="b">
        <f>AND(ISNUMBER(FIND($E653,Tables!$I$2)), ISNUMBER(FIND($D653,Tables!$J$2)), $E653&lt;&gt;"")</f>
        <v>0</v>
      </c>
    </row>
    <row r="654" spans="1:18" x14ac:dyDescent="0.25">
      <c r="A654">
        <f>IF(AND(B654="", D654&lt;&gt;""), A653, A653+1)</f>
        <v>648</v>
      </c>
      <c r="R654" t="b">
        <f>AND(ISNUMBER(FIND($E654,Tables!$I$2)), ISNUMBER(FIND($D654,Tables!$J$2)), $E654&lt;&gt;"")</f>
        <v>0</v>
      </c>
    </row>
    <row r="655" spans="1:18" x14ac:dyDescent="0.25">
      <c r="A655">
        <f>IF(AND(B655="", D655&lt;&gt;""), A654, A654+1)</f>
        <v>649</v>
      </c>
      <c r="R655" t="b">
        <f>AND(ISNUMBER(FIND($E655,Tables!$I$2)), ISNUMBER(FIND($D655,Tables!$J$2)), $E655&lt;&gt;"")</f>
        <v>0</v>
      </c>
    </row>
    <row r="656" spans="1:18" x14ac:dyDescent="0.25">
      <c r="A656">
        <f>IF(AND(B656="", D656&lt;&gt;""), A655, A655+1)</f>
        <v>650</v>
      </c>
      <c r="R656" t="b">
        <f>AND(ISNUMBER(FIND($E656,Tables!$I$2)), ISNUMBER(FIND($D656,Tables!$J$2)), $E656&lt;&gt;"")</f>
        <v>0</v>
      </c>
    </row>
    <row r="657" spans="1:18" x14ac:dyDescent="0.25">
      <c r="A657">
        <f>IF(AND(B657="", D657&lt;&gt;""), A656, A656+1)</f>
        <v>651</v>
      </c>
      <c r="R657" t="b">
        <f>AND(ISNUMBER(FIND($E657,Tables!$I$2)), ISNUMBER(FIND($D657,Tables!$J$2)), $E657&lt;&gt;"")</f>
        <v>0</v>
      </c>
    </row>
    <row r="658" spans="1:18" x14ac:dyDescent="0.25">
      <c r="A658">
        <f>IF(AND(B658="", D658&lt;&gt;""), A657, A657+1)</f>
        <v>652</v>
      </c>
      <c r="R658" t="b">
        <f>AND(ISNUMBER(FIND($E658,Tables!$I$2)), ISNUMBER(FIND($D658,Tables!$J$2)), $E658&lt;&gt;"")</f>
        <v>0</v>
      </c>
    </row>
    <row r="659" spans="1:18" x14ac:dyDescent="0.25">
      <c r="A659">
        <f>IF(AND(B659="", D659&lt;&gt;""), A658, A658+1)</f>
        <v>653</v>
      </c>
      <c r="R659" t="b">
        <f>AND(ISNUMBER(FIND($E659,Tables!$I$2)), ISNUMBER(FIND($D659,Tables!$J$2)), $E659&lt;&gt;"")</f>
        <v>0</v>
      </c>
    </row>
    <row r="660" spans="1:18" x14ac:dyDescent="0.25">
      <c r="A660">
        <f>IF(AND(B660="", D660&lt;&gt;""), A659, A659+1)</f>
        <v>654</v>
      </c>
      <c r="R660" t="b">
        <f>AND(ISNUMBER(FIND($E660,Tables!$I$2)), ISNUMBER(FIND($D660,Tables!$J$2)), $E660&lt;&gt;"")</f>
        <v>0</v>
      </c>
    </row>
    <row r="661" spans="1:18" x14ac:dyDescent="0.25">
      <c r="A661">
        <f>IF(AND(B661="", D661&lt;&gt;""), A660, A660+1)</f>
        <v>655</v>
      </c>
      <c r="R661" t="b">
        <f>AND(ISNUMBER(FIND($E661,Tables!$I$2)), ISNUMBER(FIND($D661,Tables!$J$2)), $E661&lt;&gt;"")</f>
        <v>0</v>
      </c>
    </row>
    <row r="662" spans="1:18" x14ac:dyDescent="0.25">
      <c r="A662">
        <f>IF(AND(B662="", D662&lt;&gt;""), A661, A661+1)</f>
        <v>656</v>
      </c>
      <c r="R662" t="b">
        <f>AND(ISNUMBER(FIND($E662,Tables!$I$2)), ISNUMBER(FIND($D662,Tables!$J$2)), $E662&lt;&gt;"")</f>
        <v>0</v>
      </c>
    </row>
    <row r="663" spans="1:18" x14ac:dyDescent="0.25">
      <c r="A663">
        <f>IF(AND(B663="", D663&lt;&gt;""), A662, A662+1)</f>
        <v>657</v>
      </c>
      <c r="R663" t="b">
        <f>AND(ISNUMBER(FIND($E663,Tables!$I$2)), ISNUMBER(FIND($D663,Tables!$J$2)), $E663&lt;&gt;"")</f>
        <v>0</v>
      </c>
    </row>
    <row r="664" spans="1:18" x14ac:dyDescent="0.25">
      <c r="A664">
        <f>IF(AND(B664="", D664&lt;&gt;""), A663, A663+1)</f>
        <v>658</v>
      </c>
      <c r="R664" t="b">
        <f>AND(ISNUMBER(FIND($E664,Tables!$I$2)), ISNUMBER(FIND($D664,Tables!$J$2)), $E664&lt;&gt;"")</f>
        <v>0</v>
      </c>
    </row>
    <row r="665" spans="1:18" x14ac:dyDescent="0.25">
      <c r="A665">
        <f>IF(AND(B665="", D665&lt;&gt;""), A664, A664+1)</f>
        <v>659</v>
      </c>
      <c r="R665" t="b">
        <f>AND(ISNUMBER(FIND($E665,Tables!$I$2)), ISNUMBER(FIND($D665,Tables!$J$2)), $E665&lt;&gt;"")</f>
        <v>0</v>
      </c>
    </row>
    <row r="666" spans="1:18" x14ac:dyDescent="0.25">
      <c r="A666">
        <f>IF(AND(B666="", D666&lt;&gt;""), A665, A665+1)</f>
        <v>660</v>
      </c>
      <c r="R666" t="b">
        <f>AND(ISNUMBER(FIND($E666,Tables!$I$2)), ISNUMBER(FIND($D666,Tables!$J$2)), $E666&lt;&gt;"")</f>
        <v>0</v>
      </c>
    </row>
    <row r="667" spans="1:18" x14ac:dyDescent="0.25">
      <c r="A667">
        <f>IF(AND(B667="", D667&lt;&gt;""), A666, A666+1)</f>
        <v>661</v>
      </c>
      <c r="R667" t="b">
        <f>AND(ISNUMBER(FIND($E667,Tables!$I$2)), ISNUMBER(FIND($D667,Tables!$J$2)), $E667&lt;&gt;"")</f>
        <v>0</v>
      </c>
    </row>
    <row r="668" spans="1:18" x14ac:dyDescent="0.25">
      <c r="A668">
        <f>IF(AND(B668="", D668&lt;&gt;""), A667, A667+1)</f>
        <v>662</v>
      </c>
      <c r="R668" t="b">
        <f>AND(ISNUMBER(FIND($E668,Tables!$I$2)), ISNUMBER(FIND($D668,Tables!$J$2)), $E668&lt;&gt;"")</f>
        <v>0</v>
      </c>
    </row>
    <row r="669" spans="1:18" x14ac:dyDescent="0.25">
      <c r="A669">
        <f>IF(AND(B669="", D669&lt;&gt;""), A668, A668+1)</f>
        <v>663</v>
      </c>
      <c r="R669" t="b">
        <f>AND(ISNUMBER(FIND($E669,Tables!$I$2)), ISNUMBER(FIND($D669,Tables!$J$2)), $E669&lt;&gt;"")</f>
        <v>0</v>
      </c>
    </row>
    <row r="670" spans="1:18" x14ac:dyDescent="0.25">
      <c r="A670">
        <f>IF(AND(B670="", D670&lt;&gt;""), A669, A669+1)</f>
        <v>664</v>
      </c>
      <c r="R670" t="b">
        <f>AND(ISNUMBER(FIND($E670,Tables!$I$2)), ISNUMBER(FIND($D670,Tables!$J$2)), $E670&lt;&gt;"")</f>
        <v>0</v>
      </c>
    </row>
    <row r="671" spans="1:18" x14ac:dyDescent="0.25">
      <c r="A671">
        <f>IF(AND(B671="", D671&lt;&gt;""), A670, A670+1)</f>
        <v>665</v>
      </c>
      <c r="R671" t="b">
        <f>AND(ISNUMBER(FIND($E671,Tables!$I$2)), ISNUMBER(FIND($D671,Tables!$J$2)), $E671&lt;&gt;"")</f>
        <v>0</v>
      </c>
    </row>
    <row r="672" spans="1:18" x14ac:dyDescent="0.25">
      <c r="A672">
        <f>IF(AND(B672="", D672&lt;&gt;""), A671, A671+1)</f>
        <v>666</v>
      </c>
      <c r="R672" t="b">
        <f>AND(ISNUMBER(FIND($E672,Tables!$I$2)), ISNUMBER(FIND($D672,Tables!$J$2)), $E672&lt;&gt;"")</f>
        <v>0</v>
      </c>
    </row>
    <row r="673" spans="1:18" x14ac:dyDescent="0.25">
      <c r="A673">
        <f>IF(AND(B673="", D673&lt;&gt;""), A672, A672+1)</f>
        <v>667</v>
      </c>
      <c r="R673" t="b">
        <f>AND(ISNUMBER(FIND($E673,Tables!$I$2)), ISNUMBER(FIND($D673,Tables!$J$2)), $E673&lt;&gt;"")</f>
        <v>0</v>
      </c>
    </row>
    <row r="674" spans="1:18" x14ac:dyDescent="0.25">
      <c r="A674">
        <f>IF(AND(B674="", D674&lt;&gt;""), A673, A673+1)</f>
        <v>668</v>
      </c>
      <c r="R674" t="b">
        <f>AND(ISNUMBER(FIND($E674,Tables!$I$2)), ISNUMBER(FIND($D674,Tables!$J$2)), $E674&lt;&gt;"")</f>
        <v>0</v>
      </c>
    </row>
    <row r="675" spans="1:18" x14ac:dyDescent="0.25">
      <c r="A675">
        <f>IF(AND(B675="", D675&lt;&gt;""), A674, A674+1)</f>
        <v>669</v>
      </c>
      <c r="R675" t="b">
        <f>AND(ISNUMBER(FIND($E675,Tables!$I$2)), ISNUMBER(FIND($D675,Tables!$J$2)), $E675&lt;&gt;"")</f>
        <v>0</v>
      </c>
    </row>
    <row r="676" spans="1:18" x14ac:dyDescent="0.25">
      <c r="A676">
        <f>IF(AND(B676="", D676&lt;&gt;""), A675, A675+1)</f>
        <v>670</v>
      </c>
      <c r="R676" t="b">
        <f>AND(ISNUMBER(FIND($E676,Tables!$I$2)), ISNUMBER(FIND($D676,Tables!$J$2)), $E676&lt;&gt;"")</f>
        <v>0</v>
      </c>
    </row>
    <row r="677" spans="1:18" x14ac:dyDescent="0.25">
      <c r="A677">
        <f>IF(AND(B677="", D677&lt;&gt;""), A676, A676+1)</f>
        <v>671</v>
      </c>
      <c r="R677" t="b">
        <f>AND(ISNUMBER(FIND($E677,Tables!$I$2)), ISNUMBER(FIND($D677,Tables!$J$2)), $E677&lt;&gt;"")</f>
        <v>0</v>
      </c>
    </row>
    <row r="678" spans="1:18" x14ac:dyDescent="0.25">
      <c r="A678">
        <f>IF(AND(B678="", D678&lt;&gt;""), A677, A677+1)</f>
        <v>672</v>
      </c>
      <c r="R678" t="b">
        <f>AND(ISNUMBER(FIND($E678,Tables!$I$2)), ISNUMBER(FIND($D678,Tables!$J$2)), $E678&lt;&gt;"")</f>
        <v>0</v>
      </c>
    </row>
    <row r="679" spans="1:18" x14ac:dyDescent="0.25">
      <c r="A679">
        <f>IF(AND(B679="", D679&lt;&gt;""), A678, A678+1)</f>
        <v>673</v>
      </c>
      <c r="R679" t="b">
        <f>AND(ISNUMBER(FIND($E679,Tables!$I$2)), ISNUMBER(FIND($D679,Tables!$J$2)), $E679&lt;&gt;"")</f>
        <v>0</v>
      </c>
    </row>
    <row r="680" spans="1:18" x14ac:dyDescent="0.25">
      <c r="A680">
        <f>IF(AND(B680="", D680&lt;&gt;""), A679, A679+1)</f>
        <v>674</v>
      </c>
      <c r="R680" t="b">
        <f>AND(ISNUMBER(FIND($E680,Tables!$I$2)), ISNUMBER(FIND($D680,Tables!$J$2)), $E680&lt;&gt;"")</f>
        <v>0</v>
      </c>
    </row>
    <row r="681" spans="1:18" x14ac:dyDescent="0.25">
      <c r="A681">
        <f>IF(AND(B681="", D681&lt;&gt;""), A680, A680+1)</f>
        <v>675</v>
      </c>
      <c r="R681" t="b">
        <f>AND(ISNUMBER(FIND($E681,Tables!$I$2)), ISNUMBER(FIND($D681,Tables!$J$2)), $E681&lt;&gt;"")</f>
        <v>0</v>
      </c>
    </row>
    <row r="682" spans="1:18" x14ac:dyDescent="0.25">
      <c r="A682">
        <f>IF(AND(B682="", D682&lt;&gt;""), A681, A681+1)</f>
        <v>676</v>
      </c>
      <c r="R682" t="b">
        <f>AND(ISNUMBER(FIND($E682,Tables!$I$2)), ISNUMBER(FIND($D682,Tables!$J$2)), $E682&lt;&gt;"")</f>
        <v>0</v>
      </c>
    </row>
    <row r="683" spans="1:18" x14ac:dyDescent="0.25">
      <c r="A683">
        <f>IF(AND(B683="", D683&lt;&gt;""), A682, A682+1)</f>
        <v>677</v>
      </c>
      <c r="R683" t="b">
        <f>AND(ISNUMBER(FIND($E683,Tables!$I$2)), ISNUMBER(FIND($D683,Tables!$J$2)), $E683&lt;&gt;"")</f>
        <v>0</v>
      </c>
    </row>
    <row r="684" spans="1:18" x14ac:dyDescent="0.25">
      <c r="A684">
        <f>IF(AND(B684="", D684&lt;&gt;""), A683, A683+1)</f>
        <v>678</v>
      </c>
      <c r="R684" t="b">
        <f>AND(ISNUMBER(FIND($E684,Tables!$I$2)), ISNUMBER(FIND($D684,Tables!$J$2)), $E684&lt;&gt;"")</f>
        <v>0</v>
      </c>
    </row>
    <row r="685" spans="1:18" x14ac:dyDescent="0.25">
      <c r="A685">
        <f>IF(AND(B685="", D685&lt;&gt;""), A684, A684+1)</f>
        <v>679</v>
      </c>
      <c r="R685" t="b">
        <f>AND(ISNUMBER(FIND($E685,Tables!$I$2)), ISNUMBER(FIND($D685,Tables!$J$2)), $E685&lt;&gt;"")</f>
        <v>0</v>
      </c>
    </row>
    <row r="686" spans="1:18" x14ac:dyDescent="0.25">
      <c r="A686">
        <f>IF(AND(B686="", D686&lt;&gt;""), A685, A685+1)</f>
        <v>680</v>
      </c>
      <c r="R686" t="b">
        <f>AND(ISNUMBER(FIND($E686,Tables!$I$2)), ISNUMBER(FIND($D686,Tables!$J$2)), $E686&lt;&gt;"")</f>
        <v>0</v>
      </c>
    </row>
    <row r="687" spans="1:18" x14ac:dyDescent="0.25">
      <c r="A687">
        <f>IF(AND(B687="", D687&lt;&gt;""), A686, A686+1)</f>
        <v>681</v>
      </c>
      <c r="R687" t="b">
        <f>AND(ISNUMBER(FIND($E687,Tables!$I$2)), ISNUMBER(FIND($D687,Tables!$J$2)), $E687&lt;&gt;"")</f>
        <v>0</v>
      </c>
    </row>
    <row r="688" spans="1:18" x14ac:dyDescent="0.25">
      <c r="A688">
        <f>IF(AND(B688="", D688&lt;&gt;""), A687, A687+1)</f>
        <v>682</v>
      </c>
      <c r="R688" t="b">
        <f>AND(ISNUMBER(FIND($E688,Tables!$I$2)), ISNUMBER(FIND($D688,Tables!$J$2)), $E688&lt;&gt;"")</f>
        <v>0</v>
      </c>
    </row>
    <row r="689" spans="1:18" x14ac:dyDescent="0.25">
      <c r="A689">
        <f>IF(AND(B689="", D689&lt;&gt;""), A688, A688+1)</f>
        <v>683</v>
      </c>
      <c r="R689" t="b">
        <f>AND(ISNUMBER(FIND($E689,Tables!$I$2)), ISNUMBER(FIND($D689,Tables!$J$2)), $E689&lt;&gt;"")</f>
        <v>0</v>
      </c>
    </row>
    <row r="690" spans="1:18" x14ac:dyDescent="0.25">
      <c r="A690">
        <f>IF(AND(B690="", D690&lt;&gt;""), A689, A689+1)</f>
        <v>684</v>
      </c>
      <c r="R690" t="b">
        <f>AND(ISNUMBER(FIND($E690,Tables!$I$2)), ISNUMBER(FIND($D690,Tables!$J$2)), $E690&lt;&gt;"")</f>
        <v>0</v>
      </c>
    </row>
    <row r="691" spans="1:18" x14ac:dyDescent="0.25">
      <c r="A691">
        <f>IF(AND(B691="", D691&lt;&gt;""), A690, A690+1)</f>
        <v>685</v>
      </c>
      <c r="R691" t="b">
        <f>AND(ISNUMBER(FIND($E691,Tables!$I$2)), ISNUMBER(FIND($D691,Tables!$J$2)), $E691&lt;&gt;"")</f>
        <v>0</v>
      </c>
    </row>
    <row r="692" spans="1:18" x14ac:dyDescent="0.25">
      <c r="A692">
        <f>IF(AND(B692="", D692&lt;&gt;""), A691, A691+1)</f>
        <v>686</v>
      </c>
      <c r="R692" t="b">
        <f>AND(ISNUMBER(FIND($E692,Tables!$I$2)), ISNUMBER(FIND($D692,Tables!$J$2)), $E692&lt;&gt;"")</f>
        <v>0</v>
      </c>
    </row>
    <row r="693" spans="1:18" x14ac:dyDescent="0.25">
      <c r="A693">
        <f>IF(AND(B693="", D693&lt;&gt;""), A692, A692+1)</f>
        <v>687</v>
      </c>
      <c r="R693" t="b">
        <f>AND(ISNUMBER(FIND($E693,Tables!$I$2)), ISNUMBER(FIND($D693,Tables!$J$2)), $E693&lt;&gt;"")</f>
        <v>0</v>
      </c>
    </row>
    <row r="694" spans="1:18" x14ac:dyDescent="0.25">
      <c r="A694">
        <f>IF(AND(B694="", D694&lt;&gt;""), A693, A693+1)</f>
        <v>688</v>
      </c>
      <c r="R694" t="b">
        <f>AND(ISNUMBER(FIND($E694,Tables!$I$2)), ISNUMBER(FIND($D694,Tables!$J$2)), $E694&lt;&gt;"")</f>
        <v>0</v>
      </c>
    </row>
    <row r="695" spans="1:18" x14ac:dyDescent="0.25">
      <c r="A695">
        <f>IF(AND(B695="", D695&lt;&gt;""), A694, A694+1)</f>
        <v>689</v>
      </c>
      <c r="R695" t="b">
        <f>AND(ISNUMBER(FIND($E695,Tables!$I$2)), ISNUMBER(FIND($D695,Tables!$J$2)), $E695&lt;&gt;"")</f>
        <v>0</v>
      </c>
    </row>
    <row r="696" spans="1:18" x14ac:dyDescent="0.25">
      <c r="A696">
        <f>IF(AND(B696="", D696&lt;&gt;""), A695, A695+1)</f>
        <v>690</v>
      </c>
      <c r="R696" t="b">
        <f>AND(ISNUMBER(FIND($E696,Tables!$I$2)), ISNUMBER(FIND($D696,Tables!$J$2)), $E696&lt;&gt;"")</f>
        <v>0</v>
      </c>
    </row>
    <row r="697" spans="1:18" x14ac:dyDescent="0.25">
      <c r="A697">
        <f>IF(AND(B697="", D697&lt;&gt;""), A696, A696+1)</f>
        <v>691</v>
      </c>
      <c r="R697" t="b">
        <f>AND(ISNUMBER(FIND($E697,Tables!$I$2)), ISNUMBER(FIND($D697,Tables!$J$2)), $E697&lt;&gt;"")</f>
        <v>0</v>
      </c>
    </row>
    <row r="698" spans="1:18" x14ac:dyDescent="0.25">
      <c r="A698">
        <f>IF(AND(B698="", D698&lt;&gt;""), A697, A697+1)</f>
        <v>692</v>
      </c>
      <c r="R698" t="b">
        <f>AND(ISNUMBER(FIND($E698,Tables!$I$2)), ISNUMBER(FIND($D698,Tables!$J$2)), $E698&lt;&gt;"")</f>
        <v>0</v>
      </c>
    </row>
    <row r="699" spans="1:18" x14ac:dyDescent="0.25">
      <c r="A699">
        <f>IF(AND(B699="", D699&lt;&gt;""), A698, A698+1)</f>
        <v>693</v>
      </c>
      <c r="R699" t="b">
        <f>AND(ISNUMBER(FIND($E699,Tables!$I$2)), ISNUMBER(FIND($D699,Tables!$J$2)), $E699&lt;&gt;"")</f>
        <v>0</v>
      </c>
    </row>
    <row r="700" spans="1:18" x14ac:dyDescent="0.25">
      <c r="A700">
        <f>IF(AND(B700="", D700&lt;&gt;""), A699, A699+1)</f>
        <v>694</v>
      </c>
      <c r="R700" t="b">
        <f>AND(ISNUMBER(FIND($E700,Tables!$I$2)), ISNUMBER(FIND($D700,Tables!$J$2)), $E700&lt;&gt;"")</f>
        <v>0</v>
      </c>
    </row>
    <row r="701" spans="1:18" x14ac:dyDescent="0.25">
      <c r="A701">
        <f>IF(AND(B701="", D701&lt;&gt;""), A700, A700+1)</f>
        <v>695</v>
      </c>
      <c r="R701" t="b">
        <f>AND(ISNUMBER(FIND($E701,Tables!$I$2)), ISNUMBER(FIND($D701,Tables!$J$2)), $E701&lt;&gt;"")</f>
        <v>0</v>
      </c>
    </row>
    <row r="702" spans="1:18" x14ac:dyDescent="0.25">
      <c r="A702">
        <f>IF(AND(B702="", D702&lt;&gt;""), A701, A701+1)</f>
        <v>696</v>
      </c>
      <c r="R702" t="b">
        <f>AND(ISNUMBER(FIND($E702,Tables!$I$2)), ISNUMBER(FIND($D702,Tables!$J$2)), $E702&lt;&gt;"")</f>
        <v>0</v>
      </c>
    </row>
    <row r="703" spans="1:18" x14ac:dyDescent="0.25">
      <c r="A703">
        <f>IF(AND(B703="", D703&lt;&gt;""), A702, A702+1)</f>
        <v>697</v>
      </c>
      <c r="R703" t="b">
        <f>AND(ISNUMBER(FIND($E703,Tables!$I$2)), ISNUMBER(FIND($D703,Tables!$J$2)), $E703&lt;&gt;"")</f>
        <v>0</v>
      </c>
    </row>
    <row r="704" spans="1:18" x14ac:dyDescent="0.25">
      <c r="A704">
        <f>IF(AND(B704="", D704&lt;&gt;""), A703, A703+1)</f>
        <v>698</v>
      </c>
      <c r="R704" t="b">
        <f>AND(ISNUMBER(FIND($E704,Tables!$I$2)), ISNUMBER(FIND($D704,Tables!$J$2)), $E704&lt;&gt;"")</f>
        <v>0</v>
      </c>
    </row>
    <row r="705" spans="1:18" x14ac:dyDescent="0.25">
      <c r="A705">
        <f>IF(AND(B705="", D705&lt;&gt;""), A704, A704+1)</f>
        <v>699</v>
      </c>
      <c r="R705" t="b">
        <f>AND(ISNUMBER(FIND($E705,Tables!$I$2)), ISNUMBER(FIND($D705,Tables!$J$2)), $E705&lt;&gt;"")</f>
        <v>0</v>
      </c>
    </row>
    <row r="706" spans="1:18" x14ac:dyDescent="0.25">
      <c r="A706">
        <f>IF(AND(B706="", D706&lt;&gt;""), A705, A705+1)</f>
        <v>700</v>
      </c>
      <c r="R706" t="b">
        <f>AND(ISNUMBER(FIND($E706,Tables!$I$2)), ISNUMBER(FIND($D706,Tables!$J$2)), $E706&lt;&gt;"")</f>
        <v>0</v>
      </c>
    </row>
    <row r="707" spans="1:18" x14ac:dyDescent="0.25">
      <c r="A707">
        <f>IF(AND(B707="", D707&lt;&gt;""), A706, A706+1)</f>
        <v>701</v>
      </c>
      <c r="R707" t="b">
        <f>AND(ISNUMBER(FIND($E707,Tables!$I$2)), ISNUMBER(FIND($D707,Tables!$J$2)), $E707&lt;&gt;"")</f>
        <v>0</v>
      </c>
    </row>
    <row r="708" spans="1:18" x14ac:dyDescent="0.25">
      <c r="A708">
        <f>IF(AND(B708="", D708&lt;&gt;""), A707, A707+1)</f>
        <v>702</v>
      </c>
      <c r="R708" t="b">
        <f>AND(ISNUMBER(FIND($E708,Tables!$I$2)), ISNUMBER(FIND($D708,Tables!$J$2)), $E708&lt;&gt;"")</f>
        <v>0</v>
      </c>
    </row>
    <row r="709" spans="1:18" x14ac:dyDescent="0.25">
      <c r="A709">
        <f>IF(AND(B709="", D709&lt;&gt;""), A708, A708+1)</f>
        <v>703</v>
      </c>
      <c r="R709" t="b">
        <f>AND(ISNUMBER(FIND($E709,Tables!$I$2)), ISNUMBER(FIND($D709,Tables!$J$2)), $E709&lt;&gt;"")</f>
        <v>0</v>
      </c>
    </row>
    <row r="710" spans="1:18" x14ac:dyDescent="0.25">
      <c r="A710">
        <f>IF(AND(B710="", D710&lt;&gt;""), A709, A709+1)</f>
        <v>704</v>
      </c>
      <c r="R710" t="b">
        <f>AND(ISNUMBER(FIND($E710,Tables!$I$2)), ISNUMBER(FIND($D710,Tables!$J$2)), $E710&lt;&gt;"")</f>
        <v>0</v>
      </c>
    </row>
    <row r="711" spans="1:18" x14ac:dyDescent="0.25">
      <c r="A711">
        <f>IF(AND(B711="", D711&lt;&gt;""), A710, A710+1)</f>
        <v>705</v>
      </c>
      <c r="R711" t="b">
        <f>AND(ISNUMBER(FIND($E711,Tables!$I$2)), ISNUMBER(FIND($D711,Tables!$J$2)), $E711&lt;&gt;"")</f>
        <v>0</v>
      </c>
    </row>
    <row r="712" spans="1:18" x14ac:dyDescent="0.25">
      <c r="A712">
        <f>IF(AND(B712="", D712&lt;&gt;""), A711, A711+1)</f>
        <v>706</v>
      </c>
      <c r="R712" t="b">
        <f>AND(ISNUMBER(FIND($E712,Tables!$I$2)), ISNUMBER(FIND($D712,Tables!$J$2)), $E712&lt;&gt;"")</f>
        <v>0</v>
      </c>
    </row>
    <row r="713" spans="1:18" x14ac:dyDescent="0.25">
      <c r="A713">
        <f>IF(AND(B713="", D713&lt;&gt;""), A712, A712+1)</f>
        <v>707</v>
      </c>
      <c r="R713" t="b">
        <f>AND(ISNUMBER(FIND($E713,Tables!$I$2)), ISNUMBER(FIND($D713,Tables!$J$2)), $E713&lt;&gt;"")</f>
        <v>0</v>
      </c>
    </row>
    <row r="714" spans="1:18" x14ac:dyDescent="0.25">
      <c r="A714">
        <f>IF(AND(B714="", D714&lt;&gt;""), A713, A713+1)</f>
        <v>708</v>
      </c>
      <c r="R714" t="b">
        <f>AND(ISNUMBER(FIND($E714,Tables!$I$2)), ISNUMBER(FIND($D714,Tables!$J$2)), $E714&lt;&gt;"")</f>
        <v>0</v>
      </c>
    </row>
    <row r="715" spans="1:18" x14ac:dyDescent="0.25">
      <c r="A715">
        <f>IF(AND(B715="", D715&lt;&gt;""), A714, A714+1)</f>
        <v>709</v>
      </c>
      <c r="R715" t="b">
        <f>AND(ISNUMBER(FIND($E715,Tables!$I$2)), ISNUMBER(FIND($D715,Tables!$J$2)), $E715&lt;&gt;"")</f>
        <v>0</v>
      </c>
    </row>
    <row r="716" spans="1:18" x14ac:dyDescent="0.25">
      <c r="A716">
        <f>IF(AND(B716="", D716&lt;&gt;""), A715, A715+1)</f>
        <v>710</v>
      </c>
      <c r="R716" t="b">
        <f>AND(ISNUMBER(FIND($E716,Tables!$I$2)), ISNUMBER(FIND($D716,Tables!$J$2)), $E716&lt;&gt;"")</f>
        <v>0</v>
      </c>
    </row>
    <row r="717" spans="1:18" x14ac:dyDescent="0.25">
      <c r="A717">
        <f>IF(AND(B717="", D717&lt;&gt;""), A716, A716+1)</f>
        <v>711</v>
      </c>
      <c r="R717" t="b">
        <f>AND(ISNUMBER(FIND($E717,Tables!$I$2)), ISNUMBER(FIND($D717,Tables!$J$2)), $E717&lt;&gt;"")</f>
        <v>0</v>
      </c>
    </row>
    <row r="718" spans="1:18" x14ac:dyDescent="0.25">
      <c r="A718">
        <f>IF(AND(B718="", D718&lt;&gt;""), A717, A717+1)</f>
        <v>712</v>
      </c>
      <c r="R718" t="b">
        <f>AND(ISNUMBER(FIND($E718,Tables!$I$2)), ISNUMBER(FIND($D718,Tables!$J$2)), $E718&lt;&gt;"")</f>
        <v>0</v>
      </c>
    </row>
    <row r="719" spans="1:18" x14ac:dyDescent="0.25">
      <c r="A719">
        <f>IF(AND(B719="", D719&lt;&gt;""), A718, A718+1)</f>
        <v>713</v>
      </c>
      <c r="R719" t="b">
        <f>AND(ISNUMBER(FIND($E719,Tables!$I$2)), ISNUMBER(FIND($D719,Tables!$J$2)), $E719&lt;&gt;"")</f>
        <v>0</v>
      </c>
    </row>
    <row r="720" spans="1:18" x14ac:dyDescent="0.25">
      <c r="A720">
        <f>IF(AND(B720="", D720&lt;&gt;""), A719, A719+1)</f>
        <v>714</v>
      </c>
      <c r="R720" t="b">
        <f>AND(ISNUMBER(FIND($E720,Tables!$I$2)), ISNUMBER(FIND($D720,Tables!$J$2)), $E720&lt;&gt;"")</f>
        <v>0</v>
      </c>
    </row>
    <row r="721" spans="1:18" x14ac:dyDescent="0.25">
      <c r="A721">
        <f>IF(AND(B721="", D721&lt;&gt;""), A720, A720+1)</f>
        <v>715</v>
      </c>
      <c r="R721" t="b">
        <f>AND(ISNUMBER(FIND($E721,Tables!$I$2)), ISNUMBER(FIND($D721,Tables!$J$2)), $E721&lt;&gt;"")</f>
        <v>0</v>
      </c>
    </row>
    <row r="722" spans="1:18" x14ac:dyDescent="0.25">
      <c r="A722">
        <f>IF(AND(B722="", D722&lt;&gt;""), A721, A721+1)</f>
        <v>716</v>
      </c>
      <c r="R722" t="b">
        <f>AND(ISNUMBER(FIND($E722,Tables!$I$2)), ISNUMBER(FIND($D722,Tables!$J$2)), $E722&lt;&gt;"")</f>
        <v>0</v>
      </c>
    </row>
    <row r="723" spans="1:18" x14ac:dyDescent="0.25">
      <c r="A723">
        <f>IF(AND(B723="", D723&lt;&gt;""), A722, A722+1)</f>
        <v>717</v>
      </c>
      <c r="R723" t="b">
        <f>AND(ISNUMBER(FIND($E723,Tables!$I$2)), ISNUMBER(FIND($D723,Tables!$J$2)), $E723&lt;&gt;"")</f>
        <v>0</v>
      </c>
    </row>
    <row r="724" spans="1:18" x14ac:dyDescent="0.25">
      <c r="A724">
        <f>IF(AND(B724="", D724&lt;&gt;""), A723, A723+1)</f>
        <v>718</v>
      </c>
      <c r="R724" t="b">
        <f>AND(ISNUMBER(FIND($E724,Tables!$I$2)), ISNUMBER(FIND($D724,Tables!$J$2)), $E724&lt;&gt;"")</f>
        <v>0</v>
      </c>
    </row>
    <row r="725" spans="1:18" x14ac:dyDescent="0.25">
      <c r="A725">
        <f>IF(AND(B725="", D725&lt;&gt;""), A724, A724+1)</f>
        <v>719</v>
      </c>
      <c r="R725" t="b">
        <f>AND(ISNUMBER(FIND($E725,Tables!$I$2)), ISNUMBER(FIND($D725,Tables!$J$2)), $E725&lt;&gt;"")</f>
        <v>0</v>
      </c>
    </row>
    <row r="726" spans="1:18" x14ac:dyDescent="0.25">
      <c r="A726">
        <f>IF(AND(B726="", D726&lt;&gt;""), A725, A725+1)</f>
        <v>720</v>
      </c>
      <c r="R726" t="b">
        <f>AND(ISNUMBER(FIND($E726,Tables!$I$2)), ISNUMBER(FIND($D726,Tables!$J$2)), $E726&lt;&gt;"")</f>
        <v>0</v>
      </c>
    </row>
    <row r="727" spans="1:18" x14ac:dyDescent="0.25">
      <c r="A727">
        <f>IF(AND(B727="", D727&lt;&gt;""), A726, A726+1)</f>
        <v>721</v>
      </c>
      <c r="R727" t="b">
        <f>AND(ISNUMBER(FIND($E727,Tables!$I$2)), ISNUMBER(FIND($D727,Tables!$J$2)), $E727&lt;&gt;"")</f>
        <v>0</v>
      </c>
    </row>
    <row r="728" spans="1:18" x14ac:dyDescent="0.25">
      <c r="A728">
        <f>IF(AND(B728="", D728&lt;&gt;""), A727, A727+1)</f>
        <v>722</v>
      </c>
      <c r="R728" t="b">
        <f>AND(ISNUMBER(FIND($E728,Tables!$I$2)), ISNUMBER(FIND($D728,Tables!$J$2)), $E728&lt;&gt;"")</f>
        <v>0</v>
      </c>
    </row>
    <row r="729" spans="1:18" x14ac:dyDescent="0.25">
      <c r="A729">
        <f>IF(AND(B729="", D729&lt;&gt;""), A728, A728+1)</f>
        <v>723</v>
      </c>
      <c r="R729" t="b">
        <f>AND(ISNUMBER(FIND($E729,Tables!$I$2)), ISNUMBER(FIND($D729,Tables!$J$2)), $E729&lt;&gt;"")</f>
        <v>0</v>
      </c>
    </row>
    <row r="730" spans="1:18" x14ac:dyDescent="0.25">
      <c r="A730">
        <f>IF(AND(B730="", D730&lt;&gt;""), A729, A729+1)</f>
        <v>724</v>
      </c>
      <c r="R730" t="b">
        <f>AND(ISNUMBER(FIND($E730,Tables!$I$2)), ISNUMBER(FIND($D730,Tables!$J$2)), $E730&lt;&gt;"")</f>
        <v>0</v>
      </c>
    </row>
    <row r="731" spans="1:18" x14ac:dyDescent="0.25">
      <c r="A731">
        <f>IF(AND(B731="", D731&lt;&gt;""), A730, A730+1)</f>
        <v>725</v>
      </c>
      <c r="R731" t="b">
        <f>AND(ISNUMBER(FIND($E731,Tables!$I$2)), ISNUMBER(FIND($D731,Tables!$J$2)), $E731&lt;&gt;"")</f>
        <v>0</v>
      </c>
    </row>
    <row r="732" spans="1:18" x14ac:dyDescent="0.25">
      <c r="A732">
        <f>IF(AND(B732="", D732&lt;&gt;""), A731, A731+1)</f>
        <v>726</v>
      </c>
      <c r="R732" t="b">
        <f>AND(ISNUMBER(FIND($E732,Tables!$I$2)), ISNUMBER(FIND($D732,Tables!$J$2)), $E732&lt;&gt;"")</f>
        <v>0</v>
      </c>
    </row>
    <row r="733" spans="1:18" x14ac:dyDescent="0.25">
      <c r="A733">
        <f>IF(AND(B733="", D733&lt;&gt;""), A732, A732+1)</f>
        <v>727</v>
      </c>
      <c r="R733" t="b">
        <f>AND(ISNUMBER(FIND($E733,Tables!$I$2)), ISNUMBER(FIND($D733,Tables!$J$2)), $E733&lt;&gt;"")</f>
        <v>0</v>
      </c>
    </row>
    <row r="734" spans="1:18" x14ac:dyDescent="0.25">
      <c r="A734">
        <f>IF(AND(B734="", D734&lt;&gt;""), A733, A733+1)</f>
        <v>728</v>
      </c>
      <c r="R734" t="b">
        <f>AND(ISNUMBER(FIND($E734,Tables!$I$2)), ISNUMBER(FIND($D734,Tables!$J$2)), $E734&lt;&gt;"")</f>
        <v>0</v>
      </c>
    </row>
    <row r="735" spans="1:18" x14ac:dyDescent="0.25">
      <c r="A735">
        <f>IF(AND(B735="", D735&lt;&gt;""), A734, A734+1)</f>
        <v>729</v>
      </c>
      <c r="R735" t="b">
        <f>AND(ISNUMBER(FIND($E735,Tables!$I$2)), ISNUMBER(FIND($D735,Tables!$J$2)), $E735&lt;&gt;"")</f>
        <v>0</v>
      </c>
    </row>
    <row r="736" spans="1:18" x14ac:dyDescent="0.25">
      <c r="A736">
        <f>IF(AND(B736="", D736&lt;&gt;""), A735, A735+1)</f>
        <v>730</v>
      </c>
      <c r="R736" t="b">
        <f>AND(ISNUMBER(FIND($E736,Tables!$I$2)), ISNUMBER(FIND($D736,Tables!$J$2)), $E736&lt;&gt;"")</f>
        <v>0</v>
      </c>
    </row>
    <row r="737" spans="1:18" x14ac:dyDescent="0.25">
      <c r="A737">
        <f>IF(AND(B737="", D737&lt;&gt;""), A736, A736+1)</f>
        <v>731</v>
      </c>
      <c r="R737" t="b">
        <f>AND(ISNUMBER(FIND($E737,Tables!$I$2)), ISNUMBER(FIND($D737,Tables!$J$2)), $E737&lt;&gt;"")</f>
        <v>0</v>
      </c>
    </row>
    <row r="738" spans="1:18" x14ac:dyDescent="0.25">
      <c r="A738">
        <f>IF(AND(B738="", D738&lt;&gt;""), A737, A737+1)</f>
        <v>732</v>
      </c>
      <c r="R738" t="b">
        <f>AND(ISNUMBER(FIND($E738,Tables!$I$2)), ISNUMBER(FIND($D738,Tables!$J$2)), $E738&lt;&gt;"")</f>
        <v>0</v>
      </c>
    </row>
    <row r="739" spans="1:18" x14ac:dyDescent="0.25">
      <c r="A739">
        <f>IF(AND(B739="", D739&lt;&gt;""), A738, A738+1)</f>
        <v>733</v>
      </c>
      <c r="R739" t="b">
        <f>AND(ISNUMBER(FIND($E739,Tables!$I$2)), ISNUMBER(FIND($D739,Tables!$J$2)), $E739&lt;&gt;"")</f>
        <v>0</v>
      </c>
    </row>
    <row r="740" spans="1:18" x14ac:dyDescent="0.25">
      <c r="A740">
        <f>IF(AND(B740="", D740&lt;&gt;""), A739, A739+1)</f>
        <v>734</v>
      </c>
      <c r="R740" t="b">
        <f>AND(ISNUMBER(FIND($E740,Tables!$I$2)), ISNUMBER(FIND($D740,Tables!$J$2)), $E740&lt;&gt;"")</f>
        <v>0</v>
      </c>
    </row>
    <row r="741" spans="1:18" x14ac:dyDescent="0.25">
      <c r="A741">
        <f>IF(AND(B741="", D741&lt;&gt;""), A740, A740+1)</f>
        <v>735</v>
      </c>
      <c r="R741" t="b">
        <f>AND(ISNUMBER(FIND($E741,Tables!$I$2)), ISNUMBER(FIND($D741,Tables!$J$2)), $E741&lt;&gt;"")</f>
        <v>0</v>
      </c>
    </row>
    <row r="742" spans="1:18" x14ac:dyDescent="0.25">
      <c r="A742">
        <f>IF(AND(B742="", D742&lt;&gt;""), A741, A741+1)</f>
        <v>736</v>
      </c>
      <c r="R742" t="b">
        <f>AND(ISNUMBER(FIND($E742,Tables!$I$2)), ISNUMBER(FIND($D742,Tables!$J$2)), $E742&lt;&gt;"")</f>
        <v>0</v>
      </c>
    </row>
    <row r="743" spans="1:18" x14ac:dyDescent="0.25">
      <c r="A743">
        <f>IF(AND(B743="", D743&lt;&gt;""), A742, A742+1)</f>
        <v>737</v>
      </c>
      <c r="R743" t="b">
        <f>AND(ISNUMBER(FIND($E743,Tables!$I$2)), ISNUMBER(FIND($D743,Tables!$J$2)), $E743&lt;&gt;"")</f>
        <v>0</v>
      </c>
    </row>
    <row r="744" spans="1:18" x14ac:dyDescent="0.25">
      <c r="A744">
        <f>IF(AND(B744="", D744&lt;&gt;""), A743, A743+1)</f>
        <v>738</v>
      </c>
      <c r="R744" t="b">
        <f>AND(ISNUMBER(FIND($E744,Tables!$I$2)), ISNUMBER(FIND($D744,Tables!$J$2)), $E744&lt;&gt;"")</f>
        <v>0</v>
      </c>
    </row>
    <row r="745" spans="1:18" x14ac:dyDescent="0.25">
      <c r="A745">
        <f>IF(AND(B745="", D745&lt;&gt;""), A744, A744+1)</f>
        <v>739</v>
      </c>
      <c r="R745" t="b">
        <f>AND(ISNUMBER(FIND($E745,Tables!$I$2)), ISNUMBER(FIND($D745,Tables!$J$2)), $E745&lt;&gt;"")</f>
        <v>0</v>
      </c>
    </row>
    <row r="746" spans="1:18" x14ac:dyDescent="0.25">
      <c r="A746">
        <f>IF(AND(B746="", D746&lt;&gt;""), A745, A745+1)</f>
        <v>740</v>
      </c>
      <c r="R746" t="b">
        <f>AND(ISNUMBER(FIND($E746,Tables!$I$2)), ISNUMBER(FIND($D746,Tables!$J$2)), $E746&lt;&gt;"")</f>
        <v>0</v>
      </c>
    </row>
    <row r="747" spans="1:18" x14ac:dyDescent="0.25">
      <c r="A747">
        <f>IF(AND(B747="", D747&lt;&gt;""), A746, A746+1)</f>
        <v>741</v>
      </c>
      <c r="R747" t="b">
        <f>AND(ISNUMBER(FIND($E747,Tables!$I$2)), ISNUMBER(FIND($D747,Tables!$J$2)), $E747&lt;&gt;"")</f>
        <v>0</v>
      </c>
    </row>
    <row r="748" spans="1:18" x14ac:dyDescent="0.25">
      <c r="A748">
        <f>IF(AND(B748="", D748&lt;&gt;""), A747, A747+1)</f>
        <v>742</v>
      </c>
      <c r="R748" t="b">
        <f>AND(ISNUMBER(FIND($E748,Tables!$I$2)), ISNUMBER(FIND($D748,Tables!$J$2)), $E748&lt;&gt;"")</f>
        <v>0</v>
      </c>
    </row>
    <row r="749" spans="1:18" x14ac:dyDescent="0.25">
      <c r="A749">
        <f>IF(AND(B749="", D749&lt;&gt;""), A748, A748+1)</f>
        <v>743</v>
      </c>
      <c r="R749" t="b">
        <f>AND(ISNUMBER(FIND($E749,Tables!$I$2)), ISNUMBER(FIND($D749,Tables!$J$2)), $E749&lt;&gt;"")</f>
        <v>0</v>
      </c>
    </row>
    <row r="750" spans="1:18" x14ac:dyDescent="0.25">
      <c r="A750">
        <f>IF(AND(B750="", D750&lt;&gt;""), A749, A749+1)</f>
        <v>744</v>
      </c>
      <c r="R750" t="b">
        <f>AND(ISNUMBER(FIND($E750,Tables!$I$2)), ISNUMBER(FIND($D750,Tables!$J$2)), $E750&lt;&gt;"")</f>
        <v>0</v>
      </c>
    </row>
    <row r="751" spans="1:18" x14ac:dyDescent="0.25">
      <c r="A751">
        <f>IF(AND(B751="", D751&lt;&gt;""), A750, A750+1)</f>
        <v>745</v>
      </c>
      <c r="R751" t="b">
        <f>AND(ISNUMBER(FIND($E751,Tables!$I$2)), ISNUMBER(FIND($D751,Tables!$J$2)), $E751&lt;&gt;"")</f>
        <v>0</v>
      </c>
    </row>
    <row r="752" spans="1:18" x14ac:dyDescent="0.25">
      <c r="A752">
        <f>IF(AND(B752="", D752&lt;&gt;""), A751, A751+1)</f>
        <v>746</v>
      </c>
      <c r="R752" t="b">
        <f>AND(ISNUMBER(FIND($E752,Tables!$I$2)), ISNUMBER(FIND($D752,Tables!$J$2)), $E752&lt;&gt;"")</f>
        <v>0</v>
      </c>
    </row>
    <row r="753" spans="1:18" x14ac:dyDescent="0.25">
      <c r="A753">
        <f>IF(AND(B753="", D753&lt;&gt;""), A752, A752+1)</f>
        <v>747</v>
      </c>
      <c r="R753" t="b">
        <f>AND(ISNUMBER(FIND($E753,Tables!$I$2)), ISNUMBER(FIND($D753,Tables!$J$2)), $E753&lt;&gt;"")</f>
        <v>0</v>
      </c>
    </row>
    <row r="754" spans="1:18" x14ac:dyDescent="0.25">
      <c r="A754">
        <f>IF(AND(B754="", D754&lt;&gt;""), A753, A753+1)</f>
        <v>748</v>
      </c>
      <c r="R754" t="b">
        <f>AND(ISNUMBER(FIND($E754,Tables!$I$2)), ISNUMBER(FIND($D754,Tables!$J$2)), $E754&lt;&gt;"")</f>
        <v>0</v>
      </c>
    </row>
    <row r="755" spans="1:18" x14ac:dyDescent="0.25">
      <c r="A755">
        <f>IF(AND(B755="", D755&lt;&gt;""), A754, A754+1)</f>
        <v>749</v>
      </c>
      <c r="R755" t="b">
        <f>AND(ISNUMBER(FIND($E755,Tables!$I$2)), ISNUMBER(FIND($D755,Tables!$J$2)), $E755&lt;&gt;"")</f>
        <v>0</v>
      </c>
    </row>
    <row r="756" spans="1:18" x14ac:dyDescent="0.25">
      <c r="A756">
        <f>IF(AND(B756="", D756&lt;&gt;""), A755, A755+1)</f>
        <v>750</v>
      </c>
      <c r="R756" t="b">
        <f>AND(ISNUMBER(FIND($E756,Tables!$I$2)), ISNUMBER(FIND($D756,Tables!$J$2)), $E756&lt;&gt;"")</f>
        <v>0</v>
      </c>
    </row>
    <row r="757" spans="1:18" x14ac:dyDescent="0.25">
      <c r="A757">
        <f>IF(AND(B757="", D757&lt;&gt;""), A756, A756+1)</f>
        <v>751</v>
      </c>
      <c r="R757" t="b">
        <f>AND(ISNUMBER(FIND($E757,Tables!$I$2)), ISNUMBER(FIND($D757,Tables!$J$2)), $E757&lt;&gt;"")</f>
        <v>0</v>
      </c>
    </row>
    <row r="758" spans="1:18" x14ac:dyDescent="0.25">
      <c r="A758">
        <f>IF(AND(B758="", D758&lt;&gt;""), A757, A757+1)</f>
        <v>752</v>
      </c>
      <c r="R758" t="b">
        <f>AND(ISNUMBER(FIND($E758,Tables!$I$2)), ISNUMBER(FIND($D758,Tables!$J$2)), $E758&lt;&gt;"")</f>
        <v>0</v>
      </c>
    </row>
    <row r="759" spans="1:18" x14ac:dyDescent="0.25">
      <c r="A759">
        <f>IF(AND(B759="", D759&lt;&gt;""), A758, A758+1)</f>
        <v>753</v>
      </c>
      <c r="R759" t="b">
        <f>AND(ISNUMBER(FIND($E759,Tables!$I$2)), ISNUMBER(FIND($D759,Tables!$J$2)), $E759&lt;&gt;"")</f>
        <v>0</v>
      </c>
    </row>
    <row r="760" spans="1:18" x14ac:dyDescent="0.25">
      <c r="A760">
        <f>IF(AND(B760="", D760&lt;&gt;""), A759, A759+1)</f>
        <v>754</v>
      </c>
      <c r="R760" t="b">
        <f>AND(ISNUMBER(FIND($E760,Tables!$I$2)), ISNUMBER(FIND($D760,Tables!$J$2)), $E760&lt;&gt;"")</f>
        <v>0</v>
      </c>
    </row>
    <row r="761" spans="1:18" x14ac:dyDescent="0.25">
      <c r="A761">
        <f>IF(AND(B761="", D761&lt;&gt;""), A760, A760+1)</f>
        <v>755</v>
      </c>
      <c r="R761" t="b">
        <f>AND(ISNUMBER(FIND($E761,Tables!$I$2)), ISNUMBER(FIND($D761,Tables!$J$2)), $E761&lt;&gt;"")</f>
        <v>0</v>
      </c>
    </row>
    <row r="762" spans="1:18" x14ac:dyDescent="0.25">
      <c r="A762">
        <f>IF(AND(B762="", D762&lt;&gt;""), A761, A761+1)</f>
        <v>756</v>
      </c>
      <c r="R762" t="b">
        <f>AND(ISNUMBER(FIND($E762,Tables!$I$2)), ISNUMBER(FIND($D762,Tables!$J$2)), $E762&lt;&gt;"")</f>
        <v>0</v>
      </c>
    </row>
    <row r="763" spans="1:18" x14ac:dyDescent="0.25">
      <c r="A763">
        <f>IF(AND(B763="", D763&lt;&gt;""), A762, A762+1)</f>
        <v>757</v>
      </c>
      <c r="R763" t="b">
        <f>AND(ISNUMBER(FIND($E763,Tables!$I$2)), ISNUMBER(FIND($D763,Tables!$J$2)), $E763&lt;&gt;"")</f>
        <v>0</v>
      </c>
    </row>
    <row r="764" spans="1:18" x14ac:dyDescent="0.25">
      <c r="A764">
        <f>IF(AND(B764="", D764&lt;&gt;""), A763, A763+1)</f>
        <v>758</v>
      </c>
      <c r="R764" t="b">
        <f>AND(ISNUMBER(FIND($E764,Tables!$I$2)), ISNUMBER(FIND($D764,Tables!$J$2)), $E764&lt;&gt;"")</f>
        <v>0</v>
      </c>
    </row>
    <row r="765" spans="1:18" x14ac:dyDescent="0.25">
      <c r="A765">
        <f>IF(AND(B765="", D765&lt;&gt;""), A764, A764+1)</f>
        <v>759</v>
      </c>
      <c r="R765" t="b">
        <f>AND(ISNUMBER(FIND($E765,Tables!$I$2)), ISNUMBER(FIND($D765,Tables!$J$2)), $E765&lt;&gt;"")</f>
        <v>0</v>
      </c>
    </row>
    <row r="766" spans="1:18" x14ac:dyDescent="0.25">
      <c r="A766">
        <f>IF(AND(B766="", D766&lt;&gt;""), A765, A765+1)</f>
        <v>760</v>
      </c>
      <c r="R766" t="b">
        <f>AND(ISNUMBER(FIND($E766,Tables!$I$2)), ISNUMBER(FIND($D766,Tables!$J$2)), $E766&lt;&gt;"")</f>
        <v>0</v>
      </c>
    </row>
    <row r="767" spans="1:18" x14ac:dyDescent="0.25">
      <c r="A767">
        <f>IF(AND(B767="", D767&lt;&gt;""), A766, A766+1)</f>
        <v>761</v>
      </c>
      <c r="R767" t="b">
        <f>AND(ISNUMBER(FIND($E767,Tables!$I$2)), ISNUMBER(FIND($D767,Tables!$J$2)), $E767&lt;&gt;"")</f>
        <v>0</v>
      </c>
    </row>
    <row r="768" spans="1:18" x14ac:dyDescent="0.25">
      <c r="A768">
        <f>IF(AND(B768="", D768&lt;&gt;""), A767, A767+1)</f>
        <v>762</v>
      </c>
      <c r="R768" t="b">
        <f>AND(ISNUMBER(FIND($E768,Tables!$I$2)), ISNUMBER(FIND($D768,Tables!$J$2)), $E768&lt;&gt;"")</f>
        <v>0</v>
      </c>
    </row>
    <row r="769" spans="1:18" x14ac:dyDescent="0.25">
      <c r="A769">
        <f>IF(AND(B769="", D769&lt;&gt;""), A768, A768+1)</f>
        <v>763</v>
      </c>
      <c r="R769" t="b">
        <f>AND(ISNUMBER(FIND($E769,Tables!$I$2)), ISNUMBER(FIND($D769,Tables!$J$2)), $E769&lt;&gt;"")</f>
        <v>0</v>
      </c>
    </row>
    <row r="770" spans="1:18" x14ac:dyDescent="0.25">
      <c r="A770">
        <f>IF(AND(B770="", D770&lt;&gt;""), A769, A769+1)</f>
        <v>764</v>
      </c>
      <c r="R770" t="b">
        <f>AND(ISNUMBER(FIND($E770,Tables!$I$2)), ISNUMBER(FIND($D770,Tables!$J$2)), $E770&lt;&gt;"")</f>
        <v>0</v>
      </c>
    </row>
    <row r="771" spans="1:18" x14ac:dyDescent="0.25">
      <c r="A771">
        <f>IF(AND(B771="", D771&lt;&gt;""), A770, A770+1)</f>
        <v>765</v>
      </c>
      <c r="R771" t="b">
        <f>AND(ISNUMBER(FIND($E771,Tables!$I$2)), ISNUMBER(FIND($D771,Tables!$J$2)), $E771&lt;&gt;"")</f>
        <v>0</v>
      </c>
    </row>
    <row r="772" spans="1:18" x14ac:dyDescent="0.25">
      <c r="A772">
        <f>IF(AND(B772="", D772&lt;&gt;""), A771, A771+1)</f>
        <v>766</v>
      </c>
      <c r="R772" t="b">
        <f>AND(ISNUMBER(FIND($E772,Tables!$I$2)), ISNUMBER(FIND($D772,Tables!$J$2)), $E772&lt;&gt;"")</f>
        <v>0</v>
      </c>
    </row>
    <row r="773" spans="1:18" x14ac:dyDescent="0.25">
      <c r="A773">
        <f>IF(AND(B773="", D773&lt;&gt;""), A772, A772+1)</f>
        <v>767</v>
      </c>
      <c r="R773" t="b">
        <f>AND(ISNUMBER(FIND($E773,Tables!$I$2)), ISNUMBER(FIND($D773,Tables!$J$2)), $E773&lt;&gt;"")</f>
        <v>0</v>
      </c>
    </row>
    <row r="774" spans="1:18" x14ac:dyDescent="0.25">
      <c r="A774">
        <f>IF(AND(B774="", D774&lt;&gt;""), A773, A773+1)</f>
        <v>768</v>
      </c>
      <c r="R774" t="b">
        <f>AND(ISNUMBER(FIND($E774,Tables!$I$2)), ISNUMBER(FIND($D774,Tables!$J$2)), $E774&lt;&gt;"")</f>
        <v>0</v>
      </c>
    </row>
    <row r="775" spans="1:18" x14ac:dyDescent="0.25">
      <c r="A775">
        <f>IF(AND(B775="", D775&lt;&gt;""), A774, A774+1)</f>
        <v>769</v>
      </c>
      <c r="R775" t="b">
        <f>AND(ISNUMBER(FIND($E775,Tables!$I$2)), ISNUMBER(FIND($D775,Tables!$J$2)), $E775&lt;&gt;"")</f>
        <v>0</v>
      </c>
    </row>
    <row r="776" spans="1:18" x14ac:dyDescent="0.25">
      <c r="A776">
        <f>IF(AND(B776="", D776&lt;&gt;""), A775, A775+1)</f>
        <v>770</v>
      </c>
      <c r="R776" t="b">
        <f>AND(ISNUMBER(FIND($E776,Tables!$I$2)), ISNUMBER(FIND($D776,Tables!$J$2)), $E776&lt;&gt;"")</f>
        <v>0</v>
      </c>
    </row>
    <row r="777" spans="1:18" x14ac:dyDescent="0.25">
      <c r="A777">
        <f>IF(AND(B777="", D777&lt;&gt;""), A776, A776+1)</f>
        <v>771</v>
      </c>
      <c r="R777" t="b">
        <f>AND(ISNUMBER(FIND($E777,Tables!$I$2)), ISNUMBER(FIND($D777,Tables!$J$2)), $E777&lt;&gt;"")</f>
        <v>0</v>
      </c>
    </row>
    <row r="778" spans="1:18" x14ac:dyDescent="0.25">
      <c r="A778">
        <f>IF(AND(B778="", D778&lt;&gt;""), A777, A777+1)</f>
        <v>772</v>
      </c>
      <c r="R778" t="b">
        <f>AND(ISNUMBER(FIND($E778,Tables!$I$2)), ISNUMBER(FIND($D778,Tables!$J$2)), $E778&lt;&gt;"")</f>
        <v>0</v>
      </c>
    </row>
    <row r="779" spans="1:18" x14ac:dyDescent="0.25">
      <c r="A779">
        <f>IF(AND(B779="", D779&lt;&gt;""), A778, A778+1)</f>
        <v>773</v>
      </c>
      <c r="R779" t="b">
        <f>AND(ISNUMBER(FIND($E779,Tables!$I$2)), ISNUMBER(FIND($D779,Tables!$J$2)), $E779&lt;&gt;"")</f>
        <v>0</v>
      </c>
    </row>
    <row r="780" spans="1:18" x14ac:dyDescent="0.25">
      <c r="A780">
        <f>IF(AND(B780="", D780&lt;&gt;""), A779, A779+1)</f>
        <v>774</v>
      </c>
      <c r="R780" t="b">
        <f>AND(ISNUMBER(FIND($E780,Tables!$I$2)), ISNUMBER(FIND($D780,Tables!$J$2)), $E780&lt;&gt;"")</f>
        <v>0</v>
      </c>
    </row>
    <row r="781" spans="1:18" x14ac:dyDescent="0.25">
      <c r="A781">
        <f>IF(AND(B781="", D781&lt;&gt;""), A780, A780+1)</f>
        <v>775</v>
      </c>
      <c r="R781" t="b">
        <f>AND(ISNUMBER(FIND($E781,Tables!$I$2)), ISNUMBER(FIND($D781,Tables!$J$2)), $E781&lt;&gt;"")</f>
        <v>0</v>
      </c>
    </row>
    <row r="782" spans="1:18" x14ac:dyDescent="0.25">
      <c r="A782">
        <f>IF(AND(B782="", D782&lt;&gt;""), A781, A781+1)</f>
        <v>776</v>
      </c>
      <c r="R782" t="b">
        <f>AND(ISNUMBER(FIND($E782,Tables!$I$2)), ISNUMBER(FIND($D782,Tables!$J$2)), $E782&lt;&gt;"")</f>
        <v>0</v>
      </c>
    </row>
    <row r="783" spans="1:18" x14ac:dyDescent="0.25">
      <c r="A783">
        <f>IF(AND(B783="", D783&lt;&gt;""), A782, A782+1)</f>
        <v>777</v>
      </c>
      <c r="R783" t="b">
        <f>AND(ISNUMBER(FIND($E783,Tables!$I$2)), ISNUMBER(FIND($D783,Tables!$J$2)), $E783&lt;&gt;"")</f>
        <v>0</v>
      </c>
    </row>
    <row r="784" spans="1:18" x14ac:dyDescent="0.25">
      <c r="A784">
        <f>IF(AND(B784="", D784&lt;&gt;""), A783, A783+1)</f>
        <v>778</v>
      </c>
      <c r="R784" t="b">
        <f>AND(ISNUMBER(FIND($E784,Tables!$I$2)), ISNUMBER(FIND($D784,Tables!$J$2)), $E784&lt;&gt;"")</f>
        <v>0</v>
      </c>
    </row>
    <row r="785" spans="1:18" x14ac:dyDescent="0.25">
      <c r="A785">
        <f>IF(AND(B785="", D785&lt;&gt;""), A784, A784+1)</f>
        <v>779</v>
      </c>
      <c r="R785" t="b">
        <f>AND(ISNUMBER(FIND($E785,Tables!$I$2)), ISNUMBER(FIND($D785,Tables!$J$2)), $E785&lt;&gt;"")</f>
        <v>0</v>
      </c>
    </row>
    <row r="786" spans="1:18" x14ac:dyDescent="0.25">
      <c r="A786">
        <f>IF(AND(B786="", D786&lt;&gt;""), A785, A785+1)</f>
        <v>780</v>
      </c>
      <c r="R786" t="b">
        <f>AND(ISNUMBER(FIND($E786,Tables!$I$2)), ISNUMBER(FIND($D786,Tables!$J$2)), $E786&lt;&gt;"")</f>
        <v>0</v>
      </c>
    </row>
    <row r="787" spans="1:18" x14ac:dyDescent="0.25">
      <c r="A787">
        <f>IF(AND(B787="", D787&lt;&gt;""), A786, A786+1)</f>
        <v>781</v>
      </c>
      <c r="R787" t="b">
        <f>AND(ISNUMBER(FIND($E787,Tables!$I$2)), ISNUMBER(FIND($D787,Tables!$J$2)), $E787&lt;&gt;"")</f>
        <v>0</v>
      </c>
    </row>
    <row r="788" spans="1:18" x14ac:dyDescent="0.25">
      <c r="A788">
        <f>IF(AND(B788="", D788&lt;&gt;""), A787, A787+1)</f>
        <v>782</v>
      </c>
      <c r="R788" t="b">
        <f>AND(ISNUMBER(FIND($E788,Tables!$I$2)), ISNUMBER(FIND($D788,Tables!$J$2)), $E788&lt;&gt;"")</f>
        <v>0</v>
      </c>
    </row>
    <row r="789" spans="1:18" x14ac:dyDescent="0.25">
      <c r="A789">
        <f>IF(AND(B789="", D789&lt;&gt;""), A788, A788+1)</f>
        <v>783</v>
      </c>
      <c r="R789" t="b">
        <f>AND(ISNUMBER(FIND($E789,Tables!$I$2)), ISNUMBER(FIND($D789,Tables!$J$2)), $E789&lt;&gt;"")</f>
        <v>0</v>
      </c>
    </row>
    <row r="790" spans="1:18" x14ac:dyDescent="0.25">
      <c r="A790">
        <f>IF(AND(B790="", D790&lt;&gt;""), A789, A789+1)</f>
        <v>784</v>
      </c>
      <c r="R790" t="b">
        <f>AND(ISNUMBER(FIND($E790,Tables!$I$2)), ISNUMBER(FIND($D790,Tables!$J$2)), $E790&lt;&gt;"")</f>
        <v>0</v>
      </c>
    </row>
    <row r="791" spans="1:18" x14ac:dyDescent="0.25">
      <c r="A791">
        <f>IF(AND(B791="", D791&lt;&gt;""), A790, A790+1)</f>
        <v>785</v>
      </c>
      <c r="R791" t="b">
        <f>AND(ISNUMBER(FIND($E791,Tables!$I$2)), ISNUMBER(FIND($D791,Tables!$J$2)), $E791&lt;&gt;"")</f>
        <v>0</v>
      </c>
    </row>
    <row r="792" spans="1:18" x14ac:dyDescent="0.25">
      <c r="A792">
        <f>IF(AND(B792="", D792&lt;&gt;""), A791, A791+1)</f>
        <v>786</v>
      </c>
      <c r="R792" t="b">
        <f>AND(ISNUMBER(FIND($E792,Tables!$I$2)), ISNUMBER(FIND($D792,Tables!$J$2)), $E792&lt;&gt;"")</f>
        <v>0</v>
      </c>
    </row>
    <row r="793" spans="1:18" x14ac:dyDescent="0.25">
      <c r="A793">
        <f>IF(AND(B793="", D793&lt;&gt;""), A792, A792+1)</f>
        <v>787</v>
      </c>
      <c r="R793" t="b">
        <f>AND(ISNUMBER(FIND($E793,Tables!$I$2)), ISNUMBER(FIND($D793,Tables!$J$2)), $E793&lt;&gt;"")</f>
        <v>0</v>
      </c>
    </row>
    <row r="794" spans="1:18" x14ac:dyDescent="0.25">
      <c r="A794">
        <f>IF(AND(B794="", D794&lt;&gt;""), A793, A793+1)</f>
        <v>788</v>
      </c>
      <c r="R794" t="b">
        <f>AND(ISNUMBER(FIND($E794,Tables!$I$2)), ISNUMBER(FIND($D794,Tables!$J$2)), $E794&lt;&gt;"")</f>
        <v>0</v>
      </c>
    </row>
    <row r="795" spans="1:18" x14ac:dyDescent="0.25">
      <c r="A795">
        <f>IF(AND(B795="", D795&lt;&gt;""), A794, A794+1)</f>
        <v>789</v>
      </c>
      <c r="R795" t="b">
        <f>AND(ISNUMBER(FIND($E795,Tables!$I$2)), ISNUMBER(FIND($D795,Tables!$J$2)), $E795&lt;&gt;"")</f>
        <v>0</v>
      </c>
    </row>
    <row r="796" spans="1:18" x14ac:dyDescent="0.25">
      <c r="A796">
        <f>IF(AND(B796="", D796&lt;&gt;""), A795, A795+1)</f>
        <v>790</v>
      </c>
      <c r="R796" t="b">
        <f>AND(ISNUMBER(FIND($E796,Tables!$I$2)), ISNUMBER(FIND($D796,Tables!$J$2)), $E796&lt;&gt;"")</f>
        <v>0</v>
      </c>
    </row>
    <row r="797" spans="1:18" x14ac:dyDescent="0.25">
      <c r="A797">
        <f>IF(AND(B797="", D797&lt;&gt;""), A796, A796+1)</f>
        <v>791</v>
      </c>
      <c r="R797" t="b">
        <f>AND(ISNUMBER(FIND($E797,Tables!$I$2)), ISNUMBER(FIND($D797,Tables!$J$2)), $E797&lt;&gt;"")</f>
        <v>0</v>
      </c>
    </row>
    <row r="798" spans="1:18" x14ac:dyDescent="0.25">
      <c r="A798">
        <f>IF(AND(B798="", D798&lt;&gt;""), A797, A797+1)</f>
        <v>792</v>
      </c>
      <c r="R798" t="b">
        <f>AND(ISNUMBER(FIND($E798,Tables!$I$2)), ISNUMBER(FIND($D798,Tables!$J$2)), $E798&lt;&gt;"")</f>
        <v>0</v>
      </c>
    </row>
    <row r="799" spans="1:18" x14ac:dyDescent="0.25">
      <c r="A799">
        <f>IF(AND(B799="", D799&lt;&gt;""), A798, A798+1)</f>
        <v>793</v>
      </c>
      <c r="R799" t="b">
        <f>AND(ISNUMBER(FIND($E799,Tables!$I$2)), ISNUMBER(FIND($D799,Tables!$J$2)), $E799&lt;&gt;"")</f>
        <v>0</v>
      </c>
    </row>
    <row r="800" spans="1:18" x14ac:dyDescent="0.25">
      <c r="A800">
        <f>IF(AND(B800="", D800&lt;&gt;""), A799, A799+1)</f>
        <v>794</v>
      </c>
      <c r="R800" t="b">
        <f>AND(ISNUMBER(FIND($E800,Tables!$I$2)), ISNUMBER(FIND($D800,Tables!$J$2)), $E800&lt;&gt;"")</f>
        <v>0</v>
      </c>
    </row>
    <row r="801" spans="1:18" x14ac:dyDescent="0.25">
      <c r="A801">
        <f>IF(AND(B801="", D801&lt;&gt;""), A800, A800+1)</f>
        <v>795</v>
      </c>
      <c r="R801" t="b">
        <f>AND(ISNUMBER(FIND($E801,Tables!$I$2)), ISNUMBER(FIND($D801,Tables!$J$2)), $E801&lt;&gt;"")</f>
        <v>0</v>
      </c>
    </row>
    <row r="802" spans="1:18" x14ac:dyDescent="0.25">
      <c r="A802">
        <f>IF(AND(B802="", D802&lt;&gt;""), A801, A801+1)</f>
        <v>796</v>
      </c>
      <c r="R802" t="b">
        <f>AND(ISNUMBER(FIND($E802,Tables!$I$2)), ISNUMBER(FIND($D802,Tables!$J$2)), $E802&lt;&gt;"")</f>
        <v>0</v>
      </c>
    </row>
    <row r="803" spans="1:18" x14ac:dyDescent="0.25">
      <c r="A803">
        <f>IF(AND(B803="", D803&lt;&gt;""), A802, A802+1)</f>
        <v>797</v>
      </c>
      <c r="R803" t="b">
        <f>AND(ISNUMBER(FIND($E803,Tables!$I$2)), ISNUMBER(FIND($D803,Tables!$J$2)), $E803&lt;&gt;"")</f>
        <v>0</v>
      </c>
    </row>
    <row r="804" spans="1:18" x14ac:dyDescent="0.25">
      <c r="A804">
        <f>IF(AND(B804="", D804&lt;&gt;""), A803, A803+1)</f>
        <v>798</v>
      </c>
      <c r="R804" t="b">
        <f>AND(ISNUMBER(FIND($E804,Tables!$I$2)), ISNUMBER(FIND($D804,Tables!$J$2)), $E804&lt;&gt;"")</f>
        <v>0</v>
      </c>
    </row>
    <row r="805" spans="1:18" x14ac:dyDescent="0.25">
      <c r="A805">
        <f>IF(AND(B805="", D805&lt;&gt;""), A804, A804+1)</f>
        <v>799</v>
      </c>
      <c r="R805" t="b">
        <f>AND(ISNUMBER(FIND($E805,Tables!$I$2)), ISNUMBER(FIND($D805,Tables!$J$2)), $E805&lt;&gt;"")</f>
        <v>0</v>
      </c>
    </row>
    <row r="806" spans="1:18" x14ac:dyDescent="0.25">
      <c r="A806">
        <f>IF(AND(B806="", D806&lt;&gt;""), A805, A805+1)</f>
        <v>800</v>
      </c>
      <c r="R806" t="b">
        <f>AND(ISNUMBER(FIND($E806,Tables!$I$2)), ISNUMBER(FIND($D806,Tables!$J$2)), $E806&lt;&gt;"")</f>
        <v>0</v>
      </c>
    </row>
    <row r="807" spans="1:18" x14ac:dyDescent="0.25">
      <c r="A807">
        <f>IF(AND(B807="", D807&lt;&gt;""), A806, A806+1)</f>
        <v>801</v>
      </c>
      <c r="R807" t="b">
        <f>AND(ISNUMBER(FIND($E807,Tables!$I$2)), ISNUMBER(FIND($D807,Tables!$J$2)), $E807&lt;&gt;"")</f>
        <v>0</v>
      </c>
    </row>
    <row r="808" spans="1:18" x14ac:dyDescent="0.25">
      <c r="A808">
        <f>IF(AND(B808="", D808&lt;&gt;""), A807, A807+1)</f>
        <v>802</v>
      </c>
      <c r="R808" t="b">
        <f>AND(ISNUMBER(FIND($E808,Tables!$I$2)), ISNUMBER(FIND($D808,Tables!$J$2)), $E808&lt;&gt;"")</f>
        <v>0</v>
      </c>
    </row>
    <row r="809" spans="1:18" x14ac:dyDescent="0.25">
      <c r="A809">
        <f>IF(AND(B809="", D809&lt;&gt;""), A808, A808+1)</f>
        <v>803</v>
      </c>
      <c r="R809" t="b">
        <f>AND(ISNUMBER(FIND($E809,Tables!$I$2)), ISNUMBER(FIND($D809,Tables!$J$2)), $E809&lt;&gt;"")</f>
        <v>0</v>
      </c>
    </row>
    <row r="810" spans="1:18" x14ac:dyDescent="0.25">
      <c r="A810">
        <f>IF(AND(B810="", D810&lt;&gt;""), A809, A809+1)</f>
        <v>804</v>
      </c>
      <c r="R810" t="b">
        <f>AND(ISNUMBER(FIND($E810,Tables!$I$2)), ISNUMBER(FIND($D810,Tables!$J$2)), $E810&lt;&gt;"")</f>
        <v>0</v>
      </c>
    </row>
    <row r="811" spans="1:18" x14ac:dyDescent="0.25">
      <c r="A811">
        <f>IF(AND(B811="", D811&lt;&gt;""), A810, A810+1)</f>
        <v>805</v>
      </c>
      <c r="R811" t="b">
        <f>AND(ISNUMBER(FIND($E811,Tables!$I$2)), ISNUMBER(FIND($D811,Tables!$J$2)), $E811&lt;&gt;"")</f>
        <v>0</v>
      </c>
    </row>
    <row r="812" spans="1:18" x14ac:dyDescent="0.25">
      <c r="A812">
        <f>IF(AND(B812="", D812&lt;&gt;""), A811, A811+1)</f>
        <v>806</v>
      </c>
      <c r="R812" t="b">
        <f>AND(ISNUMBER(FIND($E812,Tables!$I$2)), ISNUMBER(FIND($D812,Tables!$J$2)), $E812&lt;&gt;"")</f>
        <v>0</v>
      </c>
    </row>
    <row r="813" spans="1:18" x14ac:dyDescent="0.25">
      <c r="A813">
        <f>IF(AND(B813="", D813&lt;&gt;""), A812, A812+1)</f>
        <v>807</v>
      </c>
      <c r="R813" t="b">
        <f>AND(ISNUMBER(FIND($E813,Tables!$I$2)), ISNUMBER(FIND($D813,Tables!$J$2)), $E813&lt;&gt;"")</f>
        <v>0</v>
      </c>
    </row>
    <row r="814" spans="1:18" x14ac:dyDescent="0.25">
      <c r="A814">
        <f>IF(AND(B814="", D814&lt;&gt;""), A813, A813+1)</f>
        <v>808</v>
      </c>
      <c r="R814" t="b">
        <f>AND(ISNUMBER(FIND($E814,Tables!$I$2)), ISNUMBER(FIND($D814,Tables!$J$2)), $E814&lt;&gt;"")</f>
        <v>0</v>
      </c>
    </row>
    <row r="815" spans="1:18" x14ac:dyDescent="0.25">
      <c r="A815">
        <f>IF(AND(B815="", D815&lt;&gt;""), A814, A814+1)</f>
        <v>809</v>
      </c>
      <c r="R815" t="b">
        <f>AND(ISNUMBER(FIND($E815,Tables!$I$2)), ISNUMBER(FIND($D815,Tables!$J$2)), $E815&lt;&gt;"")</f>
        <v>0</v>
      </c>
    </row>
    <row r="816" spans="1:18" x14ac:dyDescent="0.25">
      <c r="A816">
        <f>IF(AND(B816="", D816&lt;&gt;""), A815, A815+1)</f>
        <v>810</v>
      </c>
      <c r="R816" t="b">
        <f>AND(ISNUMBER(FIND($E816,Tables!$I$2)), ISNUMBER(FIND($D816,Tables!$J$2)), $E816&lt;&gt;"")</f>
        <v>0</v>
      </c>
    </row>
    <row r="817" spans="1:18" x14ac:dyDescent="0.25">
      <c r="A817">
        <f>IF(AND(B817="", D817&lt;&gt;""), A816, A816+1)</f>
        <v>811</v>
      </c>
      <c r="R817" t="b">
        <f>AND(ISNUMBER(FIND($E817,Tables!$I$2)), ISNUMBER(FIND($D817,Tables!$J$2)), $E817&lt;&gt;"")</f>
        <v>0</v>
      </c>
    </row>
    <row r="818" spans="1:18" x14ac:dyDescent="0.25">
      <c r="A818">
        <f>IF(AND(B818="", D818&lt;&gt;""), A817, A817+1)</f>
        <v>812</v>
      </c>
      <c r="R818" t="b">
        <f>AND(ISNUMBER(FIND($E818,Tables!$I$2)), ISNUMBER(FIND($D818,Tables!$J$2)), $E818&lt;&gt;"")</f>
        <v>0</v>
      </c>
    </row>
    <row r="819" spans="1:18" x14ac:dyDescent="0.25">
      <c r="A819">
        <f>IF(AND(B819="", D819&lt;&gt;""), A818, A818+1)</f>
        <v>813</v>
      </c>
      <c r="R819" t="b">
        <f>AND(ISNUMBER(FIND($E819,Tables!$I$2)), ISNUMBER(FIND($D819,Tables!$J$2)), $E819&lt;&gt;"")</f>
        <v>0</v>
      </c>
    </row>
    <row r="820" spans="1:18" x14ac:dyDescent="0.25">
      <c r="A820">
        <f>IF(AND(B820="", D820&lt;&gt;""), A819, A819+1)</f>
        <v>814</v>
      </c>
      <c r="R820" t="b">
        <f>AND(ISNUMBER(FIND($E820,Tables!$I$2)), ISNUMBER(FIND($D820,Tables!$J$2)), $E820&lt;&gt;"")</f>
        <v>0</v>
      </c>
    </row>
    <row r="821" spans="1:18" x14ac:dyDescent="0.25">
      <c r="A821">
        <f>IF(AND(B821="", D821&lt;&gt;""), A820, A820+1)</f>
        <v>815</v>
      </c>
      <c r="R821" t="b">
        <f>AND(ISNUMBER(FIND($E821,Tables!$I$2)), ISNUMBER(FIND($D821,Tables!$J$2)), $E821&lt;&gt;"")</f>
        <v>0</v>
      </c>
    </row>
    <row r="822" spans="1:18" x14ac:dyDescent="0.25">
      <c r="A822">
        <f>IF(AND(B822="", D822&lt;&gt;""), A821, A821+1)</f>
        <v>816</v>
      </c>
      <c r="R822" t="b">
        <f>AND(ISNUMBER(FIND($E822,Tables!$I$2)), ISNUMBER(FIND($D822,Tables!$J$2)), $E822&lt;&gt;"")</f>
        <v>0</v>
      </c>
    </row>
    <row r="823" spans="1:18" x14ac:dyDescent="0.25">
      <c r="A823">
        <f>IF(AND(B823="", D823&lt;&gt;""), A822, A822+1)</f>
        <v>817</v>
      </c>
      <c r="R823" t="b">
        <f>AND(ISNUMBER(FIND($E823,Tables!$I$2)), ISNUMBER(FIND($D823,Tables!$J$2)), $E823&lt;&gt;"")</f>
        <v>0</v>
      </c>
    </row>
    <row r="824" spans="1:18" x14ac:dyDescent="0.25">
      <c r="A824">
        <f>IF(AND(B824="", D824&lt;&gt;""), A823, A823+1)</f>
        <v>818</v>
      </c>
      <c r="R824" t="b">
        <f>AND(ISNUMBER(FIND($E824,Tables!$I$2)), ISNUMBER(FIND($D824,Tables!$J$2)), $E824&lt;&gt;"")</f>
        <v>0</v>
      </c>
    </row>
    <row r="825" spans="1:18" x14ac:dyDescent="0.25">
      <c r="A825">
        <f>IF(AND(B825="", D825&lt;&gt;""), A824, A824+1)</f>
        <v>819</v>
      </c>
      <c r="R825" t="b">
        <f>AND(ISNUMBER(FIND($E825,Tables!$I$2)), ISNUMBER(FIND($D825,Tables!$J$2)), $E825&lt;&gt;"")</f>
        <v>0</v>
      </c>
    </row>
    <row r="826" spans="1:18" x14ac:dyDescent="0.25">
      <c r="A826">
        <f>IF(AND(B826="", D826&lt;&gt;""), A825, A825+1)</f>
        <v>820</v>
      </c>
      <c r="R826" t="b">
        <f>AND(ISNUMBER(FIND($E826,Tables!$I$2)), ISNUMBER(FIND($D826,Tables!$J$2)), $E826&lt;&gt;"")</f>
        <v>0</v>
      </c>
    </row>
    <row r="827" spans="1:18" x14ac:dyDescent="0.25">
      <c r="A827">
        <f>IF(AND(B827="", D827&lt;&gt;""), A826, A826+1)</f>
        <v>821</v>
      </c>
      <c r="R827" t="b">
        <f>AND(ISNUMBER(FIND($E827,Tables!$I$2)), ISNUMBER(FIND($D827,Tables!$J$2)), $E827&lt;&gt;"")</f>
        <v>0</v>
      </c>
    </row>
    <row r="828" spans="1:18" x14ac:dyDescent="0.25">
      <c r="A828">
        <f>IF(AND(B828="", D828&lt;&gt;""), A827, A827+1)</f>
        <v>822</v>
      </c>
      <c r="R828" t="b">
        <f>AND(ISNUMBER(FIND($E828,Tables!$I$2)), ISNUMBER(FIND($D828,Tables!$J$2)), $E828&lt;&gt;"")</f>
        <v>0</v>
      </c>
    </row>
    <row r="829" spans="1:18" x14ac:dyDescent="0.25">
      <c r="A829">
        <f>IF(AND(B829="", D829&lt;&gt;""), A828, A828+1)</f>
        <v>823</v>
      </c>
      <c r="R829" t="b">
        <f>AND(ISNUMBER(FIND($E829,Tables!$I$2)), ISNUMBER(FIND($D829,Tables!$J$2)), $E829&lt;&gt;"")</f>
        <v>0</v>
      </c>
    </row>
    <row r="830" spans="1:18" x14ac:dyDescent="0.25">
      <c r="A830">
        <f>IF(AND(B830="", D830&lt;&gt;""), A829, A829+1)</f>
        <v>824</v>
      </c>
      <c r="R830" t="b">
        <f>AND(ISNUMBER(FIND($E830,Tables!$I$2)), ISNUMBER(FIND($D830,Tables!$J$2)), $E830&lt;&gt;"")</f>
        <v>0</v>
      </c>
    </row>
    <row r="831" spans="1:18" x14ac:dyDescent="0.25">
      <c r="A831">
        <f>IF(AND(B831="", D831&lt;&gt;""), A830, A830+1)</f>
        <v>825</v>
      </c>
      <c r="R831" t="b">
        <f>AND(ISNUMBER(FIND($E831,Tables!$I$2)), ISNUMBER(FIND($D831,Tables!$J$2)), $E831&lt;&gt;"")</f>
        <v>0</v>
      </c>
    </row>
    <row r="832" spans="1:18" x14ac:dyDescent="0.25">
      <c r="A832">
        <f>IF(AND(B832="", D832&lt;&gt;""), A831, A831+1)</f>
        <v>826</v>
      </c>
      <c r="R832" t="b">
        <f>AND(ISNUMBER(FIND($E832,Tables!$I$2)), ISNUMBER(FIND($D832,Tables!$J$2)), $E832&lt;&gt;"")</f>
        <v>0</v>
      </c>
    </row>
    <row r="833" spans="1:18" x14ac:dyDescent="0.25">
      <c r="A833">
        <f>IF(AND(B833="", D833&lt;&gt;""), A832, A832+1)</f>
        <v>827</v>
      </c>
      <c r="R833" t="b">
        <f>AND(ISNUMBER(FIND($E833,Tables!$I$2)), ISNUMBER(FIND($D833,Tables!$J$2)), $E833&lt;&gt;"")</f>
        <v>0</v>
      </c>
    </row>
    <row r="834" spans="1:18" x14ac:dyDescent="0.25">
      <c r="A834">
        <f>IF(AND(B834="", D834&lt;&gt;""), A833, A833+1)</f>
        <v>828</v>
      </c>
      <c r="R834" t="b">
        <f>AND(ISNUMBER(FIND($E834,Tables!$I$2)), ISNUMBER(FIND($D834,Tables!$J$2)), $E834&lt;&gt;"")</f>
        <v>0</v>
      </c>
    </row>
    <row r="835" spans="1:18" x14ac:dyDescent="0.25">
      <c r="A835">
        <f>IF(AND(B835="", D835&lt;&gt;""), A834, A834+1)</f>
        <v>829</v>
      </c>
      <c r="R835" t="b">
        <f>AND(ISNUMBER(FIND($E835,Tables!$I$2)), ISNUMBER(FIND($D835,Tables!$J$2)), $E835&lt;&gt;"")</f>
        <v>0</v>
      </c>
    </row>
    <row r="836" spans="1:18" x14ac:dyDescent="0.25">
      <c r="A836">
        <f>IF(AND(B836="", D836&lt;&gt;""), A835, A835+1)</f>
        <v>830</v>
      </c>
      <c r="R836" t="b">
        <f>AND(ISNUMBER(FIND($E836,Tables!$I$2)), ISNUMBER(FIND($D836,Tables!$J$2)), $E836&lt;&gt;"")</f>
        <v>0</v>
      </c>
    </row>
    <row r="837" spans="1:18" x14ac:dyDescent="0.25">
      <c r="A837">
        <f>IF(AND(B837="", D837&lt;&gt;""), A836, A836+1)</f>
        <v>831</v>
      </c>
      <c r="R837" t="b">
        <f>AND(ISNUMBER(FIND($E837,Tables!$I$2)), ISNUMBER(FIND($D837,Tables!$J$2)), $E837&lt;&gt;"")</f>
        <v>0</v>
      </c>
    </row>
    <row r="838" spans="1:18" x14ac:dyDescent="0.25">
      <c r="A838">
        <f>IF(AND(B838="", D838&lt;&gt;""), A837, A837+1)</f>
        <v>832</v>
      </c>
      <c r="R838" t="b">
        <f>AND(ISNUMBER(FIND($E838,Tables!$I$2)), ISNUMBER(FIND($D838,Tables!$J$2)), $E838&lt;&gt;"")</f>
        <v>0</v>
      </c>
    </row>
    <row r="839" spans="1:18" x14ac:dyDescent="0.25">
      <c r="A839">
        <f>IF(AND(B839="", D839&lt;&gt;""), A838, A838+1)</f>
        <v>833</v>
      </c>
      <c r="R839" t="b">
        <f>AND(ISNUMBER(FIND($E839,Tables!$I$2)), ISNUMBER(FIND($D839,Tables!$J$2)), $E839&lt;&gt;"")</f>
        <v>0</v>
      </c>
    </row>
    <row r="840" spans="1:18" x14ac:dyDescent="0.25">
      <c r="A840">
        <f>IF(AND(B840="", D840&lt;&gt;""), A839, A839+1)</f>
        <v>834</v>
      </c>
      <c r="R840" t="b">
        <f>AND(ISNUMBER(FIND($E840,Tables!$I$2)), ISNUMBER(FIND($D840,Tables!$J$2)), $E840&lt;&gt;"")</f>
        <v>0</v>
      </c>
    </row>
    <row r="841" spans="1:18" x14ac:dyDescent="0.25">
      <c r="A841">
        <f>IF(AND(B841="", D841&lt;&gt;""), A840, A840+1)</f>
        <v>835</v>
      </c>
      <c r="R841" t="b">
        <f>AND(ISNUMBER(FIND($E841,Tables!$I$2)), ISNUMBER(FIND($D841,Tables!$J$2)), $E841&lt;&gt;"")</f>
        <v>0</v>
      </c>
    </row>
    <row r="842" spans="1:18" x14ac:dyDescent="0.25">
      <c r="A842">
        <f>IF(AND(B842="", D842&lt;&gt;""), A841, A841+1)</f>
        <v>836</v>
      </c>
      <c r="R842" t="b">
        <f>AND(ISNUMBER(FIND($E842,Tables!$I$2)), ISNUMBER(FIND($D842,Tables!$J$2)), $E842&lt;&gt;"")</f>
        <v>0</v>
      </c>
    </row>
    <row r="843" spans="1:18" x14ac:dyDescent="0.25">
      <c r="A843">
        <f>IF(AND(B843="", D843&lt;&gt;""), A842, A842+1)</f>
        <v>837</v>
      </c>
      <c r="R843" t="b">
        <f>AND(ISNUMBER(FIND($E843,Tables!$I$2)), ISNUMBER(FIND($D843,Tables!$J$2)), $E843&lt;&gt;"")</f>
        <v>0</v>
      </c>
    </row>
    <row r="844" spans="1:18" x14ac:dyDescent="0.25">
      <c r="A844">
        <f>IF(AND(B844="", D844&lt;&gt;""), A843, A843+1)</f>
        <v>838</v>
      </c>
      <c r="R844" t="b">
        <f>AND(ISNUMBER(FIND($E844,Tables!$I$2)), ISNUMBER(FIND($D844,Tables!$J$2)), $E844&lt;&gt;"")</f>
        <v>0</v>
      </c>
    </row>
    <row r="845" spans="1:18" x14ac:dyDescent="0.25">
      <c r="A845">
        <f>IF(AND(B845="", D845&lt;&gt;""), A844, A844+1)</f>
        <v>839</v>
      </c>
      <c r="R845" t="b">
        <f>AND(ISNUMBER(FIND($E845,Tables!$I$2)), ISNUMBER(FIND($D845,Tables!$J$2)), $E845&lt;&gt;"")</f>
        <v>0</v>
      </c>
    </row>
    <row r="846" spans="1:18" x14ac:dyDescent="0.25">
      <c r="A846">
        <f>IF(AND(B846="", D846&lt;&gt;""), A845, A845+1)</f>
        <v>840</v>
      </c>
      <c r="R846" t="b">
        <f>AND(ISNUMBER(FIND($E846,Tables!$I$2)), ISNUMBER(FIND($D846,Tables!$J$2)), $E846&lt;&gt;"")</f>
        <v>0</v>
      </c>
    </row>
    <row r="847" spans="1:18" x14ac:dyDescent="0.25">
      <c r="A847">
        <f>IF(AND(B847="", D847&lt;&gt;""), A846, A846+1)</f>
        <v>841</v>
      </c>
      <c r="R847" t="b">
        <f>AND(ISNUMBER(FIND($E847,Tables!$I$2)), ISNUMBER(FIND($D847,Tables!$J$2)), $E847&lt;&gt;"")</f>
        <v>0</v>
      </c>
    </row>
    <row r="848" spans="1:18" x14ac:dyDescent="0.25">
      <c r="A848">
        <f>IF(AND(B848="", D848&lt;&gt;""), A847, A847+1)</f>
        <v>842</v>
      </c>
      <c r="R848" t="b">
        <f>AND(ISNUMBER(FIND($E848,Tables!$I$2)), ISNUMBER(FIND($D848,Tables!$J$2)), $E848&lt;&gt;"")</f>
        <v>0</v>
      </c>
    </row>
    <row r="849" spans="1:18" x14ac:dyDescent="0.25">
      <c r="A849">
        <f>IF(AND(B849="", D849&lt;&gt;""), A848, A848+1)</f>
        <v>843</v>
      </c>
      <c r="R849" t="b">
        <f>AND(ISNUMBER(FIND($E849,Tables!$I$2)), ISNUMBER(FIND($D849,Tables!$J$2)), $E849&lt;&gt;"")</f>
        <v>0</v>
      </c>
    </row>
    <row r="850" spans="1:18" x14ac:dyDescent="0.25">
      <c r="A850">
        <f>IF(AND(B850="", D850&lt;&gt;""), A849, A849+1)</f>
        <v>844</v>
      </c>
      <c r="R850" t="b">
        <f>AND(ISNUMBER(FIND($E850,Tables!$I$2)), ISNUMBER(FIND($D850,Tables!$J$2)), $E850&lt;&gt;"")</f>
        <v>0</v>
      </c>
    </row>
    <row r="851" spans="1:18" x14ac:dyDescent="0.25">
      <c r="A851">
        <f>IF(AND(B851="", D851&lt;&gt;""), A850, A850+1)</f>
        <v>845</v>
      </c>
      <c r="R851" t="b">
        <f>AND(ISNUMBER(FIND($E851,Tables!$I$2)), ISNUMBER(FIND($D851,Tables!$J$2)), $E851&lt;&gt;"")</f>
        <v>0</v>
      </c>
    </row>
    <row r="852" spans="1:18" x14ac:dyDescent="0.25">
      <c r="A852">
        <f>IF(AND(B852="", D852&lt;&gt;""), A851, A851+1)</f>
        <v>846</v>
      </c>
      <c r="R852" t="b">
        <f>AND(ISNUMBER(FIND($E852,Tables!$I$2)), ISNUMBER(FIND($D852,Tables!$J$2)), $E852&lt;&gt;"")</f>
        <v>0</v>
      </c>
    </row>
    <row r="853" spans="1:18" x14ac:dyDescent="0.25">
      <c r="A853">
        <f>IF(AND(B853="", D853&lt;&gt;""), A852, A852+1)</f>
        <v>847</v>
      </c>
      <c r="R853" t="b">
        <f>AND(ISNUMBER(FIND($E853,Tables!$I$2)), ISNUMBER(FIND($D853,Tables!$J$2)), $E853&lt;&gt;"")</f>
        <v>0</v>
      </c>
    </row>
    <row r="854" spans="1:18" x14ac:dyDescent="0.25">
      <c r="A854">
        <f>IF(AND(B854="", D854&lt;&gt;""), A853, A853+1)</f>
        <v>848</v>
      </c>
      <c r="R854" t="b">
        <f>AND(ISNUMBER(FIND($E854,Tables!$I$2)), ISNUMBER(FIND($D854,Tables!$J$2)), $E854&lt;&gt;"")</f>
        <v>0</v>
      </c>
    </row>
    <row r="855" spans="1:18" x14ac:dyDescent="0.25">
      <c r="A855">
        <f>IF(AND(B855="", D855&lt;&gt;""), A854, A854+1)</f>
        <v>849</v>
      </c>
      <c r="R855" t="b">
        <f>AND(ISNUMBER(FIND($E855,Tables!$I$2)), ISNUMBER(FIND($D855,Tables!$J$2)), $E855&lt;&gt;"")</f>
        <v>0</v>
      </c>
    </row>
    <row r="856" spans="1:18" x14ac:dyDescent="0.25">
      <c r="A856">
        <f>IF(AND(B856="", D856&lt;&gt;""), A855, A855+1)</f>
        <v>850</v>
      </c>
      <c r="R856" t="b">
        <f>AND(ISNUMBER(FIND($E856,Tables!$I$2)), ISNUMBER(FIND($D856,Tables!$J$2)), $E856&lt;&gt;"")</f>
        <v>0</v>
      </c>
    </row>
    <row r="857" spans="1:18" x14ac:dyDescent="0.25">
      <c r="A857">
        <f>IF(AND(B857="", D857&lt;&gt;""), A856, A856+1)</f>
        <v>851</v>
      </c>
      <c r="R857" t="b">
        <f>AND(ISNUMBER(FIND($E857,Tables!$I$2)), ISNUMBER(FIND($D857,Tables!$J$2)), $E857&lt;&gt;"")</f>
        <v>0</v>
      </c>
    </row>
    <row r="858" spans="1:18" x14ac:dyDescent="0.25">
      <c r="A858">
        <f>IF(AND(B858="", D858&lt;&gt;""), A857, A857+1)</f>
        <v>852</v>
      </c>
      <c r="R858" t="b">
        <f>AND(ISNUMBER(FIND($E858,Tables!$I$2)), ISNUMBER(FIND($D858,Tables!$J$2)), $E858&lt;&gt;"")</f>
        <v>0</v>
      </c>
    </row>
    <row r="859" spans="1:18" x14ac:dyDescent="0.25">
      <c r="A859">
        <f>IF(AND(B859="", D859&lt;&gt;""), A858, A858+1)</f>
        <v>853</v>
      </c>
      <c r="R859" t="b">
        <f>AND(ISNUMBER(FIND($E859,Tables!$I$2)), ISNUMBER(FIND($D859,Tables!$J$2)), $E859&lt;&gt;"")</f>
        <v>0</v>
      </c>
    </row>
    <row r="860" spans="1:18" x14ac:dyDescent="0.25">
      <c r="A860">
        <f>IF(AND(B860="", D860&lt;&gt;""), A859, A859+1)</f>
        <v>854</v>
      </c>
      <c r="R860" t="b">
        <f>AND(ISNUMBER(FIND($E860,Tables!$I$2)), ISNUMBER(FIND($D860,Tables!$J$2)), $E860&lt;&gt;"")</f>
        <v>0</v>
      </c>
    </row>
    <row r="861" spans="1:18" x14ac:dyDescent="0.25">
      <c r="A861">
        <f>IF(AND(B861="", D861&lt;&gt;""), A860, A860+1)</f>
        <v>855</v>
      </c>
      <c r="R861" t="b">
        <f>AND(ISNUMBER(FIND($E861,Tables!$I$2)), ISNUMBER(FIND($D861,Tables!$J$2)), $E861&lt;&gt;"")</f>
        <v>0</v>
      </c>
    </row>
    <row r="862" spans="1:18" x14ac:dyDescent="0.25">
      <c r="A862">
        <f>IF(AND(B862="", D862&lt;&gt;""), A861, A861+1)</f>
        <v>856</v>
      </c>
      <c r="R862" t="b">
        <f>AND(ISNUMBER(FIND($E862,Tables!$I$2)), ISNUMBER(FIND($D862,Tables!$J$2)), $E862&lt;&gt;"")</f>
        <v>0</v>
      </c>
    </row>
    <row r="863" spans="1:18" x14ac:dyDescent="0.25">
      <c r="A863">
        <f>IF(AND(B863="", D863&lt;&gt;""), A862, A862+1)</f>
        <v>857</v>
      </c>
      <c r="R863" t="b">
        <f>AND(ISNUMBER(FIND($E863,Tables!$I$2)), ISNUMBER(FIND($D863,Tables!$J$2)), $E863&lt;&gt;"")</f>
        <v>0</v>
      </c>
    </row>
    <row r="864" spans="1:18" x14ac:dyDescent="0.25">
      <c r="A864">
        <f>IF(AND(B864="", D864&lt;&gt;""), A863, A863+1)</f>
        <v>858</v>
      </c>
      <c r="R864" t="b">
        <f>AND(ISNUMBER(FIND($E864,Tables!$I$2)), ISNUMBER(FIND($D864,Tables!$J$2)), $E864&lt;&gt;"")</f>
        <v>0</v>
      </c>
    </row>
    <row r="865" spans="1:18" x14ac:dyDescent="0.25">
      <c r="A865">
        <f>IF(AND(B865="", D865&lt;&gt;""), A864, A864+1)</f>
        <v>859</v>
      </c>
      <c r="R865" t="b">
        <f>AND(ISNUMBER(FIND($E865,Tables!$I$2)), ISNUMBER(FIND($D865,Tables!$J$2)), $E865&lt;&gt;"")</f>
        <v>0</v>
      </c>
    </row>
    <row r="866" spans="1:18" x14ac:dyDescent="0.25">
      <c r="A866">
        <f>IF(AND(B866="", D866&lt;&gt;""), A865, A865+1)</f>
        <v>860</v>
      </c>
      <c r="R866" t="b">
        <f>AND(ISNUMBER(FIND($E866,Tables!$I$2)), ISNUMBER(FIND($D866,Tables!$J$2)), $E866&lt;&gt;"")</f>
        <v>0</v>
      </c>
    </row>
    <row r="867" spans="1:18" x14ac:dyDescent="0.25">
      <c r="A867">
        <f>IF(AND(B867="", D867&lt;&gt;""), A866, A866+1)</f>
        <v>861</v>
      </c>
      <c r="R867" t="b">
        <f>AND(ISNUMBER(FIND($E867,Tables!$I$2)), ISNUMBER(FIND($D867,Tables!$J$2)), $E867&lt;&gt;"")</f>
        <v>0</v>
      </c>
    </row>
    <row r="868" spans="1:18" x14ac:dyDescent="0.25">
      <c r="A868">
        <f>IF(AND(B868="", D868&lt;&gt;""), A867, A867+1)</f>
        <v>862</v>
      </c>
      <c r="R868" t="b">
        <f>AND(ISNUMBER(FIND($E868,Tables!$I$2)), ISNUMBER(FIND($D868,Tables!$J$2)), $E868&lt;&gt;"")</f>
        <v>0</v>
      </c>
    </row>
    <row r="869" spans="1:18" x14ac:dyDescent="0.25">
      <c r="A869">
        <f>IF(AND(B869="", D869&lt;&gt;""), A868, A868+1)</f>
        <v>863</v>
      </c>
      <c r="R869" t="b">
        <f>AND(ISNUMBER(FIND($E869,Tables!$I$2)), ISNUMBER(FIND($D869,Tables!$J$2)), $E869&lt;&gt;"")</f>
        <v>0</v>
      </c>
    </row>
    <row r="870" spans="1:18" x14ac:dyDescent="0.25">
      <c r="A870">
        <f>IF(AND(B870="", D870&lt;&gt;""), A869, A869+1)</f>
        <v>864</v>
      </c>
      <c r="R870" t="b">
        <f>AND(ISNUMBER(FIND($E870,Tables!$I$2)), ISNUMBER(FIND($D870,Tables!$J$2)), $E870&lt;&gt;"")</f>
        <v>0</v>
      </c>
    </row>
    <row r="871" spans="1:18" x14ac:dyDescent="0.25">
      <c r="A871">
        <f>IF(AND(B871="", D871&lt;&gt;""), A870, A870+1)</f>
        <v>865</v>
      </c>
      <c r="R871" t="b">
        <f>AND(ISNUMBER(FIND($E871,Tables!$I$2)), ISNUMBER(FIND($D871,Tables!$J$2)), $E871&lt;&gt;"")</f>
        <v>0</v>
      </c>
    </row>
    <row r="872" spans="1:18" x14ac:dyDescent="0.25">
      <c r="A872">
        <f>IF(AND(B872="", D872&lt;&gt;""), A871, A871+1)</f>
        <v>866</v>
      </c>
      <c r="R872" t="b">
        <f>AND(ISNUMBER(FIND($E872,Tables!$I$2)), ISNUMBER(FIND($D872,Tables!$J$2)), $E872&lt;&gt;"")</f>
        <v>0</v>
      </c>
    </row>
    <row r="873" spans="1:18" x14ac:dyDescent="0.25">
      <c r="A873">
        <f>IF(AND(B873="", D873&lt;&gt;""), A872, A872+1)</f>
        <v>867</v>
      </c>
      <c r="R873" t="b">
        <f>AND(ISNUMBER(FIND($E873,Tables!$I$2)), ISNUMBER(FIND($D873,Tables!$J$2)), $E873&lt;&gt;"")</f>
        <v>0</v>
      </c>
    </row>
    <row r="874" spans="1:18" x14ac:dyDescent="0.25">
      <c r="A874">
        <f>IF(AND(B874="", D874&lt;&gt;""), A873, A873+1)</f>
        <v>868</v>
      </c>
      <c r="R874" t="b">
        <f>AND(ISNUMBER(FIND($E874,Tables!$I$2)), ISNUMBER(FIND($D874,Tables!$J$2)), $E874&lt;&gt;"")</f>
        <v>0</v>
      </c>
    </row>
    <row r="875" spans="1:18" x14ac:dyDescent="0.25">
      <c r="A875">
        <f>IF(AND(B875="", D875&lt;&gt;""), A874, A874+1)</f>
        <v>869</v>
      </c>
      <c r="R875" t="b">
        <f>AND(ISNUMBER(FIND($E875,Tables!$I$2)), ISNUMBER(FIND($D875,Tables!$J$2)), $E875&lt;&gt;"")</f>
        <v>0</v>
      </c>
    </row>
    <row r="876" spans="1:18" x14ac:dyDescent="0.25">
      <c r="A876">
        <f>IF(AND(B876="", D876&lt;&gt;""), A875, A875+1)</f>
        <v>870</v>
      </c>
      <c r="R876" t="b">
        <f>AND(ISNUMBER(FIND($E876,Tables!$I$2)), ISNUMBER(FIND($D876,Tables!$J$2)), $E876&lt;&gt;"")</f>
        <v>0</v>
      </c>
    </row>
    <row r="877" spans="1:18" x14ac:dyDescent="0.25">
      <c r="A877">
        <f>IF(AND(B877="", D877&lt;&gt;""), A876, A876+1)</f>
        <v>871</v>
      </c>
      <c r="R877" t="b">
        <f>AND(ISNUMBER(FIND($E877,Tables!$I$2)), ISNUMBER(FIND($D877,Tables!$J$2)), $E877&lt;&gt;"")</f>
        <v>0</v>
      </c>
    </row>
    <row r="878" spans="1:18" x14ac:dyDescent="0.25">
      <c r="A878">
        <f>IF(AND(B878="", D878&lt;&gt;""), A877, A877+1)</f>
        <v>872</v>
      </c>
      <c r="R878" t="b">
        <f>AND(ISNUMBER(FIND($E878,Tables!$I$2)), ISNUMBER(FIND($D878,Tables!$J$2)), $E878&lt;&gt;"")</f>
        <v>0</v>
      </c>
    </row>
    <row r="879" spans="1:18" x14ac:dyDescent="0.25">
      <c r="A879">
        <f>IF(AND(B879="", D879&lt;&gt;""), A878, A878+1)</f>
        <v>873</v>
      </c>
      <c r="R879" t="b">
        <f>AND(ISNUMBER(FIND($E879,Tables!$I$2)), ISNUMBER(FIND($D879,Tables!$J$2)), $E879&lt;&gt;"")</f>
        <v>0</v>
      </c>
    </row>
    <row r="880" spans="1:18" x14ac:dyDescent="0.25">
      <c r="A880">
        <f>IF(AND(B880="", D880&lt;&gt;""), A879, A879+1)</f>
        <v>874</v>
      </c>
      <c r="R880" t="b">
        <f>AND(ISNUMBER(FIND($E880,Tables!$I$2)), ISNUMBER(FIND($D880,Tables!$J$2)), $E880&lt;&gt;"")</f>
        <v>0</v>
      </c>
    </row>
    <row r="881" spans="1:18" x14ac:dyDescent="0.25">
      <c r="A881">
        <f>IF(AND(B881="", D881&lt;&gt;""), A880, A880+1)</f>
        <v>875</v>
      </c>
      <c r="R881" t="b">
        <f>AND(ISNUMBER(FIND($E881,Tables!$I$2)), ISNUMBER(FIND($D881,Tables!$J$2)), $E881&lt;&gt;"")</f>
        <v>0</v>
      </c>
    </row>
    <row r="882" spans="1:18" x14ac:dyDescent="0.25">
      <c r="A882">
        <f>IF(AND(B882="", D882&lt;&gt;""), A881, A881+1)</f>
        <v>876</v>
      </c>
      <c r="R882" t="b">
        <f>AND(ISNUMBER(FIND($E882,Tables!$I$2)), ISNUMBER(FIND($D882,Tables!$J$2)), $E882&lt;&gt;"")</f>
        <v>0</v>
      </c>
    </row>
    <row r="883" spans="1:18" x14ac:dyDescent="0.25">
      <c r="A883">
        <f>IF(AND(B883="", D883&lt;&gt;""), A882, A882+1)</f>
        <v>877</v>
      </c>
      <c r="R883" t="b">
        <f>AND(ISNUMBER(FIND($E883,Tables!$I$2)), ISNUMBER(FIND($D883,Tables!$J$2)), $E883&lt;&gt;"")</f>
        <v>0</v>
      </c>
    </row>
    <row r="884" spans="1:18" x14ac:dyDescent="0.25">
      <c r="A884">
        <f>IF(AND(B884="", D884&lt;&gt;""), A883, A883+1)</f>
        <v>878</v>
      </c>
      <c r="R884" t="b">
        <f>AND(ISNUMBER(FIND($E884,Tables!$I$2)), ISNUMBER(FIND($D884,Tables!$J$2)), $E884&lt;&gt;"")</f>
        <v>0</v>
      </c>
    </row>
    <row r="885" spans="1:18" x14ac:dyDescent="0.25">
      <c r="A885">
        <f>IF(AND(B885="", D885&lt;&gt;""), A884, A884+1)</f>
        <v>879</v>
      </c>
      <c r="R885" t="b">
        <f>AND(ISNUMBER(FIND($E885,Tables!$I$2)), ISNUMBER(FIND($D885,Tables!$J$2)), $E885&lt;&gt;"")</f>
        <v>0</v>
      </c>
    </row>
    <row r="886" spans="1:18" x14ac:dyDescent="0.25">
      <c r="A886">
        <f>IF(AND(B886="", D886&lt;&gt;""), A885, A885+1)</f>
        <v>880</v>
      </c>
      <c r="R886" t="b">
        <f>AND(ISNUMBER(FIND($E886,Tables!$I$2)), ISNUMBER(FIND($D886,Tables!$J$2)), $E886&lt;&gt;"")</f>
        <v>0</v>
      </c>
    </row>
    <row r="887" spans="1:18" x14ac:dyDescent="0.25">
      <c r="A887">
        <f>IF(AND(B887="", D887&lt;&gt;""), A886, A886+1)</f>
        <v>881</v>
      </c>
      <c r="R887" t="b">
        <f>AND(ISNUMBER(FIND($E887,Tables!$I$2)), ISNUMBER(FIND($D887,Tables!$J$2)), $E887&lt;&gt;"")</f>
        <v>0</v>
      </c>
    </row>
    <row r="888" spans="1:18" x14ac:dyDescent="0.25">
      <c r="A888">
        <f>IF(AND(B888="", D888&lt;&gt;""), A887, A887+1)</f>
        <v>882</v>
      </c>
      <c r="R888" t="b">
        <f>AND(ISNUMBER(FIND($E888,Tables!$I$2)), ISNUMBER(FIND($D888,Tables!$J$2)), $E888&lt;&gt;"")</f>
        <v>0</v>
      </c>
    </row>
    <row r="889" spans="1:18" x14ac:dyDescent="0.25">
      <c r="A889">
        <f>IF(AND(B889="", D889&lt;&gt;""), A888, A888+1)</f>
        <v>883</v>
      </c>
      <c r="R889" t="b">
        <f>AND(ISNUMBER(FIND($E889,Tables!$I$2)), ISNUMBER(FIND($D889,Tables!$J$2)), $E889&lt;&gt;"")</f>
        <v>0</v>
      </c>
    </row>
    <row r="890" spans="1:18" x14ac:dyDescent="0.25">
      <c r="A890">
        <f>IF(AND(B890="", D890&lt;&gt;""), A889, A889+1)</f>
        <v>884</v>
      </c>
      <c r="R890" t="b">
        <f>AND(ISNUMBER(FIND($E890,Tables!$I$2)), ISNUMBER(FIND($D890,Tables!$J$2)), $E890&lt;&gt;"")</f>
        <v>0</v>
      </c>
    </row>
    <row r="891" spans="1:18" x14ac:dyDescent="0.25">
      <c r="A891">
        <f>IF(AND(B891="", D891&lt;&gt;""), A890, A890+1)</f>
        <v>885</v>
      </c>
      <c r="R891" t="b">
        <f>AND(ISNUMBER(FIND($E891,Tables!$I$2)), ISNUMBER(FIND($D891,Tables!$J$2)), $E891&lt;&gt;"")</f>
        <v>0</v>
      </c>
    </row>
    <row r="892" spans="1:18" x14ac:dyDescent="0.25">
      <c r="A892">
        <f>IF(AND(B892="", D892&lt;&gt;""), A891, A891+1)</f>
        <v>886</v>
      </c>
      <c r="R892" t="b">
        <f>AND(ISNUMBER(FIND($E892,Tables!$I$2)), ISNUMBER(FIND($D892,Tables!$J$2)), $E892&lt;&gt;"")</f>
        <v>0</v>
      </c>
    </row>
    <row r="893" spans="1:18" x14ac:dyDescent="0.25">
      <c r="A893">
        <f>IF(AND(B893="", D893&lt;&gt;""), A892, A892+1)</f>
        <v>887</v>
      </c>
      <c r="R893" t="b">
        <f>AND(ISNUMBER(FIND($E893,Tables!$I$2)), ISNUMBER(FIND($D893,Tables!$J$2)), $E893&lt;&gt;"")</f>
        <v>0</v>
      </c>
    </row>
    <row r="894" spans="1:18" x14ac:dyDescent="0.25">
      <c r="A894">
        <f>IF(AND(B894="", D894&lt;&gt;""), A893, A893+1)</f>
        <v>888</v>
      </c>
      <c r="R894" t="b">
        <f>AND(ISNUMBER(FIND($E894,Tables!$I$2)), ISNUMBER(FIND($D894,Tables!$J$2)), $E894&lt;&gt;"")</f>
        <v>0</v>
      </c>
    </row>
    <row r="895" spans="1:18" x14ac:dyDescent="0.25">
      <c r="A895">
        <f>IF(AND(B895="", D895&lt;&gt;""), A894, A894+1)</f>
        <v>889</v>
      </c>
      <c r="R895" t="b">
        <f>AND(ISNUMBER(FIND($E895,Tables!$I$2)), ISNUMBER(FIND($D895,Tables!$J$2)), $E895&lt;&gt;"")</f>
        <v>0</v>
      </c>
    </row>
    <row r="896" spans="1:18" x14ac:dyDescent="0.25">
      <c r="A896">
        <f>IF(AND(B896="", D896&lt;&gt;""), A895, A895+1)</f>
        <v>890</v>
      </c>
      <c r="R896" t="b">
        <f>AND(ISNUMBER(FIND($E896,Tables!$I$2)), ISNUMBER(FIND($D896,Tables!$J$2)), $E896&lt;&gt;"")</f>
        <v>0</v>
      </c>
    </row>
    <row r="897" spans="1:18" x14ac:dyDescent="0.25">
      <c r="A897">
        <f>IF(AND(B897="", D897&lt;&gt;""), A896, A896+1)</f>
        <v>891</v>
      </c>
      <c r="R897" t="b">
        <f>AND(ISNUMBER(FIND($E897,Tables!$I$2)), ISNUMBER(FIND($D897,Tables!$J$2)), $E897&lt;&gt;"")</f>
        <v>0</v>
      </c>
    </row>
    <row r="898" spans="1:18" x14ac:dyDescent="0.25">
      <c r="A898">
        <f>IF(AND(B898="", D898&lt;&gt;""), A897, A897+1)</f>
        <v>892</v>
      </c>
      <c r="R898" t="b">
        <f>AND(ISNUMBER(FIND($E898,Tables!$I$2)), ISNUMBER(FIND($D898,Tables!$J$2)), $E898&lt;&gt;"")</f>
        <v>0</v>
      </c>
    </row>
    <row r="899" spans="1:18" x14ac:dyDescent="0.25">
      <c r="A899">
        <f>IF(AND(B899="", D899&lt;&gt;""), A898, A898+1)</f>
        <v>893</v>
      </c>
      <c r="R899" t="b">
        <f>AND(ISNUMBER(FIND($E899,Tables!$I$2)), ISNUMBER(FIND($D899,Tables!$J$2)), $E899&lt;&gt;"")</f>
        <v>0</v>
      </c>
    </row>
    <row r="900" spans="1:18" x14ac:dyDescent="0.25">
      <c r="A900">
        <f>IF(AND(B900="", D900&lt;&gt;""), A899, A899+1)</f>
        <v>894</v>
      </c>
      <c r="R900" t="b">
        <f>AND(ISNUMBER(FIND($E900,Tables!$I$2)), ISNUMBER(FIND($D900,Tables!$J$2)), $E900&lt;&gt;"")</f>
        <v>0</v>
      </c>
    </row>
    <row r="901" spans="1:18" x14ac:dyDescent="0.25">
      <c r="A901">
        <f>IF(AND(B901="", D901&lt;&gt;""), A900, A900+1)</f>
        <v>895</v>
      </c>
      <c r="R901" t="b">
        <f>AND(ISNUMBER(FIND($E901,Tables!$I$2)), ISNUMBER(FIND($D901,Tables!$J$2)), $E901&lt;&gt;"")</f>
        <v>0</v>
      </c>
    </row>
    <row r="902" spans="1:18" x14ac:dyDescent="0.25">
      <c r="A902">
        <f>IF(AND(B902="", D902&lt;&gt;""), A901, A901+1)</f>
        <v>896</v>
      </c>
      <c r="R902" t="b">
        <f>AND(ISNUMBER(FIND($E902,Tables!$I$2)), ISNUMBER(FIND($D902,Tables!$J$2)), $E902&lt;&gt;"")</f>
        <v>0</v>
      </c>
    </row>
    <row r="903" spans="1:18" x14ac:dyDescent="0.25">
      <c r="A903">
        <f>IF(AND(B903="", D903&lt;&gt;""), A902, A902+1)</f>
        <v>897</v>
      </c>
      <c r="R903" t="b">
        <f>AND(ISNUMBER(FIND($E903,Tables!$I$2)), ISNUMBER(FIND($D903,Tables!$J$2)), $E903&lt;&gt;"")</f>
        <v>0</v>
      </c>
    </row>
    <row r="904" spans="1:18" x14ac:dyDescent="0.25">
      <c r="A904">
        <f>IF(AND(B904="", D904&lt;&gt;""), A903, A903+1)</f>
        <v>898</v>
      </c>
      <c r="R904" t="b">
        <f>AND(ISNUMBER(FIND($E904,Tables!$I$2)), ISNUMBER(FIND($D904,Tables!$J$2)), $E904&lt;&gt;"")</f>
        <v>0</v>
      </c>
    </row>
    <row r="905" spans="1:18" x14ac:dyDescent="0.25">
      <c r="A905">
        <f>IF(AND(B905="", D905&lt;&gt;""), A904, A904+1)</f>
        <v>899</v>
      </c>
      <c r="R905" t="b">
        <f>AND(ISNUMBER(FIND($E905,Tables!$I$2)), ISNUMBER(FIND($D905,Tables!$J$2)), $E905&lt;&gt;"")</f>
        <v>0</v>
      </c>
    </row>
    <row r="906" spans="1:18" x14ac:dyDescent="0.25">
      <c r="A906">
        <f>IF(AND(B906="", D906&lt;&gt;""), A905, A905+1)</f>
        <v>900</v>
      </c>
      <c r="R906" t="b">
        <f>AND(ISNUMBER(FIND($E906,Tables!$I$2)), ISNUMBER(FIND($D906,Tables!$J$2)), $E906&lt;&gt;"")</f>
        <v>0</v>
      </c>
    </row>
    <row r="907" spans="1:18" x14ac:dyDescent="0.25">
      <c r="A907">
        <f>IF(AND(B907="", D907&lt;&gt;""), A906, A906+1)</f>
        <v>901</v>
      </c>
      <c r="R907" t="b">
        <f>AND(ISNUMBER(FIND($E907,Tables!$I$2)), ISNUMBER(FIND($D907,Tables!$J$2)), $E907&lt;&gt;"")</f>
        <v>0</v>
      </c>
    </row>
    <row r="908" spans="1:18" x14ac:dyDescent="0.25">
      <c r="A908">
        <f>IF(AND(B908="", D908&lt;&gt;""), A907, A907+1)</f>
        <v>902</v>
      </c>
      <c r="R908" t="b">
        <f>AND(ISNUMBER(FIND($E908,Tables!$I$2)), ISNUMBER(FIND($D908,Tables!$J$2)), $E908&lt;&gt;"")</f>
        <v>0</v>
      </c>
    </row>
    <row r="909" spans="1:18" x14ac:dyDescent="0.25">
      <c r="A909">
        <f>IF(AND(B909="", D909&lt;&gt;""), A908, A908+1)</f>
        <v>903</v>
      </c>
      <c r="R909" t="b">
        <f>AND(ISNUMBER(FIND($E909,Tables!$I$2)), ISNUMBER(FIND($D909,Tables!$J$2)), $E909&lt;&gt;"")</f>
        <v>0</v>
      </c>
    </row>
    <row r="910" spans="1:18" x14ac:dyDescent="0.25">
      <c r="A910">
        <f>IF(AND(B910="", D910&lt;&gt;""), A909, A909+1)</f>
        <v>904</v>
      </c>
      <c r="R910" t="b">
        <f>AND(ISNUMBER(FIND($E910,Tables!$I$2)), ISNUMBER(FIND($D910,Tables!$J$2)), $E910&lt;&gt;"")</f>
        <v>0</v>
      </c>
    </row>
    <row r="911" spans="1:18" x14ac:dyDescent="0.25">
      <c r="A911">
        <f>IF(AND(B911="", D911&lt;&gt;""), A910, A910+1)</f>
        <v>905</v>
      </c>
      <c r="R911" t="b">
        <f>AND(ISNUMBER(FIND($E911,Tables!$I$2)), ISNUMBER(FIND($D911,Tables!$J$2)), $E911&lt;&gt;"")</f>
        <v>0</v>
      </c>
    </row>
    <row r="912" spans="1:18" x14ac:dyDescent="0.25">
      <c r="A912">
        <f>IF(AND(B912="", D912&lt;&gt;""), A911, A911+1)</f>
        <v>906</v>
      </c>
      <c r="R912" t="b">
        <f>AND(ISNUMBER(FIND($E912,Tables!$I$2)), ISNUMBER(FIND($D912,Tables!$J$2)), $E912&lt;&gt;"")</f>
        <v>0</v>
      </c>
    </row>
    <row r="913" spans="1:18" x14ac:dyDescent="0.25">
      <c r="A913">
        <f>IF(AND(B913="", D913&lt;&gt;""), A912, A912+1)</f>
        <v>907</v>
      </c>
      <c r="R913" t="b">
        <f>AND(ISNUMBER(FIND($E913,Tables!$I$2)), ISNUMBER(FIND($D913,Tables!$J$2)), $E913&lt;&gt;"")</f>
        <v>0</v>
      </c>
    </row>
    <row r="914" spans="1:18" x14ac:dyDescent="0.25">
      <c r="A914">
        <f>IF(AND(B914="", D914&lt;&gt;""), A913, A913+1)</f>
        <v>908</v>
      </c>
      <c r="R914" t="b">
        <f>AND(ISNUMBER(FIND($E914,Tables!$I$2)), ISNUMBER(FIND($D914,Tables!$J$2)), $E914&lt;&gt;"")</f>
        <v>0</v>
      </c>
    </row>
    <row r="915" spans="1:18" x14ac:dyDescent="0.25">
      <c r="A915">
        <f>IF(AND(B915="", D915&lt;&gt;""), A914, A914+1)</f>
        <v>909</v>
      </c>
      <c r="R915" t="b">
        <f>AND(ISNUMBER(FIND($E915,Tables!$I$2)), ISNUMBER(FIND($D915,Tables!$J$2)), $E915&lt;&gt;"")</f>
        <v>0</v>
      </c>
    </row>
    <row r="916" spans="1:18" x14ac:dyDescent="0.25">
      <c r="A916">
        <f>IF(AND(B916="", D916&lt;&gt;""), A915, A915+1)</f>
        <v>910</v>
      </c>
      <c r="R916" t="b">
        <f>AND(ISNUMBER(FIND($E916,Tables!$I$2)), ISNUMBER(FIND($D916,Tables!$J$2)), $E916&lt;&gt;"")</f>
        <v>0</v>
      </c>
    </row>
    <row r="917" spans="1:18" x14ac:dyDescent="0.25">
      <c r="A917">
        <f>IF(AND(B917="", D917&lt;&gt;""), A916, A916+1)</f>
        <v>911</v>
      </c>
      <c r="R917" t="b">
        <f>AND(ISNUMBER(FIND($E917,Tables!$I$2)), ISNUMBER(FIND($D917,Tables!$J$2)), $E917&lt;&gt;"")</f>
        <v>0</v>
      </c>
    </row>
    <row r="918" spans="1:18" x14ac:dyDescent="0.25">
      <c r="A918">
        <f>IF(AND(B918="", D918&lt;&gt;""), A917, A917+1)</f>
        <v>912</v>
      </c>
      <c r="R918" t="b">
        <f>AND(ISNUMBER(FIND($E918,Tables!$I$2)), ISNUMBER(FIND($D918,Tables!$J$2)), $E918&lt;&gt;"")</f>
        <v>0</v>
      </c>
    </row>
    <row r="919" spans="1:18" x14ac:dyDescent="0.25">
      <c r="A919">
        <f>IF(AND(B919="", D919&lt;&gt;""), A918, A918+1)</f>
        <v>913</v>
      </c>
      <c r="R919" t="b">
        <f>AND(ISNUMBER(FIND($E919,Tables!$I$2)), ISNUMBER(FIND($D919,Tables!$J$2)), $E919&lt;&gt;"")</f>
        <v>0</v>
      </c>
    </row>
    <row r="920" spans="1:18" x14ac:dyDescent="0.25">
      <c r="A920">
        <f>IF(AND(B920="", D920&lt;&gt;""), A919, A919+1)</f>
        <v>914</v>
      </c>
      <c r="R920" t="b">
        <f>AND(ISNUMBER(FIND($E920,Tables!$I$2)), ISNUMBER(FIND($D920,Tables!$J$2)), $E920&lt;&gt;"")</f>
        <v>0</v>
      </c>
    </row>
    <row r="921" spans="1:18" x14ac:dyDescent="0.25">
      <c r="A921">
        <f>IF(AND(B921="", D921&lt;&gt;""), A920, A920+1)</f>
        <v>915</v>
      </c>
      <c r="R921" t="b">
        <f>AND(ISNUMBER(FIND($E921,Tables!$I$2)), ISNUMBER(FIND($D921,Tables!$J$2)), $E921&lt;&gt;"")</f>
        <v>0</v>
      </c>
    </row>
    <row r="922" spans="1:18" x14ac:dyDescent="0.25">
      <c r="A922">
        <f>IF(AND(B922="", D922&lt;&gt;""), A921, A921+1)</f>
        <v>916</v>
      </c>
      <c r="R922" t="b">
        <f>AND(ISNUMBER(FIND($E922,Tables!$I$2)), ISNUMBER(FIND($D922,Tables!$J$2)), $E922&lt;&gt;"")</f>
        <v>0</v>
      </c>
    </row>
    <row r="923" spans="1:18" x14ac:dyDescent="0.25">
      <c r="A923">
        <f>IF(AND(B923="", D923&lt;&gt;""), A922, A922+1)</f>
        <v>917</v>
      </c>
      <c r="R923" t="b">
        <f>AND(ISNUMBER(FIND($E923,Tables!$I$2)), ISNUMBER(FIND($D923,Tables!$J$2)), $E923&lt;&gt;"")</f>
        <v>0</v>
      </c>
    </row>
    <row r="924" spans="1:18" x14ac:dyDescent="0.25">
      <c r="A924">
        <f>IF(AND(B924="", D924&lt;&gt;""), A923, A923+1)</f>
        <v>918</v>
      </c>
      <c r="R924" t="b">
        <f>AND(ISNUMBER(FIND($E924,Tables!$I$2)), ISNUMBER(FIND($D924,Tables!$J$2)), $E924&lt;&gt;"")</f>
        <v>0</v>
      </c>
    </row>
    <row r="925" spans="1:18" x14ac:dyDescent="0.25">
      <c r="A925">
        <f>IF(AND(B925="", D925&lt;&gt;""), A924, A924+1)</f>
        <v>919</v>
      </c>
      <c r="R925" t="b">
        <f>AND(ISNUMBER(FIND($E925,Tables!$I$2)), ISNUMBER(FIND($D925,Tables!$J$2)), $E925&lt;&gt;"")</f>
        <v>0</v>
      </c>
    </row>
    <row r="926" spans="1:18" x14ac:dyDescent="0.25">
      <c r="A926">
        <f>IF(AND(B926="", D926&lt;&gt;""), A925, A925+1)</f>
        <v>920</v>
      </c>
      <c r="R926" t="b">
        <f>AND(ISNUMBER(FIND($E926,Tables!$I$2)), ISNUMBER(FIND($D926,Tables!$J$2)), $E926&lt;&gt;"")</f>
        <v>0</v>
      </c>
    </row>
    <row r="927" spans="1:18" x14ac:dyDescent="0.25">
      <c r="A927">
        <f>IF(AND(B927="", D927&lt;&gt;""), A926, A926+1)</f>
        <v>921</v>
      </c>
      <c r="R927" t="b">
        <f>AND(ISNUMBER(FIND($E927,Tables!$I$2)), ISNUMBER(FIND($D927,Tables!$J$2)), $E927&lt;&gt;"")</f>
        <v>0</v>
      </c>
    </row>
    <row r="928" spans="1:18" x14ac:dyDescent="0.25">
      <c r="A928">
        <f>IF(AND(B928="", D928&lt;&gt;""), A927, A927+1)</f>
        <v>922</v>
      </c>
      <c r="R928" t="b">
        <f>AND(ISNUMBER(FIND($E928,Tables!$I$2)), ISNUMBER(FIND($D928,Tables!$J$2)), $E928&lt;&gt;"")</f>
        <v>0</v>
      </c>
    </row>
    <row r="929" spans="1:18" x14ac:dyDescent="0.25">
      <c r="A929">
        <f>IF(AND(B929="", D929&lt;&gt;""), A928, A928+1)</f>
        <v>923</v>
      </c>
      <c r="R929" t="b">
        <f>AND(ISNUMBER(FIND($E929,Tables!$I$2)), ISNUMBER(FIND($D929,Tables!$J$2)), $E929&lt;&gt;"")</f>
        <v>0</v>
      </c>
    </row>
    <row r="930" spans="1:18" x14ac:dyDescent="0.25">
      <c r="A930">
        <f>IF(AND(B930="", D930&lt;&gt;""), A929, A929+1)</f>
        <v>924</v>
      </c>
      <c r="R930" t="b">
        <f>AND(ISNUMBER(FIND($E930,Tables!$I$2)), ISNUMBER(FIND($D930,Tables!$J$2)), $E930&lt;&gt;"")</f>
        <v>0</v>
      </c>
    </row>
    <row r="931" spans="1:18" x14ac:dyDescent="0.25">
      <c r="A931">
        <f>IF(AND(B931="", D931&lt;&gt;""), A930, A930+1)</f>
        <v>925</v>
      </c>
      <c r="R931" t="b">
        <f>AND(ISNUMBER(FIND($E931,Tables!$I$2)), ISNUMBER(FIND($D931,Tables!$J$2)), $E931&lt;&gt;"")</f>
        <v>0</v>
      </c>
    </row>
    <row r="932" spans="1:18" x14ac:dyDescent="0.25">
      <c r="A932">
        <f>IF(AND(B932="", D932&lt;&gt;""), A931, A931+1)</f>
        <v>926</v>
      </c>
      <c r="R932" t="b">
        <f>AND(ISNUMBER(FIND($E932,Tables!$I$2)), ISNUMBER(FIND($D932,Tables!$J$2)), $E932&lt;&gt;"")</f>
        <v>0</v>
      </c>
    </row>
    <row r="933" spans="1:18" x14ac:dyDescent="0.25">
      <c r="A933">
        <f>IF(AND(B933="", D933&lt;&gt;""), A932, A932+1)</f>
        <v>927</v>
      </c>
      <c r="R933" t="b">
        <f>AND(ISNUMBER(FIND($E933,Tables!$I$2)), ISNUMBER(FIND($D933,Tables!$J$2)), $E933&lt;&gt;"")</f>
        <v>0</v>
      </c>
    </row>
    <row r="934" spans="1:18" x14ac:dyDescent="0.25">
      <c r="A934">
        <f>IF(AND(B934="", D934&lt;&gt;""), A933, A933+1)</f>
        <v>928</v>
      </c>
      <c r="R934" t="b">
        <f>AND(ISNUMBER(FIND($E934,Tables!$I$2)), ISNUMBER(FIND($D934,Tables!$J$2)), $E934&lt;&gt;"")</f>
        <v>0</v>
      </c>
    </row>
    <row r="935" spans="1:18" x14ac:dyDescent="0.25">
      <c r="A935">
        <f>IF(AND(B935="", D935&lt;&gt;""), A934, A934+1)</f>
        <v>929</v>
      </c>
      <c r="R935" t="b">
        <f>AND(ISNUMBER(FIND($E935,Tables!$I$2)), ISNUMBER(FIND($D935,Tables!$J$2)), $E935&lt;&gt;"")</f>
        <v>0</v>
      </c>
    </row>
    <row r="936" spans="1:18" x14ac:dyDescent="0.25">
      <c r="A936">
        <f>IF(AND(B936="", D936&lt;&gt;""), A935, A935+1)</f>
        <v>930</v>
      </c>
      <c r="R936" t="b">
        <f>AND(ISNUMBER(FIND($E936,Tables!$I$2)), ISNUMBER(FIND($D936,Tables!$J$2)), $E936&lt;&gt;"")</f>
        <v>0</v>
      </c>
    </row>
    <row r="937" spans="1:18" x14ac:dyDescent="0.25">
      <c r="A937">
        <f>IF(AND(B937="", D937&lt;&gt;""), A936, A936+1)</f>
        <v>931</v>
      </c>
      <c r="R937" t="b">
        <f>AND(ISNUMBER(FIND($E937,Tables!$I$2)), ISNUMBER(FIND($D937,Tables!$J$2)), $E937&lt;&gt;"")</f>
        <v>0</v>
      </c>
    </row>
    <row r="938" spans="1:18" x14ac:dyDescent="0.25">
      <c r="A938">
        <f>IF(AND(B938="", D938&lt;&gt;""), A937, A937+1)</f>
        <v>932</v>
      </c>
      <c r="R938" t="b">
        <f>AND(ISNUMBER(FIND($E938,Tables!$I$2)), ISNUMBER(FIND($D938,Tables!$J$2)), $E938&lt;&gt;"")</f>
        <v>0</v>
      </c>
    </row>
    <row r="939" spans="1:18" x14ac:dyDescent="0.25">
      <c r="A939">
        <f>IF(AND(B939="", D939&lt;&gt;""), A938, A938+1)</f>
        <v>933</v>
      </c>
      <c r="R939" t="b">
        <f>AND(ISNUMBER(FIND($E939,Tables!$I$2)), ISNUMBER(FIND($D939,Tables!$J$2)), $E939&lt;&gt;"")</f>
        <v>0</v>
      </c>
    </row>
    <row r="940" spans="1:18" x14ac:dyDescent="0.25">
      <c r="A940">
        <f>IF(AND(B940="", D940&lt;&gt;""), A939, A939+1)</f>
        <v>934</v>
      </c>
      <c r="R940" t="b">
        <f>AND(ISNUMBER(FIND($E940,Tables!$I$2)), ISNUMBER(FIND($D940,Tables!$J$2)), $E940&lt;&gt;"")</f>
        <v>0</v>
      </c>
    </row>
    <row r="941" spans="1:18" x14ac:dyDescent="0.25">
      <c r="A941">
        <f>IF(AND(B941="", D941&lt;&gt;""), A940, A940+1)</f>
        <v>935</v>
      </c>
      <c r="R941" t="b">
        <f>AND(ISNUMBER(FIND($E941,Tables!$I$2)), ISNUMBER(FIND($D941,Tables!$J$2)), $E941&lt;&gt;"")</f>
        <v>0</v>
      </c>
    </row>
    <row r="942" spans="1:18" x14ac:dyDescent="0.25">
      <c r="A942">
        <f>IF(AND(B942="", D942&lt;&gt;""), A941, A941+1)</f>
        <v>936</v>
      </c>
      <c r="R942" t="b">
        <f>AND(ISNUMBER(FIND($E942,Tables!$I$2)), ISNUMBER(FIND($D942,Tables!$J$2)), $E942&lt;&gt;"")</f>
        <v>0</v>
      </c>
    </row>
    <row r="943" spans="1:18" x14ac:dyDescent="0.25">
      <c r="A943">
        <f>IF(AND(B943="", D943&lt;&gt;""), A942, A942+1)</f>
        <v>937</v>
      </c>
      <c r="R943" t="b">
        <f>AND(ISNUMBER(FIND($E943,Tables!$I$2)), ISNUMBER(FIND($D943,Tables!$J$2)), $E943&lt;&gt;"")</f>
        <v>0</v>
      </c>
    </row>
    <row r="944" spans="1:18" x14ac:dyDescent="0.25">
      <c r="A944">
        <f>IF(AND(B944="", D944&lt;&gt;""), A943, A943+1)</f>
        <v>938</v>
      </c>
      <c r="R944" t="b">
        <f>AND(ISNUMBER(FIND($E944,Tables!$I$2)), ISNUMBER(FIND($D944,Tables!$J$2)), $E944&lt;&gt;"")</f>
        <v>0</v>
      </c>
    </row>
    <row r="945" spans="1:18" x14ac:dyDescent="0.25">
      <c r="A945">
        <f>IF(AND(B945="", D945&lt;&gt;""), A944, A944+1)</f>
        <v>939</v>
      </c>
      <c r="R945" t="b">
        <f>AND(ISNUMBER(FIND($E945,Tables!$I$2)), ISNUMBER(FIND($D945,Tables!$J$2)), $E945&lt;&gt;"")</f>
        <v>0</v>
      </c>
    </row>
    <row r="946" spans="1:18" x14ac:dyDescent="0.25">
      <c r="A946">
        <f>IF(AND(B946="", D946&lt;&gt;""), A945, A945+1)</f>
        <v>940</v>
      </c>
      <c r="R946" t="b">
        <f>AND(ISNUMBER(FIND($E946,Tables!$I$2)), ISNUMBER(FIND($D946,Tables!$J$2)), $E946&lt;&gt;"")</f>
        <v>0</v>
      </c>
    </row>
    <row r="947" spans="1:18" x14ac:dyDescent="0.25">
      <c r="A947">
        <f>IF(AND(B947="", D947&lt;&gt;""), A946, A946+1)</f>
        <v>941</v>
      </c>
      <c r="R947" t="b">
        <f>AND(ISNUMBER(FIND($E947,Tables!$I$2)), ISNUMBER(FIND($D947,Tables!$J$2)), $E947&lt;&gt;"")</f>
        <v>0</v>
      </c>
    </row>
    <row r="948" spans="1:18" x14ac:dyDescent="0.25">
      <c r="A948">
        <f>IF(AND(B948="", D948&lt;&gt;""), A947, A947+1)</f>
        <v>942</v>
      </c>
      <c r="R948" t="b">
        <f>AND(ISNUMBER(FIND($E948,Tables!$I$2)), ISNUMBER(FIND($D948,Tables!$J$2)), $E948&lt;&gt;"")</f>
        <v>0</v>
      </c>
    </row>
    <row r="949" spans="1:18" x14ac:dyDescent="0.25">
      <c r="A949">
        <f>IF(AND(B949="", D949&lt;&gt;""), A948, A948+1)</f>
        <v>943</v>
      </c>
      <c r="R949" t="b">
        <f>AND(ISNUMBER(FIND($E949,Tables!$I$2)), ISNUMBER(FIND($D949,Tables!$J$2)), $E949&lt;&gt;"")</f>
        <v>0</v>
      </c>
    </row>
    <row r="950" spans="1:18" x14ac:dyDescent="0.25">
      <c r="A950">
        <f>IF(AND(B950="", D950&lt;&gt;""), A949, A949+1)</f>
        <v>944</v>
      </c>
      <c r="R950" t="b">
        <f>AND(ISNUMBER(FIND($E950,Tables!$I$2)), ISNUMBER(FIND($D950,Tables!$J$2)), $E950&lt;&gt;"")</f>
        <v>0</v>
      </c>
    </row>
    <row r="951" spans="1:18" x14ac:dyDescent="0.25">
      <c r="A951">
        <f>IF(AND(B951="", D951&lt;&gt;""), A950, A950+1)</f>
        <v>945</v>
      </c>
      <c r="R951" t="b">
        <f>AND(ISNUMBER(FIND($E951,Tables!$I$2)), ISNUMBER(FIND($D951,Tables!$J$2)), $E951&lt;&gt;"")</f>
        <v>0</v>
      </c>
    </row>
    <row r="952" spans="1:18" x14ac:dyDescent="0.25">
      <c r="A952">
        <f>IF(AND(B952="", D952&lt;&gt;""), A951, A951+1)</f>
        <v>946</v>
      </c>
      <c r="R952" t="b">
        <f>AND(ISNUMBER(FIND($E952,Tables!$I$2)), ISNUMBER(FIND($D952,Tables!$J$2)), $E952&lt;&gt;"")</f>
        <v>0</v>
      </c>
    </row>
    <row r="953" spans="1:18" x14ac:dyDescent="0.25">
      <c r="A953">
        <f>IF(AND(B953="", D953&lt;&gt;""), A952, A952+1)</f>
        <v>947</v>
      </c>
      <c r="R953" t="b">
        <f>AND(ISNUMBER(FIND($E953,Tables!$I$2)), ISNUMBER(FIND($D953,Tables!$J$2)), $E953&lt;&gt;"")</f>
        <v>0</v>
      </c>
    </row>
    <row r="954" spans="1:18" x14ac:dyDescent="0.25">
      <c r="A954">
        <f>IF(AND(B954="", D954&lt;&gt;""), A953, A953+1)</f>
        <v>948</v>
      </c>
      <c r="R954" t="b">
        <f>AND(ISNUMBER(FIND($E954,Tables!$I$2)), ISNUMBER(FIND($D954,Tables!$J$2)), $E954&lt;&gt;"")</f>
        <v>0</v>
      </c>
    </row>
    <row r="955" spans="1:18" x14ac:dyDescent="0.25">
      <c r="A955">
        <f>IF(AND(B955="", D955&lt;&gt;""), A954, A954+1)</f>
        <v>949</v>
      </c>
      <c r="R955" t="b">
        <f>AND(ISNUMBER(FIND($E955,Tables!$I$2)), ISNUMBER(FIND($D955,Tables!$J$2)), $E955&lt;&gt;"")</f>
        <v>0</v>
      </c>
    </row>
    <row r="956" spans="1:18" x14ac:dyDescent="0.25">
      <c r="A956">
        <f>IF(AND(B956="", D956&lt;&gt;""), A955, A955+1)</f>
        <v>950</v>
      </c>
      <c r="R956" t="b">
        <f>AND(ISNUMBER(FIND($E956,Tables!$I$2)), ISNUMBER(FIND($D956,Tables!$J$2)), $E956&lt;&gt;"")</f>
        <v>0</v>
      </c>
    </row>
    <row r="957" spans="1:18" x14ac:dyDescent="0.25">
      <c r="A957">
        <f>IF(AND(B957="", D957&lt;&gt;""), A956, A956+1)</f>
        <v>951</v>
      </c>
      <c r="R957" t="b">
        <f>AND(ISNUMBER(FIND($E957,Tables!$I$2)), ISNUMBER(FIND($D957,Tables!$J$2)), $E957&lt;&gt;"")</f>
        <v>0</v>
      </c>
    </row>
    <row r="958" spans="1:18" x14ac:dyDescent="0.25">
      <c r="A958">
        <f>IF(AND(B958="", D958&lt;&gt;""), A957, A957+1)</f>
        <v>952</v>
      </c>
      <c r="R958" t="b">
        <f>AND(ISNUMBER(FIND($E958,Tables!$I$2)), ISNUMBER(FIND($D958,Tables!$J$2)), $E958&lt;&gt;"")</f>
        <v>0</v>
      </c>
    </row>
    <row r="959" spans="1:18" x14ac:dyDescent="0.25">
      <c r="A959">
        <f>IF(AND(B959="", D959&lt;&gt;""), A958, A958+1)</f>
        <v>953</v>
      </c>
      <c r="R959" t="b">
        <f>AND(ISNUMBER(FIND($E959,Tables!$I$2)), ISNUMBER(FIND($D959,Tables!$J$2)), $E959&lt;&gt;"")</f>
        <v>0</v>
      </c>
    </row>
    <row r="960" spans="1:18" x14ac:dyDescent="0.25">
      <c r="A960">
        <f>IF(AND(B960="", D960&lt;&gt;""), A959, A959+1)</f>
        <v>954</v>
      </c>
      <c r="R960" t="b">
        <f>AND(ISNUMBER(FIND($E960,Tables!$I$2)), ISNUMBER(FIND($D960,Tables!$J$2)), $E960&lt;&gt;"")</f>
        <v>0</v>
      </c>
    </row>
    <row r="961" spans="1:18" x14ac:dyDescent="0.25">
      <c r="A961">
        <f>IF(AND(B961="", D961&lt;&gt;""), A960, A960+1)</f>
        <v>955</v>
      </c>
      <c r="R961" t="b">
        <f>AND(ISNUMBER(FIND($E961,Tables!$I$2)), ISNUMBER(FIND($D961,Tables!$J$2)), $E961&lt;&gt;"")</f>
        <v>0</v>
      </c>
    </row>
    <row r="962" spans="1:18" x14ac:dyDescent="0.25">
      <c r="A962">
        <f>IF(AND(B962="", D962&lt;&gt;""), A961, A961+1)</f>
        <v>956</v>
      </c>
      <c r="R962" t="b">
        <f>AND(ISNUMBER(FIND($E962,Tables!$I$2)), ISNUMBER(FIND($D962,Tables!$J$2)), $E962&lt;&gt;"")</f>
        <v>0</v>
      </c>
    </row>
    <row r="963" spans="1:18" x14ac:dyDescent="0.25">
      <c r="A963">
        <f>IF(AND(B963="", D963&lt;&gt;""), A962, A962+1)</f>
        <v>957</v>
      </c>
      <c r="R963" t="b">
        <f>AND(ISNUMBER(FIND($E963,Tables!$I$2)), ISNUMBER(FIND($D963,Tables!$J$2)), $E963&lt;&gt;"")</f>
        <v>0</v>
      </c>
    </row>
    <row r="964" spans="1:18" x14ac:dyDescent="0.25">
      <c r="A964">
        <f>IF(AND(B964="", D964&lt;&gt;""), A963, A963+1)</f>
        <v>958</v>
      </c>
      <c r="R964" t="b">
        <f>AND(ISNUMBER(FIND($E964,Tables!$I$2)), ISNUMBER(FIND($D964,Tables!$J$2)), $E964&lt;&gt;"")</f>
        <v>0</v>
      </c>
    </row>
    <row r="965" spans="1:18" x14ac:dyDescent="0.25">
      <c r="A965">
        <f>IF(AND(B965="", D965&lt;&gt;""), A964, A964+1)</f>
        <v>959</v>
      </c>
      <c r="R965" t="b">
        <f>AND(ISNUMBER(FIND($E965,Tables!$I$2)), ISNUMBER(FIND($D965,Tables!$J$2)), $E965&lt;&gt;"")</f>
        <v>0</v>
      </c>
    </row>
    <row r="966" spans="1:18" x14ac:dyDescent="0.25">
      <c r="A966">
        <f>IF(AND(B966="", D966&lt;&gt;""), A965, A965+1)</f>
        <v>960</v>
      </c>
      <c r="R966" t="b">
        <f>AND(ISNUMBER(FIND($E966,Tables!$I$2)), ISNUMBER(FIND($D966,Tables!$J$2)), $E966&lt;&gt;"")</f>
        <v>0</v>
      </c>
    </row>
    <row r="967" spans="1:18" x14ac:dyDescent="0.25">
      <c r="A967">
        <f>IF(AND(B967="", D967&lt;&gt;""), A966, A966+1)</f>
        <v>961</v>
      </c>
      <c r="R967" t="b">
        <f>AND(ISNUMBER(FIND($E967,Tables!$I$2)), ISNUMBER(FIND($D967,Tables!$J$2)), $E967&lt;&gt;"")</f>
        <v>0</v>
      </c>
    </row>
    <row r="968" spans="1:18" x14ac:dyDescent="0.25">
      <c r="A968">
        <f>IF(AND(B968="", D968&lt;&gt;""), A967, A967+1)</f>
        <v>962</v>
      </c>
      <c r="R968" t="b">
        <f>AND(ISNUMBER(FIND($E968,Tables!$I$2)), ISNUMBER(FIND($D968,Tables!$J$2)), $E968&lt;&gt;"")</f>
        <v>0</v>
      </c>
    </row>
    <row r="969" spans="1:18" x14ac:dyDescent="0.25">
      <c r="A969">
        <f>IF(AND(B969="", D969&lt;&gt;""), A968, A968+1)</f>
        <v>963</v>
      </c>
      <c r="R969" t="b">
        <f>AND(ISNUMBER(FIND($E969,Tables!$I$2)), ISNUMBER(FIND($D969,Tables!$J$2)), $E969&lt;&gt;"")</f>
        <v>0</v>
      </c>
    </row>
    <row r="970" spans="1:18" x14ac:dyDescent="0.25">
      <c r="A970">
        <f>IF(AND(B970="", D970&lt;&gt;""), A969, A969+1)</f>
        <v>964</v>
      </c>
      <c r="R970" t="b">
        <f>AND(ISNUMBER(FIND($E970,Tables!$I$2)), ISNUMBER(FIND($D970,Tables!$J$2)), $E970&lt;&gt;"")</f>
        <v>0</v>
      </c>
    </row>
    <row r="971" spans="1:18" x14ac:dyDescent="0.25">
      <c r="A971">
        <f>IF(AND(B971="", D971&lt;&gt;""), A970, A970+1)</f>
        <v>965</v>
      </c>
      <c r="R971" t="b">
        <f>AND(ISNUMBER(FIND($E971,Tables!$I$2)), ISNUMBER(FIND($D971,Tables!$J$2)), $E971&lt;&gt;"")</f>
        <v>0</v>
      </c>
    </row>
    <row r="972" spans="1:18" x14ac:dyDescent="0.25">
      <c r="A972">
        <f>IF(AND(B972="", D972&lt;&gt;""), A971, A971+1)</f>
        <v>966</v>
      </c>
      <c r="R972" t="b">
        <f>AND(ISNUMBER(FIND($E972,Tables!$I$2)), ISNUMBER(FIND($D972,Tables!$J$2)), $E972&lt;&gt;"")</f>
        <v>0</v>
      </c>
    </row>
    <row r="973" spans="1:18" x14ac:dyDescent="0.25">
      <c r="A973">
        <f>IF(AND(B973="", D973&lt;&gt;""), A972, A972+1)</f>
        <v>967</v>
      </c>
      <c r="R973" t="b">
        <f>AND(ISNUMBER(FIND($E973,Tables!$I$2)), ISNUMBER(FIND($D973,Tables!$J$2)), $E973&lt;&gt;"")</f>
        <v>0</v>
      </c>
    </row>
    <row r="974" spans="1:18" x14ac:dyDescent="0.25">
      <c r="A974">
        <f>IF(AND(B974="", D974&lt;&gt;""), A973, A973+1)</f>
        <v>968</v>
      </c>
      <c r="R974" t="b">
        <f>AND(ISNUMBER(FIND($E974,Tables!$I$2)), ISNUMBER(FIND($D974,Tables!$J$2)), $E974&lt;&gt;"")</f>
        <v>0</v>
      </c>
    </row>
    <row r="975" spans="1:18" x14ac:dyDescent="0.25">
      <c r="A975">
        <f>IF(AND(B975="", D975&lt;&gt;""), A974, A974+1)</f>
        <v>969</v>
      </c>
      <c r="R975" t="b">
        <f>AND(ISNUMBER(FIND($E975,Tables!$I$2)), ISNUMBER(FIND($D975,Tables!$J$2)), $E975&lt;&gt;"")</f>
        <v>0</v>
      </c>
    </row>
    <row r="976" spans="1:18" x14ac:dyDescent="0.25">
      <c r="A976">
        <f>IF(AND(B976="", D976&lt;&gt;""), A975, A975+1)</f>
        <v>970</v>
      </c>
      <c r="R976" t="b">
        <f>AND(ISNUMBER(FIND($E976,Tables!$I$2)), ISNUMBER(FIND($D976,Tables!$J$2)), $E976&lt;&gt;"")</f>
        <v>0</v>
      </c>
    </row>
    <row r="977" spans="1:18" x14ac:dyDescent="0.25">
      <c r="A977">
        <f>IF(AND(B977="", D977&lt;&gt;""), A976, A976+1)</f>
        <v>971</v>
      </c>
      <c r="R977" t="b">
        <f>AND(ISNUMBER(FIND($E977,Tables!$I$2)), ISNUMBER(FIND($D977,Tables!$J$2)), $E977&lt;&gt;"")</f>
        <v>0</v>
      </c>
    </row>
    <row r="978" spans="1:18" x14ac:dyDescent="0.25">
      <c r="A978">
        <f>IF(AND(B978="", D978&lt;&gt;""), A977, A977+1)</f>
        <v>972</v>
      </c>
      <c r="R978" t="b">
        <f>AND(ISNUMBER(FIND($E978,Tables!$I$2)), ISNUMBER(FIND($D978,Tables!$J$2)), $E978&lt;&gt;"")</f>
        <v>0</v>
      </c>
    </row>
    <row r="979" spans="1:18" x14ac:dyDescent="0.25">
      <c r="A979">
        <f>IF(AND(B979="", D979&lt;&gt;""), A978, A978+1)</f>
        <v>973</v>
      </c>
      <c r="R979" t="b">
        <f>AND(ISNUMBER(FIND($E979,Tables!$I$2)), ISNUMBER(FIND($D979,Tables!$J$2)), $E979&lt;&gt;"")</f>
        <v>0</v>
      </c>
    </row>
    <row r="980" spans="1:18" x14ac:dyDescent="0.25">
      <c r="A980">
        <f>IF(AND(B980="", D980&lt;&gt;""), A979, A979+1)</f>
        <v>974</v>
      </c>
      <c r="R980" t="b">
        <f>AND(ISNUMBER(FIND($E980,Tables!$I$2)), ISNUMBER(FIND($D980,Tables!$J$2)), $E980&lt;&gt;"")</f>
        <v>0</v>
      </c>
    </row>
    <row r="981" spans="1:18" x14ac:dyDescent="0.25">
      <c r="A981">
        <f>IF(AND(B981="", D981&lt;&gt;""), A980, A980+1)</f>
        <v>975</v>
      </c>
      <c r="R981" t="b">
        <f>AND(ISNUMBER(FIND($E981,Tables!$I$2)), ISNUMBER(FIND($D981,Tables!$J$2)), $E981&lt;&gt;"")</f>
        <v>0</v>
      </c>
    </row>
    <row r="982" spans="1:18" x14ac:dyDescent="0.25">
      <c r="A982">
        <f>IF(AND(B982="", D982&lt;&gt;""), A981, A981+1)</f>
        <v>976</v>
      </c>
      <c r="R982" t="b">
        <f>AND(ISNUMBER(FIND($E982,Tables!$I$2)), ISNUMBER(FIND($D982,Tables!$J$2)), $E982&lt;&gt;"")</f>
        <v>0</v>
      </c>
    </row>
    <row r="983" spans="1:18" x14ac:dyDescent="0.25">
      <c r="A983">
        <f>IF(AND(B983="", D983&lt;&gt;""), A982, A982+1)</f>
        <v>977</v>
      </c>
      <c r="R983" t="b">
        <f>AND(ISNUMBER(FIND($E983,Tables!$I$2)), ISNUMBER(FIND($D983,Tables!$J$2)), $E983&lt;&gt;"")</f>
        <v>0</v>
      </c>
    </row>
    <row r="984" spans="1:18" x14ac:dyDescent="0.25">
      <c r="A984">
        <f>IF(AND(B984="", D984&lt;&gt;""), A983, A983+1)</f>
        <v>978</v>
      </c>
      <c r="R984" t="b">
        <f>AND(ISNUMBER(FIND($E984,Tables!$I$2)), ISNUMBER(FIND($D984,Tables!$J$2)), $E984&lt;&gt;"")</f>
        <v>0</v>
      </c>
    </row>
    <row r="985" spans="1:18" x14ac:dyDescent="0.25">
      <c r="A985">
        <f>IF(AND(B985="", D985&lt;&gt;""), A984, A984+1)</f>
        <v>979</v>
      </c>
      <c r="R985" t="b">
        <f>AND(ISNUMBER(FIND($E985,Tables!$I$2)), ISNUMBER(FIND($D985,Tables!$J$2)), $E985&lt;&gt;"")</f>
        <v>0</v>
      </c>
    </row>
    <row r="986" spans="1:18" x14ac:dyDescent="0.25">
      <c r="A986">
        <f>IF(AND(B986="", D986&lt;&gt;""), A985, A985+1)</f>
        <v>980</v>
      </c>
      <c r="R986" t="b">
        <f>AND(ISNUMBER(FIND($E986,Tables!$I$2)), ISNUMBER(FIND($D986,Tables!$J$2)), $E986&lt;&gt;"")</f>
        <v>0</v>
      </c>
    </row>
    <row r="987" spans="1:18" x14ac:dyDescent="0.25">
      <c r="A987">
        <f>IF(AND(B987="", D987&lt;&gt;""), A986, A986+1)</f>
        <v>981</v>
      </c>
      <c r="R987" t="b">
        <f>AND(ISNUMBER(FIND($E987,Tables!$I$2)), ISNUMBER(FIND($D987,Tables!$J$2)), $E987&lt;&gt;"")</f>
        <v>0</v>
      </c>
    </row>
    <row r="988" spans="1:18" x14ac:dyDescent="0.25">
      <c r="A988">
        <f>IF(AND(B988="", D988&lt;&gt;""), A987, A987+1)</f>
        <v>982</v>
      </c>
      <c r="R988" t="b">
        <f>AND(ISNUMBER(FIND($E988,Tables!$I$2)), ISNUMBER(FIND($D988,Tables!$J$2)), $E988&lt;&gt;"")</f>
        <v>0</v>
      </c>
    </row>
    <row r="989" spans="1:18" x14ac:dyDescent="0.25">
      <c r="A989">
        <f>IF(AND(B989="", D989&lt;&gt;""), A988, A988+1)</f>
        <v>983</v>
      </c>
      <c r="R989" t="b">
        <f>AND(ISNUMBER(FIND($E989,Tables!$I$2)), ISNUMBER(FIND($D989,Tables!$J$2)), $E989&lt;&gt;"")</f>
        <v>0</v>
      </c>
    </row>
    <row r="990" spans="1:18" x14ac:dyDescent="0.25">
      <c r="A990">
        <f>IF(AND(B990="", D990&lt;&gt;""), A989, A989+1)</f>
        <v>984</v>
      </c>
      <c r="R990" t="b">
        <f>AND(ISNUMBER(FIND($E990,Tables!$I$2)), ISNUMBER(FIND($D990,Tables!$J$2)), $E990&lt;&gt;"")</f>
        <v>0</v>
      </c>
    </row>
    <row r="991" spans="1:18" x14ac:dyDescent="0.25">
      <c r="A991">
        <f>IF(AND(B991="", D991&lt;&gt;""), A990, A990+1)</f>
        <v>985</v>
      </c>
      <c r="R991" t="b">
        <f>AND(ISNUMBER(FIND($E991,Tables!$I$2)), ISNUMBER(FIND($D991,Tables!$J$2)), $E991&lt;&gt;"")</f>
        <v>0</v>
      </c>
    </row>
    <row r="992" spans="1:18" x14ac:dyDescent="0.25">
      <c r="A992">
        <f>IF(AND(B992="", D992&lt;&gt;""), A991, A991+1)</f>
        <v>986</v>
      </c>
      <c r="R992" t="b">
        <f>AND(ISNUMBER(FIND($E992,Tables!$I$2)), ISNUMBER(FIND($D992,Tables!$J$2)), $E992&lt;&gt;"")</f>
        <v>0</v>
      </c>
    </row>
    <row r="993" spans="1:18" x14ac:dyDescent="0.25">
      <c r="A993">
        <f>IF(AND(B993="", D993&lt;&gt;""), A992, A992+1)</f>
        <v>987</v>
      </c>
      <c r="R993" t="b">
        <f>AND(ISNUMBER(FIND($E993,Tables!$I$2)), ISNUMBER(FIND($D993,Tables!$J$2)), $E993&lt;&gt;"")</f>
        <v>0</v>
      </c>
    </row>
    <row r="994" spans="1:18" x14ac:dyDescent="0.25">
      <c r="A994">
        <f>IF(AND(B994="", D994&lt;&gt;""), A993, A993+1)</f>
        <v>988</v>
      </c>
      <c r="R994" t="b">
        <f>AND(ISNUMBER(FIND($E994,Tables!$I$2)), ISNUMBER(FIND($D994,Tables!$J$2)), $E994&lt;&gt;"")</f>
        <v>0</v>
      </c>
    </row>
    <row r="995" spans="1:18" x14ac:dyDescent="0.25">
      <c r="A995">
        <f>IF(AND(B995="", D995&lt;&gt;""), A994, A994+1)</f>
        <v>989</v>
      </c>
      <c r="R995" t="b">
        <f>AND(ISNUMBER(FIND($E995,Tables!$I$2)), ISNUMBER(FIND($D995,Tables!$J$2)), $E995&lt;&gt;"")</f>
        <v>0</v>
      </c>
    </row>
    <row r="996" spans="1:18" x14ac:dyDescent="0.25">
      <c r="A996">
        <f>IF(AND(B996="", D996&lt;&gt;""), A995, A995+1)</f>
        <v>990</v>
      </c>
      <c r="R996" t="b">
        <f>AND(ISNUMBER(FIND($E996,Tables!$I$2)), ISNUMBER(FIND($D996,Tables!$J$2)), $E996&lt;&gt;"")</f>
        <v>0</v>
      </c>
    </row>
    <row r="997" spans="1:18" x14ac:dyDescent="0.25">
      <c r="A997">
        <f>IF(AND(B997="", D997&lt;&gt;""), A996, A996+1)</f>
        <v>991</v>
      </c>
      <c r="R997" t="b">
        <f>AND(ISNUMBER(FIND($E997,Tables!$I$2)), ISNUMBER(FIND($D997,Tables!$J$2)), $E997&lt;&gt;"")</f>
        <v>0</v>
      </c>
    </row>
    <row r="998" spans="1:18" x14ac:dyDescent="0.25">
      <c r="A998">
        <f>IF(AND(B998="", D998&lt;&gt;""), A997, A997+1)</f>
        <v>992</v>
      </c>
      <c r="R998" t="b">
        <f>AND(ISNUMBER(FIND($E998,Tables!$I$2)), ISNUMBER(FIND($D998,Tables!$J$2)), $E998&lt;&gt;"")</f>
        <v>0</v>
      </c>
    </row>
    <row r="999" spans="1:18" x14ac:dyDescent="0.25">
      <c r="A999">
        <f>IF(AND(B999="", D999&lt;&gt;""), A998, A998+1)</f>
        <v>993</v>
      </c>
      <c r="R999" t="b">
        <f>AND(ISNUMBER(FIND($E999,Tables!$I$2)), ISNUMBER(FIND($D999,Tables!$J$2)), $E999&lt;&gt;"")</f>
        <v>0</v>
      </c>
    </row>
    <row r="1000" spans="1:18" x14ac:dyDescent="0.25">
      <c r="A1000">
        <f>IF(AND(B1000="", D1000&lt;&gt;""), A999, A999+1)</f>
        <v>994</v>
      </c>
      <c r="R1000" t="b">
        <f>AND(ISNUMBER(FIND($E1000,Tables!$I$2)), ISNUMBER(FIND($D1000,Tables!$J$2)), $E1000&lt;&gt;"")</f>
        <v>0</v>
      </c>
    </row>
    <row r="1001" spans="1:18" x14ac:dyDescent="0.25">
      <c r="A1001">
        <f>IF(AND(B1001="", D1001&lt;&gt;""), A1000, A1000+1)</f>
        <v>995</v>
      </c>
      <c r="R1001" t="b">
        <f>AND(ISNUMBER(FIND($E1001,Tables!$I$2)), ISNUMBER(FIND($D1001,Tables!$J$2)), $E1001&lt;&gt;"")</f>
        <v>0</v>
      </c>
    </row>
    <row r="1002" spans="1:18" x14ac:dyDescent="0.25">
      <c r="A1002">
        <f>IF(AND(B1002="", D1002&lt;&gt;""), A1001, A1001+1)</f>
        <v>996</v>
      </c>
      <c r="R1002" t="b">
        <f>AND(ISNUMBER(FIND($E1002,Tables!$I$2)), ISNUMBER(FIND($D1002,Tables!$J$2)), $E1002&lt;&gt;"")</f>
        <v>0</v>
      </c>
    </row>
    <row r="1003" spans="1:18" x14ac:dyDescent="0.25">
      <c r="A1003">
        <f>IF(AND(B1003="", D1003&lt;&gt;""), A1002, A1002+1)</f>
        <v>997</v>
      </c>
      <c r="R1003" t="b">
        <f>AND(ISNUMBER(FIND($E1003,Tables!$I$2)), ISNUMBER(FIND($D1003,Tables!$J$2)), $E1003&lt;&gt;"")</f>
        <v>0</v>
      </c>
    </row>
    <row r="1004" spans="1:18" x14ac:dyDescent="0.25">
      <c r="A1004">
        <f>IF(AND(B1004="", D1004&lt;&gt;""), A1003, A1003+1)</f>
        <v>998</v>
      </c>
      <c r="R1004" t="b">
        <f>AND(ISNUMBER(FIND($E1004,Tables!$I$2)), ISNUMBER(FIND($D1004,Tables!$J$2)), $E1004&lt;&gt;"")</f>
        <v>0</v>
      </c>
    </row>
    <row r="1005" spans="1:18" x14ac:dyDescent="0.25">
      <c r="A1005">
        <f>IF(AND(B1005="", D1005&lt;&gt;""), A1004, A1004+1)</f>
        <v>999</v>
      </c>
      <c r="R1005" t="b">
        <f>AND(ISNUMBER(FIND($E1005,Tables!$I$2)), ISNUMBER(FIND($D1005,Tables!$J$2)), $E1005&lt;&gt;"")</f>
        <v>0</v>
      </c>
    </row>
    <row r="1006" spans="1:18" x14ac:dyDescent="0.25">
      <c r="A1006">
        <f>IF(AND(B1006="", D1006&lt;&gt;""), A1005, A1005+1)</f>
        <v>1000</v>
      </c>
      <c r="R1006" t="b">
        <f>AND(ISNUMBER(FIND($E1006,Tables!$I$2)), ISNUMBER(FIND($D1006,Tables!$J$2)), $E1006&lt;&gt;"")</f>
        <v>0</v>
      </c>
    </row>
    <row r="1007" spans="1:18" x14ac:dyDescent="0.25">
      <c r="A1007">
        <f>IF(AND(B1007="", D1007&lt;&gt;""), A1006, A1006+1)</f>
        <v>1001</v>
      </c>
      <c r="R1007" t="b">
        <f>AND(ISNUMBER(FIND($E1007,Tables!$I$2)), ISNUMBER(FIND($D1007,Tables!$J$2)), $E1007&lt;&gt;"")</f>
        <v>0</v>
      </c>
    </row>
    <row r="1008" spans="1:18" x14ac:dyDescent="0.25">
      <c r="A1008">
        <f>IF(AND(B1008="", D1008&lt;&gt;""), A1007, A1007+1)</f>
        <v>1002</v>
      </c>
      <c r="R1008" t="b">
        <f>AND(ISNUMBER(FIND($E1008,Tables!$I$2)), ISNUMBER(FIND($D1008,Tables!$J$2)), $E1008&lt;&gt;"")</f>
        <v>0</v>
      </c>
    </row>
    <row r="1009" spans="1:18" x14ac:dyDescent="0.25">
      <c r="A1009">
        <f>IF(AND(B1009="", D1009&lt;&gt;""), A1008, A1008+1)</f>
        <v>1003</v>
      </c>
      <c r="R1009" t="b">
        <f>AND(ISNUMBER(FIND($E1009,Tables!$I$2)), ISNUMBER(FIND($D1009,Tables!$J$2)), $E1009&lt;&gt;"")</f>
        <v>0</v>
      </c>
    </row>
    <row r="1010" spans="1:18" x14ac:dyDescent="0.25">
      <c r="A1010">
        <f>IF(AND(B1010="", D1010&lt;&gt;""), A1009, A1009+1)</f>
        <v>1004</v>
      </c>
      <c r="R1010" t="b">
        <f>AND(ISNUMBER(FIND($E1010,Tables!$I$2)), ISNUMBER(FIND($D1010,Tables!$J$2)), $E1010&lt;&gt;"")</f>
        <v>0</v>
      </c>
    </row>
    <row r="1011" spans="1:18" x14ac:dyDescent="0.25">
      <c r="A1011">
        <f>IF(AND(B1011="", D1011&lt;&gt;""), A1010, A1010+1)</f>
        <v>1005</v>
      </c>
      <c r="R1011" t="b">
        <f>AND(ISNUMBER(FIND($E1011,Tables!$I$2)), ISNUMBER(FIND($D1011,Tables!$J$2)), $E1011&lt;&gt;"")</f>
        <v>0</v>
      </c>
    </row>
    <row r="1012" spans="1:18" x14ac:dyDescent="0.25">
      <c r="A1012">
        <f>IF(AND(B1012="", D1012&lt;&gt;""), A1011, A1011+1)</f>
        <v>1006</v>
      </c>
      <c r="R1012" t="b">
        <f>AND(ISNUMBER(FIND($E1012,Tables!$I$2)), ISNUMBER(FIND($D1012,Tables!$J$2)), $E1012&lt;&gt;"")</f>
        <v>0</v>
      </c>
    </row>
    <row r="1013" spans="1:18" x14ac:dyDescent="0.25">
      <c r="A1013">
        <f>IF(AND(B1013="", D1013&lt;&gt;""), A1012, A1012+1)</f>
        <v>1007</v>
      </c>
      <c r="R1013" t="b">
        <f>AND(ISNUMBER(FIND($E1013,Tables!$I$2)), ISNUMBER(FIND($D1013,Tables!$J$2)), $E1013&lt;&gt;"")</f>
        <v>0</v>
      </c>
    </row>
    <row r="1014" spans="1:18" x14ac:dyDescent="0.25">
      <c r="A1014">
        <f>IF(AND(B1014="", D1014&lt;&gt;""), A1013, A1013+1)</f>
        <v>1008</v>
      </c>
      <c r="R1014" t="b">
        <f>AND(ISNUMBER(FIND($E1014,Tables!$I$2)), ISNUMBER(FIND($D1014,Tables!$J$2)), $E1014&lt;&gt;"")</f>
        <v>0</v>
      </c>
    </row>
    <row r="1015" spans="1:18" x14ac:dyDescent="0.25">
      <c r="A1015">
        <f>IF(AND(B1015="", D1015&lt;&gt;""), A1014, A1014+1)</f>
        <v>1009</v>
      </c>
      <c r="R1015" t="b">
        <f>AND(ISNUMBER(FIND($E1015,Tables!$I$2)), ISNUMBER(FIND($D1015,Tables!$J$2)), $E1015&lt;&gt;"")</f>
        <v>0</v>
      </c>
    </row>
    <row r="1016" spans="1:18" x14ac:dyDescent="0.25">
      <c r="A1016">
        <f>IF(AND(B1016="", D1016&lt;&gt;""), A1015, A1015+1)</f>
        <v>1010</v>
      </c>
      <c r="R1016" t="b">
        <f>AND(ISNUMBER(FIND($E1016,Tables!$I$2)), ISNUMBER(FIND($D1016,Tables!$J$2)), $E1016&lt;&gt;"")</f>
        <v>0</v>
      </c>
    </row>
    <row r="1017" spans="1:18" x14ac:dyDescent="0.25">
      <c r="A1017">
        <f>IF(AND(B1017="", D1017&lt;&gt;""), A1016, A1016+1)</f>
        <v>1011</v>
      </c>
      <c r="R1017" t="b">
        <f>AND(ISNUMBER(FIND($E1017,Tables!$I$2)), ISNUMBER(FIND($D1017,Tables!$J$2)), $E1017&lt;&gt;"")</f>
        <v>0</v>
      </c>
    </row>
    <row r="1018" spans="1:18" x14ac:dyDescent="0.25">
      <c r="A1018">
        <f>IF(AND(B1018="", D1018&lt;&gt;""), A1017, A1017+1)</f>
        <v>1012</v>
      </c>
      <c r="R1018" t="b">
        <f>AND(ISNUMBER(FIND($E1018,Tables!$I$2)), ISNUMBER(FIND($D1018,Tables!$J$2)), $E1018&lt;&gt;"")</f>
        <v>0</v>
      </c>
    </row>
    <row r="1019" spans="1:18" x14ac:dyDescent="0.25">
      <c r="A1019">
        <f>IF(AND(B1019="", D1019&lt;&gt;""), A1018, A1018+1)</f>
        <v>1013</v>
      </c>
      <c r="R1019" t="b">
        <f>AND(ISNUMBER(FIND($E1019,Tables!$I$2)), ISNUMBER(FIND($D1019,Tables!$J$2)), $E1019&lt;&gt;"")</f>
        <v>0</v>
      </c>
    </row>
    <row r="1020" spans="1:18" x14ac:dyDescent="0.25">
      <c r="A1020">
        <f>IF(AND(B1020="", D1020&lt;&gt;""), A1019, A1019+1)</f>
        <v>1014</v>
      </c>
      <c r="R1020" t="b">
        <f>AND(ISNUMBER(FIND($E1020,Tables!$I$2)), ISNUMBER(FIND($D1020,Tables!$J$2)), $E1020&lt;&gt;"")</f>
        <v>0</v>
      </c>
    </row>
    <row r="1021" spans="1:18" x14ac:dyDescent="0.25">
      <c r="A1021">
        <f>IF(AND(B1021="", D1021&lt;&gt;""), A1020, A1020+1)</f>
        <v>1015</v>
      </c>
      <c r="R1021" t="b">
        <f>AND(ISNUMBER(FIND($E1021,Tables!$I$2)), ISNUMBER(FIND($D1021,Tables!$J$2)), $E1021&lt;&gt;"")</f>
        <v>0</v>
      </c>
    </row>
    <row r="1022" spans="1:18" x14ac:dyDescent="0.25">
      <c r="A1022">
        <f>IF(AND(B1022="", D1022&lt;&gt;""), A1021, A1021+1)</f>
        <v>1016</v>
      </c>
      <c r="R1022" t="b">
        <f>AND(ISNUMBER(FIND($E1022,Tables!$I$2)), ISNUMBER(FIND($D1022,Tables!$J$2)), $E1022&lt;&gt;"")</f>
        <v>0</v>
      </c>
    </row>
    <row r="1023" spans="1:18" x14ac:dyDescent="0.25">
      <c r="A1023">
        <f>IF(AND(B1023="", D1023&lt;&gt;""), A1022, A1022+1)</f>
        <v>1017</v>
      </c>
      <c r="R1023" t="b">
        <f>AND(ISNUMBER(FIND($E1023,Tables!$I$2)), ISNUMBER(FIND($D1023,Tables!$J$2)), $E1023&lt;&gt;"")</f>
        <v>0</v>
      </c>
    </row>
    <row r="1024" spans="1:18" x14ac:dyDescent="0.25">
      <c r="A1024">
        <f>IF(AND(B1024="", D1024&lt;&gt;""), A1023, A1023+1)</f>
        <v>1018</v>
      </c>
      <c r="R1024" t="b">
        <f>AND(ISNUMBER(FIND($E1024,Tables!$I$2)), ISNUMBER(FIND($D1024,Tables!$J$2)), $E1024&lt;&gt;"")</f>
        <v>0</v>
      </c>
    </row>
    <row r="1025" spans="1:18" x14ac:dyDescent="0.25">
      <c r="A1025">
        <f>IF(AND(B1025="", D1025&lt;&gt;""), A1024, A1024+1)</f>
        <v>1019</v>
      </c>
      <c r="R1025" t="b">
        <f>AND(ISNUMBER(FIND($E1025,Tables!$I$2)), ISNUMBER(FIND($D1025,Tables!$J$2)), $E1025&lt;&gt;"")</f>
        <v>0</v>
      </c>
    </row>
    <row r="1026" spans="1:18" x14ac:dyDescent="0.25">
      <c r="A1026">
        <f>IF(AND(B1026="", D1026&lt;&gt;""), A1025, A1025+1)</f>
        <v>1020</v>
      </c>
      <c r="R1026" t="b">
        <f>AND(ISNUMBER(FIND($E1026,Tables!$I$2)), ISNUMBER(FIND($D1026,Tables!$J$2)), $E1026&lt;&gt;"")</f>
        <v>0</v>
      </c>
    </row>
    <row r="1027" spans="1:18" x14ac:dyDescent="0.25">
      <c r="A1027">
        <f>IF(AND(B1027="", D1027&lt;&gt;""), A1026, A1026+1)</f>
        <v>1021</v>
      </c>
      <c r="R1027" t="b">
        <f>AND(ISNUMBER(FIND($E1027,Tables!$I$2)), ISNUMBER(FIND($D1027,Tables!$J$2)), $E1027&lt;&gt;"")</f>
        <v>0</v>
      </c>
    </row>
    <row r="1028" spans="1:18" x14ac:dyDescent="0.25">
      <c r="A1028">
        <f>IF(AND(B1028="", D1028&lt;&gt;""), A1027, A1027+1)</f>
        <v>1022</v>
      </c>
      <c r="R1028" t="b">
        <f>AND(ISNUMBER(FIND($E1028,Tables!$I$2)), ISNUMBER(FIND($D1028,Tables!$J$2)), $E1028&lt;&gt;"")</f>
        <v>0</v>
      </c>
    </row>
    <row r="1029" spans="1:18" x14ac:dyDescent="0.25">
      <c r="A1029">
        <f>IF(AND(B1029="", D1029&lt;&gt;""), A1028, A1028+1)</f>
        <v>1023</v>
      </c>
      <c r="R1029" t="b">
        <f>AND(ISNUMBER(FIND($E1029,Tables!$I$2)), ISNUMBER(FIND($D1029,Tables!$J$2)), $E1029&lt;&gt;"")</f>
        <v>0</v>
      </c>
    </row>
    <row r="1030" spans="1:18" x14ac:dyDescent="0.25">
      <c r="A1030">
        <f>IF(AND(B1030="", D1030&lt;&gt;""), A1029, A1029+1)</f>
        <v>1024</v>
      </c>
      <c r="R1030" t="b">
        <f>AND(ISNUMBER(FIND($E1030,Tables!$I$2)), ISNUMBER(FIND($D1030,Tables!$J$2)), $E1030&lt;&gt;"")</f>
        <v>0</v>
      </c>
    </row>
    <row r="1031" spans="1:18" x14ac:dyDescent="0.25">
      <c r="A1031">
        <f>IF(AND(B1031="", D1031&lt;&gt;""), A1030, A1030+1)</f>
        <v>1025</v>
      </c>
      <c r="R1031" t="b">
        <f>AND(ISNUMBER(FIND($E1031,Tables!$I$2)), ISNUMBER(FIND($D1031,Tables!$J$2)), $E1031&lt;&gt;"")</f>
        <v>0</v>
      </c>
    </row>
    <row r="1032" spans="1:18" x14ac:dyDescent="0.25">
      <c r="A1032">
        <f>IF(AND(B1032="", D1032&lt;&gt;""), A1031, A1031+1)</f>
        <v>1026</v>
      </c>
      <c r="R1032" t="b">
        <f>AND(ISNUMBER(FIND($E1032,Tables!$I$2)), ISNUMBER(FIND($D1032,Tables!$J$2)), $E1032&lt;&gt;"")</f>
        <v>0</v>
      </c>
    </row>
    <row r="1033" spans="1:18" x14ac:dyDescent="0.25">
      <c r="A1033">
        <f>IF(AND(B1033="", D1033&lt;&gt;""), A1032, A1032+1)</f>
        <v>1027</v>
      </c>
      <c r="R1033" t="b">
        <f>AND(ISNUMBER(FIND($E1033,Tables!$I$2)), ISNUMBER(FIND($D1033,Tables!$J$2)), $E1033&lt;&gt;"")</f>
        <v>0</v>
      </c>
    </row>
    <row r="1034" spans="1:18" x14ac:dyDescent="0.25">
      <c r="A1034">
        <f>IF(AND(B1034="", D1034&lt;&gt;""), A1033, A1033+1)</f>
        <v>1028</v>
      </c>
      <c r="R1034" t="b">
        <f>AND(ISNUMBER(FIND($E1034,Tables!$I$2)), ISNUMBER(FIND($D1034,Tables!$J$2)), $E1034&lt;&gt;"")</f>
        <v>0</v>
      </c>
    </row>
    <row r="1035" spans="1:18" x14ac:dyDescent="0.25">
      <c r="A1035">
        <f>IF(AND(B1035="", D1035&lt;&gt;""), A1034, A1034+1)</f>
        <v>1029</v>
      </c>
      <c r="R1035" t="b">
        <f>AND(ISNUMBER(FIND($E1035,Tables!$I$2)), ISNUMBER(FIND($D1035,Tables!$J$2)), $E1035&lt;&gt;"")</f>
        <v>0</v>
      </c>
    </row>
    <row r="1036" spans="1:18" x14ac:dyDescent="0.25">
      <c r="A1036">
        <f>IF(AND(B1036="", D1036&lt;&gt;""), A1035, A1035+1)</f>
        <v>1030</v>
      </c>
      <c r="R1036" t="b">
        <f>AND(ISNUMBER(FIND($E1036,Tables!$I$2)), ISNUMBER(FIND($D1036,Tables!$J$2)), $E1036&lt;&gt;"")</f>
        <v>0</v>
      </c>
    </row>
    <row r="1037" spans="1:18" x14ac:dyDescent="0.25">
      <c r="A1037">
        <f>IF(AND(B1037="", D1037&lt;&gt;""), A1036, A1036+1)</f>
        <v>1031</v>
      </c>
      <c r="R1037" t="b">
        <f>AND(ISNUMBER(FIND($E1037,Tables!$I$2)), ISNUMBER(FIND($D1037,Tables!$J$2)), $E1037&lt;&gt;"")</f>
        <v>0</v>
      </c>
    </row>
    <row r="1038" spans="1:18" x14ac:dyDescent="0.25">
      <c r="A1038">
        <f>IF(AND(B1038="", D1038&lt;&gt;""), A1037, A1037+1)</f>
        <v>1032</v>
      </c>
      <c r="R1038" t="b">
        <f>AND(ISNUMBER(FIND($E1038,Tables!$I$2)), ISNUMBER(FIND($D1038,Tables!$J$2)), $E1038&lt;&gt;"")</f>
        <v>0</v>
      </c>
    </row>
    <row r="1039" spans="1:18" x14ac:dyDescent="0.25">
      <c r="A1039">
        <f>IF(AND(B1039="", D1039&lt;&gt;""), A1038, A1038+1)</f>
        <v>1033</v>
      </c>
      <c r="R1039" t="b">
        <f>AND(ISNUMBER(FIND($E1039,Tables!$I$2)), ISNUMBER(FIND($D1039,Tables!$J$2)), $E1039&lt;&gt;"")</f>
        <v>0</v>
      </c>
    </row>
    <row r="1040" spans="1:18" x14ac:dyDescent="0.25">
      <c r="A1040">
        <f>IF(AND(B1040="", D1040&lt;&gt;""), A1039, A1039+1)</f>
        <v>1034</v>
      </c>
      <c r="R1040" t="b">
        <f>AND(ISNUMBER(FIND($E1040,Tables!$I$2)), ISNUMBER(FIND($D1040,Tables!$J$2)), $E1040&lt;&gt;"")</f>
        <v>0</v>
      </c>
    </row>
    <row r="1041" spans="1:18" x14ac:dyDescent="0.25">
      <c r="A1041">
        <f>IF(AND(B1041="", D1041&lt;&gt;""), A1040, A1040+1)</f>
        <v>1035</v>
      </c>
      <c r="R1041" t="b">
        <f>AND(ISNUMBER(FIND($E1041,Tables!$I$2)), ISNUMBER(FIND($D1041,Tables!$J$2)), $E1041&lt;&gt;"")</f>
        <v>0</v>
      </c>
    </row>
    <row r="1042" spans="1:18" x14ac:dyDescent="0.25">
      <c r="A1042">
        <f>IF(AND(B1042="", D1042&lt;&gt;""), A1041, A1041+1)</f>
        <v>1036</v>
      </c>
      <c r="R1042" t="b">
        <f>AND(ISNUMBER(FIND($E1042,Tables!$I$2)), ISNUMBER(FIND($D1042,Tables!$J$2)), $E1042&lt;&gt;"")</f>
        <v>0</v>
      </c>
    </row>
    <row r="1043" spans="1:18" x14ac:dyDescent="0.25">
      <c r="A1043">
        <f>IF(AND(B1043="", D1043&lt;&gt;""), A1042, A1042+1)</f>
        <v>1037</v>
      </c>
      <c r="R1043" t="b">
        <f>AND(ISNUMBER(FIND($E1043,Tables!$I$2)), ISNUMBER(FIND($D1043,Tables!$J$2)), $E1043&lt;&gt;"")</f>
        <v>0</v>
      </c>
    </row>
    <row r="1044" spans="1:18" x14ac:dyDescent="0.25">
      <c r="A1044">
        <f>IF(AND(B1044="", D1044&lt;&gt;""), A1043, A1043+1)</f>
        <v>1038</v>
      </c>
      <c r="R1044" t="b">
        <f>AND(ISNUMBER(FIND($E1044,Tables!$I$2)), ISNUMBER(FIND($D1044,Tables!$J$2)), $E1044&lt;&gt;"")</f>
        <v>0</v>
      </c>
    </row>
    <row r="1045" spans="1:18" x14ac:dyDescent="0.25">
      <c r="A1045">
        <f>IF(AND(B1045="", D1045&lt;&gt;""), A1044, A1044+1)</f>
        <v>1039</v>
      </c>
      <c r="R1045" t="b">
        <f>AND(ISNUMBER(FIND($E1045,Tables!$I$2)), ISNUMBER(FIND($D1045,Tables!$J$2)), $E1045&lt;&gt;"")</f>
        <v>0</v>
      </c>
    </row>
    <row r="1046" spans="1:18" x14ac:dyDescent="0.25">
      <c r="A1046">
        <f>IF(AND(B1046="", D1046&lt;&gt;""), A1045, A1045+1)</f>
        <v>1040</v>
      </c>
      <c r="R1046" t="b">
        <f>AND(ISNUMBER(FIND($E1046,Tables!$I$2)), ISNUMBER(FIND($D1046,Tables!$J$2)), $E1046&lt;&gt;"")</f>
        <v>0</v>
      </c>
    </row>
    <row r="1047" spans="1:18" x14ac:dyDescent="0.25">
      <c r="A1047">
        <f>IF(AND(B1047="", D1047&lt;&gt;""), A1046, A1046+1)</f>
        <v>1041</v>
      </c>
      <c r="R1047" t="b">
        <f>AND(ISNUMBER(FIND($E1047,Tables!$I$2)), ISNUMBER(FIND($D1047,Tables!$J$2)), $E1047&lt;&gt;"")</f>
        <v>0</v>
      </c>
    </row>
    <row r="1048" spans="1:18" x14ac:dyDescent="0.25">
      <c r="A1048">
        <f>IF(AND(B1048="", D1048&lt;&gt;""), A1047, A1047+1)</f>
        <v>1042</v>
      </c>
      <c r="R1048" t="b">
        <f>AND(ISNUMBER(FIND($E1048,Tables!$I$2)), ISNUMBER(FIND($D1048,Tables!$J$2)), $E1048&lt;&gt;"")</f>
        <v>0</v>
      </c>
    </row>
    <row r="1049" spans="1:18" x14ac:dyDescent="0.25">
      <c r="A1049">
        <f>IF(AND(B1049="", D1049&lt;&gt;""), A1048, A1048+1)</f>
        <v>1043</v>
      </c>
      <c r="R1049" t="b">
        <f>AND(ISNUMBER(FIND($E1049,Tables!$I$2)), ISNUMBER(FIND($D1049,Tables!$J$2)), $E1049&lt;&gt;"")</f>
        <v>0</v>
      </c>
    </row>
    <row r="1050" spans="1:18" x14ac:dyDescent="0.25">
      <c r="A1050">
        <f>IF(AND(B1050="", D1050&lt;&gt;""), A1049, A1049+1)</f>
        <v>1044</v>
      </c>
      <c r="R1050" t="b">
        <f>AND(ISNUMBER(FIND($E1050,Tables!$I$2)), ISNUMBER(FIND($D1050,Tables!$J$2)), $E1050&lt;&gt;"")</f>
        <v>0</v>
      </c>
    </row>
    <row r="1051" spans="1:18" x14ac:dyDescent="0.25">
      <c r="A1051">
        <f>IF(AND(B1051="", D1051&lt;&gt;""), A1050, A1050+1)</f>
        <v>1045</v>
      </c>
      <c r="R1051" t="b">
        <f>AND(ISNUMBER(FIND($E1051,Tables!$I$2)), ISNUMBER(FIND($D1051,Tables!$J$2)), $E1051&lt;&gt;"")</f>
        <v>0</v>
      </c>
    </row>
    <row r="1052" spans="1:18" x14ac:dyDescent="0.25">
      <c r="A1052">
        <f>IF(AND(B1052="", D1052&lt;&gt;""), A1051, A1051+1)</f>
        <v>1046</v>
      </c>
      <c r="R1052" t="b">
        <f>AND(ISNUMBER(FIND($E1052,Tables!$I$2)), ISNUMBER(FIND($D1052,Tables!$J$2)), $E1052&lt;&gt;"")</f>
        <v>0</v>
      </c>
    </row>
    <row r="1053" spans="1:18" x14ac:dyDescent="0.25">
      <c r="A1053">
        <f>IF(AND(B1053="", D1053&lt;&gt;""), A1052, A1052+1)</f>
        <v>1047</v>
      </c>
      <c r="R1053" t="b">
        <f>AND(ISNUMBER(FIND($E1053,Tables!$I$2)), ISNUMBER(FIND($D1053,Tables!$J$2)), $E1053&lt;&gt;"")</f>
        <v>0</v>
      </c>
    </row>
    <row r="1054" spans="1:18" x14ac:dyDescent="0.25">
      <c r="A1054">
        <f>IF(AND(B1054="", D1054&lt;&gt;""), A1053, A1053+1)</f>
        <v>1048</v>
      </c>
      <c r="R1054" t="b">
        <f>AND(ISNUMBER(FIND($E1054,Tables!$I$2)), ISNUMBER(FIND($D1054,Tables!$J$2)), $E1054&lt;&gt;"")</f>
        <v>0</v>
      </c>
    </row>
    <row r="1055" spans="1:18" x14ac:dyDescent="0.25">
      <c r="A1055">
        <f>IF(AND(B1055="", D1055&lt;&gt;""), A1054, A1054+1)</f>
        <v>1049</v>
      </c>
      <c r="R1055" t="b">
        <f>AND(ISNUMBER(FIND($E1055,Tables!$I$2)), ISNUMBER(FIND($D1055,Tables!$J$2)), $E1055&lt;&gt;"")</f>
        <v>0</v>
      </c>
    </row>
    <row r="1056" spans="1:18" x14ac:dyDescent="0.25">
      <c r="A1056">
        <f>IF(AND(B1056="", D1056&lt;&gt;""), A1055, A1055+1)</f>
        <v>1050</v>
      </c>
      <c r="R1056" t="b">
        <f>AND(ISNUMBER(FIND($E1056,Tables!$I$2)), ISNUMBER(FIND($D1056,Tables!$J$2)), $E1056&lt;&gt;"")</f>
        <v>0</v>
      </c>
    </row>
    <row r="1057" spans="1:18" x14ac:dyDescent="0.25">
      <c r="A1057">
        <f>IF(AND(B1057="", D1057&lt;&gt;""), A1056, A1056+1)</f>
        <v>1051</v>
      </c>
      <c r="R1057" t="b">
        <f>AND(ISNUMBER(FIND($E1057,Tables!$I$2)), ISNUMBER(FIND($D1057,Tables!$J$2)), $E1057&lt;&gt;"")</f>
        <v>0</v>
      </c>
    </row>
    <row r="1058" spans="1:18" x14ac:dyDescent="0.25">
      <c r="A1058">
        <f>IF(AND(B1058="", D1058&lt;&gt;""), A1057, A1057+1)</f>
        <v>1052</v>
      </c>
      <c r="R1058" t="b">
        <f>AND(ISNUMBER(FIND($E1058,Tables!$I$2)), ISNUMBER(FIND($D1058,Tables!$J$2)), $E1058&lt;&gt;"")</f>
        <v>0</v>
      </c>
    </row>
    <row r="1059" spans="1:18" x14ac:dyDescent="0.25">
      <c r="A1059">
        <f>IF(AND(B1059="", D1059&lt;&gt;""), A1058, A1058+1)</f>
        <v>1053</v>
      </c>
      <c r="R1059" t="b">
        <f>AND(ISNUMBER(FIND($E1059,Tables!$I$2)), ISNUMBER(FIND($D1059,Tables!$J$2)), $E1059&lt;&gt;"")</f>
        <v>0</v>
      </c>
    </row>
    <row r="1060" spans="1:18" x14ac:dyDescent="0.25">
      <c r="A1060">
        <f>IF(AND(B1060="", D1060&lt;&gt;""), A1059, A1059+1)</f>
        <v>1054</v>
      </c>
      <c r="R1060" t="b">
        <f>AND(ISNUMBER(FIND($E1060,Tables!$I$2)), ISNUMBER(FIND($D1060,Tables!$J$2)), $E1060&lt;&gt;"")</f>
        <v>0</v>
      </c>
    </row>
    <row r="1061" spans="1:18" x14ac:dyDescent="0.25">
      <c r="A1061">
        <f>IF(AND(B1061="", D1061&lt;&gt;""), A1060, A1060+1)</f>
        <v>1055</v>
      </c>
      <c r="R1061" t="b">
        <f>AND(ISNUMBER(FIND($E1061,Tables!$I$2)), ISNUMBER(FIND($D1061,Tables!$J$2)), $E1061&lt;&gt;"")</f>
        <v>0</v>
      </c>
    </row>
    <row r="1062" spans="1:18" x14ac:dyDescent="0.25">
      <c r="A1062">
        <f>IF(AND(B1062="", D1062&lt;&gt;""), A1061, A1061+1)</f>
        <v>1056</v>
      </c>
      <c r="R1062" t="b">
        <f>AND(ISNUMBER(FIND($E1062,Tables!$I$2)), ISNUMBER(FIND($D1062,Tables!$J$2)), $E1062&lt;&gt;"")</f>
        <v>0</v>
      </c>
    </row>
    <row r="1063" spans="1:18" x14ac:dyDescent="0.25">
      <c r="A1063">
        <f>IF(AND(B1063="", D1063&lt;&gt;""), A1062, A1062+1)</f>
        <v>1057</v>
      </c>
      <c r="R1063" t="b">
        <f>AND(ISNUMBER(FIND($E1063,Tables!$I$2)), ISNUMBER(FIND($D1063,Tables!$J$2)), $E1063&lt;&gt;"")</f>
        <v>0</v>
      </c>
    </row>
    <row r="1064" spans="1:18" x14ac:dyDescent="0.25">
      <c r="A1064">
        <f>IF(AND(B1064="", D1064&lt;&gt;""), A1063, A1063+1)</f>
        <v>1058</v>
      </c>
      <c r="R1064" t="b">
        <f>AND(ISNUMBER(FIND($E1064,Tables!$I$2)), ISNUMBER(FIND($D1064,Tables!$J$2)), $E1064&lt;&gt;"")</f>
        <v>0</v>
      </c>
    </row>
    <row r="1065" spans="1:18" x14ac:dyDescent="0.25">
      <c r="A1065">
        <f>IF(AND(B1065="", D1065&lt;&gt;""), A1064, A1064+1)</f>
        <v>1059</v>
      </c>
      <c r="R1065" t="b">
        <f>AND(ISNUMBER(FIND($E1065,Tables!$I$2)), ISNUMBER(FIND($D1065,Tables!$J$2)), $E1065&lt;&gt;"")</f>
        <v>0</v>
      </c>
    </row>
    <row r="1066" spans="1:18" x14ac:dyDescent="0.25">
      <c r="A1066">
        <f>IF(AND(B1066="", D1066&lt;&gt;""), A1065, A1065+1)</f>
        <v>1060</v>
      </c>
      <c r="R1066" t="b">
        <f>AND(ISNUMBER(FIND($E1066,Tables!$I$2)), ISNUMBER(FIND($D1066,Tables!$J$2)), $E1066&lt;&gt;"")</f>
        <v>0</v>
      </c>
    </row>
    <row r="1067" spans="1:18" x14ac:dyDescent="0.25">
      <c r="A1067">
        <f>IF(AND(B1067="", D1067&lt;&gt;""), A1066, A1066+1)</f>
        <v>1061</v>
      </c>
      <c r="R1067" t="b">
        <f>AND(ISNUMBER(FIND($E1067,Tables!$I$2)), ISNUMBER(FIND($D1067,Tables!$J$2)), $E1067&lt;&gt;"")</f>
        <v>0</v>
      </c>
    </row>
    <row r="1068" spans="1:18" x14ac:dyDescent="0.25">
      <c r="A1068">
        <f>IF(AND(B1068="", D1068&lt;&gt;""), A1067, A1067+1)</f>
        <v>1062</v>
      </c>
      <c r="R1068" t="b">
        <f>AND(ISNUMBER(FIND($E1068,Tables!$I$2)), ISNUMBER(FIND($D1068,Tables!$J$2)), $E1068&lt;&gt;"")</f>
        <v>0</v>
      </c>
    </row>
    <row r="1069" spans="1:18" x14ac:dyDescent="0.25">
      <c r="A1069">
        <f>IF(AND(B1069="", D1069&lt;&gt;""), A1068, A1068+1)</f>
        <v>1063</v>
      </c>
      <c r="R1069" t="b">
        <f>AND(ISNUMBER(FIND($E1069,Tables!$I$2)), ISNUMBER(FIND($D1069,Tables!$J$2)), $E1069&lt;&gt;"")</f>
        <v>0</v>
      </c>
    </row>
    <row r="1070" spans="1:18" x14ac:dyDescent="0.25">
      <c r="A1070">
        <f>IF(AND(B1070="", D1070&lt;&gt;""), A1069, A1069+1)</f>
        <v>1064</v>
      </c>
      <c r="R1070" t="b">
        <f>AND(ISNUMBER(FIND($E1070,Tables!$I$2)), ISNUMBER(FIND($D1070,Tables!$J$2)), $E1070&lt;&gt;"")</f>
        <v>0</v>
      </c>
    </row>
    <row r="1071" spans="1:18" x14ac:dyDescent="0.25">
      <c r="A1071">
        <f>IF(AND(B1071="", D1071&lt;&gt;""), A1070, A1070+1)</f>
        <v>1065</v>
      </c>
      <c r="R1071" t="b">
        <f>AND(ISNUMBER(FIND($E1071,Tables!$I$2)), ISNUMBER(FIND($D1071,Tables!$J$2)), $E1071&lt;&gt;"")</f>
        <v>0</v>
      </c>
    </row>
    <row r="1072" spans="1:18" x14ac:dyDescent="0.25">
      <c r="A1072">
        <f>IF(AND(B1072="", D1072&lt;&gt;""), A1071, A1071+1)</f>
        <v>1066</v>
      </c>
      <c r="R1072" t="b">
        <f>AND(ISNUMBER(FIND($E1072,Tables!$I$2)), ISNUMBER(FIND($D1072,Tables!$J$2)), $E1072&lt;&gt;"")</f>
        <v>0</v>
      </c>
    </row>
    <row r="1073" spans="1:18" x14ac:dyDescent="0.25">
      <c r="A1073">
        <f>IF(AND(B1073="", D1073&lt;&gt;""), A1072, A1072+1)</f>
        <v>1067</v>
      </c>
      <c r="R1073" t="b">
        <f>AND(ISNUMBER(FIND($E1073,Tables!$I$2)), ISNUMBER(FIND($D1073,Tables!$J$2)), $E1073&lt;&gt;"")</f>
        <v>0</v>
      </c>
    </row>
    <row r="1074" spans="1:18" x14ac:dyDescent="0.25">
      <c r="A1074">
        <f>IF(AND(B1074="", D1074&lt;&gt;""), A1073, A1073+1)</f>
        <v>1068</v>
      </c>
      <c r="R1074" t="b">
        <f>AND(ISNUMBER(FIND($E1074,Tables!$I$2)), ISNUMBER(FIND($D1074,Tables!$J$2)), $E1074&lt;&gt;"")</f>
        <v>0</v>
      </c>
    </row>
    <row r="1075" spans="1:18" x14ac:dyDescent="0.25">
      <c r="A1075">
        <f>IF(AND(B1075="", D1075&lt;&gt;""), A1074, A1074+1)</f>
        <v>1069</v>
      </c>
      <c r="R1075" t="b">
        <f>AND(ISNUMBER(FIND($E1075,Tables!$I$2)), ISNUMBER(FIND($D1075,Tables!$J$2)), $E1075&lt;&gt;"")</f>
        <v>0</v>
      </c>
    </row>
    <row r="1076" spans="1:18" x14ac:dyDescent="0.25">
      <c r="A1076">
        <f>IF(AND(B1076="", D1076&lt;&gt;""), A1075, A1075+1)</f>
        <v>1070</v>
      </c>
      <c r="R1076" t="b">
        <f>AND(ISNUMBER(FIND($E1076,Tables!$I$2)), ISNUMBER(FIND($D1076,Tables!$J$2)), $E1076&lt;&gt;"")</f>
        <v>0</v>
      </c>
    </row>
    <row r="1077" spans="1:18" x14ac:dyDescent="0.25">
      <c r="A1077">
        <f>IF(AND(B1077="", D1077&lt;&gt;""), A1076, A1076+1)</f>
        <v>1071</v>
      </c>
      <c r="R1077" t="b">
        <f>AND(ISNUMBER(FIND($E1077,Tables!$I$2)), ISNUMBER(FIND($D1077,Tables!$J$2)), $E1077&lt;&gt;"")</f>
        <v>0</v>
      </c>
    </row>
    <row r="1078" spans="1:18" x14ac:dyDescent="0.25">
      <c r="A1078">
        <f>IF(AND(B1078="", D1078&lt;&gt;""), A1077, A1077+1)</f>
        <v>1072</v>
      </c>
      <c r="R1078" t="b">
        <f>AND(ISNUMBER(FIND($E1078,Tables!$I$2)), ISNUMBER(FIND($D1078,Tables!$J$2)), $E1078&lt;&gt;"")</f>
        <v>0</v>
      </c>
    </row>
    <row r="1079" spans="1:18" x14ac:dyDescent="0.25">
      <c r="A1079">
        <f>IF(AND(B1079="", D1079&lt;&gt;""), A1078, A1078+1)</f>
        <v>1073</v>
      </c>
      <c r="R1079" t="b">
        <f>AND(ISNUMBER(FIND($E1079,Tables!$I$2)), ISNUMBER(FIND($D1079,Tables!$J$2)), $E1079&lt;&gt;"")</f>
        <v>0</v>
      </c>
    </row>
    <row r="1080" spans="1:18" x14ac:dyDescent="0.25">
      <c r="A1080">
        <f>IF(AND(B1080="", D1080&lt;&gt;""), A1079, A1079+1)</f>
        <v>1074</v>
      </c>
      <c r="R1080" t="b">
        <f>AND(ISNUMBER(FIND($E1080,Tables!$I$2)), ISNUMBER(FIND($D1080,Tables!$J$2)), $E1080&lt;&gt;"")</f>
        <v>0</v>
      </c>
    </row>
    <row r="1081" spans="1:18" x14ac:dyDescent="0.25">
      <c r="A1081">
        <f>IF(AND(B1081="", D1081&lt;&gt;""), A1080, A1080+1)</f>
        <v>1075</v>
      </c>
      <c r="R1081" t="b">
        <f>AND(ISNUMBER(FIND($E1081,Tables!$I$2)), ISNUMBER(FIND($D1081,Tables!$J$2)), $E1081&lt;&gt;"")</f>
        <v>0</v>
      </c>
    </row>
    <row r="1082" spans="1:18" x14ac:dyDescent="0.25">
      <c r="A1082">
        <f>IF(AND(B1082="", D1082&lt;&gt;""), A1081, A1081+1)</f>
        <v>1076</v>
      </c>
      <c r="R1082" t="b">
        <f>AND(ISNUMBER(FIND($E1082,Tables!$I$2)), ISNUMBER(FIND($D1082,Tables!$J$2)), $E1082&lt;&gt;"")</f>
        <v>0</v>
      </c>
    </row>
    <row r="1083" spans="1:18" x14ac:dyDescent="0.25">
      <c r="A1083">
        <f>IF(AND(B1083="", D1083&lt;&gt;""), A1082, A1082+1)</f>
        <v>1077</v>
      </c>
      <c r="R1083" t="b">
        <f>AND(ISNUMBER(FIND($E1083,Tables!$I$2)), ISNUMBER(FIND($D1083,Tables!$J$2)), $E1083&lt;&gt;"")</f>
        <v>0</v>
      </c>
    </row>
    <row r="1084" spans="1:18" x14ac:dyDescent="0.25">
      <c r="A1084">
        <f>IF(AND(B1084="", D1084&lt;&gt;""), A1083, A1083+1)</f>
        <v>1078</v>
      </c>
      <c r="R1084" t="b">
        <f>AND(ISNUMBER(FIND($E1084,Tables!$I$2)), ISNUMBER(FIND($D1084,Tables!$J$2)), $E1084&lt;&gt;"")</f>
        <v>0</v>
      </c>
    </row>
    <row r="1085" spans="1:18" x14ac:dyDescent="0.25">
      <c r="A1085">
        <f>IF(AND(B1085="", D1085&lt;&gt;""), A1084, A1084+1)</f>
        <v>1079</v>
      </c>
      <c r="R1085" t="b">
        <f>AND(ISNUMBER(FIND($E1085,Tables!$I$2)), ISNUMBER(FIND($D1085,Tables!$J$2)), $E1085&lt;&gt;"")</f>
        <v>0</v>
      </c>
    </row>
    <row r="1086" spans="1:18" x14ac:dyDescent="0.25">
      <c r="A1086">
        <f>IF(AND(B1086="", D1086&lt;&gt;""), A1085, A1085+1)</f>
        <v>1080</v>
      </c>
      <c r="R1086" t="b">
        <f>AND(ISNUMBER(FIND($E1086,Tables!$I$2)), ISNUMBER(FIND($D1086,Tables!$J$2)), $E1086&lt;&gt;"")</f>
        <v>0</v>
      </c>
    </row>
    <row r="1087" spans="1:18" x14ac:dyDescent="0.25">
      <c r="A1087">
        <f>IF(AND(B1087="", D1087&lt;&gt;""), A1086, A1086+1)</f>
        <v>1081</v>
      </c>
      <c r="R1087" t="b">
        <f>AND(ISNUMBER(FIND($E1087,Tables!$I$2)), ISNUMBER(FIND($D1087,Tables!$J$2)), $E1087&lt;&gt;"")</f>
        <v>0</v>
      </c>
    </row>
    <row r="1088" spans="1:18" x14ac:dyDescent="0.25">
      <c r="A1088">
        <f>IF(AND(B1088="", D1088&lt;&gt;""), A1087, A1087+1)</f>
        <v>1082</v>
      </c>
      <c r="R1088" t="b">
        <f>AND(ISNUMBER(FIND($E1088,Tables!$I$2)), ISNUMBER(FIND($D1088,Tables!$J$2)), $E1088&lt;&gt;"")</f>
        <v>0</v>
      </c>
    </row>
    <row r="1089" spans="1:18" x14ac:dyDescent="0.25">
      <c r="A1089">
        <f>IF(AND(B1089="", D1089&lt;&gt;""), A1088, A1088+1)</f>
        <v>1083</v>
      </c>
      <c r="R1089" t="b">
        <f>AND(ISNUMBER(FIND($E1089,Tables!$I$2)), ISNUMBER(FIND($D1089,Tables!$J$2)), $E1089&lt;&gt;"")</f>
        <v>0</v>
      </c>
    </row>
    <row r="1090" spans="1:18" x14ac:dyDescent="0.25">
      <c r="A1090">
        <f>IF(AND(B1090="", D1090&lt;&gt;""), A1089, A1089+1)</f>
        <v>1084</v>
      </c>
      <c r="R1090" t="b">
        <f>AND(ISNUMBER(FIND($E1090,Tables!$I$2)), ISNUMBER(FIND($D1090,Tables!$J$2)), $E1090&lt;&gt;"")</f>
        <v>0</v>
      </c>
    </row>
    <row r="1091" spans="1:18" x14ac:dyDescent="0.25">
      <c r="A1091">
        <f>IF(AND(B1091="", D1091&lt;&gt;""), A1090, A1090+1)</f>
        <v>1085</v>
      </c>
      <c r="R1091" t="b">
        <f>AND(ISNUMBER(FIND($E1091,Tables!$I$2)), ISNUMBER(FIND($D1091,Tables!$J$2)), $E1091&lt;&gt;"")</f>
        <v>0</v>
      </c>
    </row>
    <row r="1092" spans="1:18" x14ac:dyDescent="0.25">
      <c r="A1092">
        <f>IF(AND(B1092="", D1092&lt;&gt;""), A1091, A1091+1)</f>
        <v>1086</v>
      </c>
      <c r="R1092" t="b">
        <f>AND(ISNUMBER(FIND($E1092,Tables!$I$2)), ISNUMBER(FIND($D1092,Tables!$J$2)), $E1092&lt;&gt;"")</f>
        <v>0</v>
      </c>
    </row>
    <row r="1093" spans="1:18" x14ac:dyDescent="0.25">
      <c r="A1093">
        <f>IF(AND(B1093="", D1093&lt;&gt;""), A1092, A1092+1)</f>
        <v>1087</v>
      </c>
      <c r="R1093" t="b">
        <f>AND(ISNUMBER(FIND($E1093,Tables!$I$2)), ISNUMBER(FIND($D1093,Tables!$J$2)), $E1093&lt;&gt;"")</f>
        <v>0</v>
      </c>
    </row>
    <row r="1094" spans="1:18" x14ac:dyDescent="0.25">
      <c r="A1094">
        <f>IF(AND(B1094="", D1094&lt;&gt;""), A1093, A1093+1)</f>
        <v>1088</v>
      </c>
      <c r="R1094" t="b">
        <f>AND(ISNUMBER(FIND($E1094,Tables!$I$2)), ISNUMBER(FIND($D1094,Tables!$J$2)), $E1094&lt;&gt;"")</f>
        <v>0</v>
      </c>
    </row>
    <row r="1095" spans="1:18" x14ac:dyDescent="0.25">
      <c r="A1095">
        <f>IF(AND(B1095="", D1095&lt;&gt;""), A1094, A1094+1)</f>
        <v>1089</v>
      </c>
      <c r="R1095" t="b">
        <f>AND(ISNUMBER(FIND($E1095,Tables!$I$2)), ISNUMBER(FIND($D1095,Tables!$J$2)), $E1095&lt;&gt;"")</f>
        <v>0</v>
      </c>
    </row>
    <row r="1096" spans="1:18" x14ac:dyDescent="0.25">
      <c r="A1096">
        <f>IF(AND(B1096="", D1096&lt;&gt;""), A1095, A1095+1)</f>
        <v>1090</v>
      </c>
      <c r="R1096" t="b">
        <f>AND(ISNUMBER(FIND($E1096,Tables!$I$2)), ISNUMBER(FIND($D1096,Tables!$J$2)), $E1096&lt;&gt;"")</f>
        <v>0</v>
      </c>
    </row>
    <row r="1097" spans="1:18" x14ac:dyDescent="0.25">
      <c r="A1097">
        <f>IF(AND(B1097="", D1097&lt;&gt;""), A1096, A1096+1)</f>
        <v>1091</v>
      </c>
      <c r="R1097" t="b">
        <f>AND(ISNUMBER(FIND($E1097,Tables!$I$2)), ISNUMBER(FIND($D1097,Tables!$J$2)), $E1097&lt;&gt;"")</f>
        <v>0</v>
      </c>
    </row>
    <row r="1098" spans="1:18" x14ac:dyDescent="0.25">
      <c r="A1098">
        <f>IF(AND(B1098="", D1098&lt;&gt;""), A1097, A1097+1)</f>
        <v>1092</v>
      </c>
      <c r="R1098" t="b">
        <f>AND(ISNUMBER(FIND($E1098,Tables!$I$2)), ISNUMBER(FIND($D1098,Tables!$J$2)), $E1098&lt;&gt;"")</f>
        <v>0</v>
      </c>
    </row>
    <row r="1099" spans="1:18" x14ac:dyDescent="0.25">
      <c r="A1099">
        <f>IF(AND(B1099="", D1099&lt;&gt;""), A1098, A1098+1)</f>
        <v>1093</v>
      </c>
      <c r="R1099" t="b">
        <f>AND(ISNUMBER(FIND($E1099,Tables!$I$2)), ISNUMBER(FIND($D1099,Tables!$J$2)), $E1099&lt;&gt;"")</f>
        <v>0</v>
      </c>
    </row>
    <row r="1100" spans="1:18" x14ac:dyDescent="0.25">
      <c r="A1100">
        <f>IF(AND(B1100="", D1100&lt;&gt;""), A1099, A1099+1)</f>
        <v>1094</v>
      </c>
      <c r="R1100" t="b">
        <f>AND(ISNUMBER(FIND($E1100,Tables!$I$2)), ISNUMBER(FIND($D1100,Tables!$J$2)), $E1100&lt;&gt;"")</f>
        <v>0</v>
      </c>
    </row>
    <row r="1101" spans="1:18" x14ac:dyDescent="0.25">
      <c r="A1101">
        <f>IF(AND(B1101="", D1101&lt;&gt;""), A1100, A1100+1)</f>
        <v>1095</v>
      </c>
      <c r="R1101" t="b">
        <f>AND(ISNUMBER(FIND($E1101,Tables!$I$2)), ISNUMBER(FIND($D1101,Tables!$J$2)), $E1101&lt;&gt;"")</f>
        <v>0</v>
      </c>
    </row>
    <row r="1102" spans="1:18" x14ac:dyDescent="0.25">
      <c r="A1102">
        <f>IF(AND(B1102="", D1102&lt;&gt;""), A1101, A1101+1)</f>
        <v>1096</v>
      </c>
      <c r="R1102" t="b">
        <f>AND(ISNUMBER(FIND($E1102,Tables!$I$2)), ISNUMBER(FIND($D1102,Tables!$J$2)), $E1102&lt;&gt;"")</f>
        <v>0</v>
      </c>
    </row>
    <row r="1103" spans="1:18" x14ac:dyDescent="0.25">
      <c r="A1103">
        <f>IF(AND(B1103="", D1103&lt;&gt;""), A1102, A1102+1)</f>
        <v>1097</v>
      </c>
      <c r="R1103" t="b">
        <f>AND(ISNUMBER(FIND($E1103,Tables!$I$2)), ISNUMBER(FIND($D1103,Tables!$J$2)), $E1103&lt;&gt;"")</f>
        <v>0</v>
      </c>
    </row>
    <row r="1104" spans="1:18" x14ac:dyDescent="0.25">
      <c r="A1104">
        <f>IF(AND(B1104="", D1104&lt;&gt;""), A1103, A1103+1)</f>
        <v>1098</v>
      </c>
      <c r="R1104" t="b">
        <f>AND(ISNUMBER(FIND($E1104,Tables!$I$2)), ISNUMBER(FIND($D1104,Tables!$J$2)), $E1104&lt;&gt;"")</f>
        <v>0</v>
      </c>
    </row>
    <row r="1105" spans="1:18" x14ac:dyDescent="0.25">
      <c r="A1105">
        <f>IF(AND(B1105="", D1105&lt;&gt;""), A1104, A1104+1)</f>
        <v>1099</v>
      </c>
      <c r="R1105" t="b">
        <f>AND(ISNUMBER(FIND($E1105,Tables!$I$2)), ISNUMBER(FIND($D1105,Tables!$J$2)), $E1105&lt;&gt;"")</f>
        <v>0</v>
      </c>
    </row>
    <row r="1106" spans="1:18" x14ac:dyDescent="0.25">
      <c r="A1106">
        <f>IF(AND(B1106="", D1106&lt;&gt;""), A1105, A1105+1)</f>
        <v>1100</v>
      </c>
      <c r="R1106" t="b">
        <f>AND(ISNUMBER(FIND($E1106,Tables!$I$2)), ISNUMBER(FIND($D1106,Tables!$J$2)), $E1106&lt;&gt;"")</f>
        <v>0</v>
      </c>
    </row>
    <row r="1107" spans="1:18" x14ac:dyDescent="0.25">
      <c r="A1107">
        <f>IF(AND(B1107="", D1107&lt;&gt;""), A1106, A1106+1)</f>
        <v>1101</v>
      </c>
      <c r="R1107" t="b">
        <f>AND(ISNUMBER(FIND($E1107,Tables!$I$2)), ISNUMBER(FIND($D1107,Tables!$J$2)), $E1107&lt;&gt;"")</f>
        <v>0</v>
      </c>
    </row>
    <row r="1108" spans="1:18" x14ac:dyDescent="0.25">
      <c r="A1108">
        <f>IF(AND(B1108="", D1108&lt;&gt;""), A1107, A1107+1)</f>
        <v>1102</v>
      </c>
      <c r="R1108" t="b">
        <f>AND(ISNUMBER(FIND($E1108,Tables!$I$2)), ISNUMBER(FIND($D1108,Tables!$J$2)), $E1108&lt;&gt;"")</f>
        <v>0</v>
      </c>
    </row>
    <row r="1109" spans="1:18" x14ac:dyDescent="0.25">
      <c r="A1109">
        <f>IF(AND(B1109="", D1109&lt;&gt;""), A1108, A1108+1)</f>
        <v>1103</v>
      </c>
      <c r="R1109" t="b">
        <f>AND(ISNUMBER(FIND($E1109,Tables!$I$2)), ISNUMBER(FIND($D1109,Tables!$J$2)), $E1109&lt;&gt;"")</f>
        <v>0</v>
      </c>
    </row>
    <row r="1110" spans="1:18" x14ac:dyDescent="0.25">
      <c r="A1110">
        <f>IF(AND(B1110="", D1110&lt;&gt;""), A1109, A1109+1)</f>
        <v>1104</v>
      </c>
      <c r="R1110" t="b">
        <f>AND(ISNUMBER(FIND($E1110,Tables!$I$2)), ISNUMBER(FIND($D1110,Tables!$J$2)), $E1110&lt;&gt;"")</f>
        <v>0</v>
      </c>
    </row>
    <row r="1111" spans="1:18" x14ac:dyDescent="0.25">
      <c r="A1111">
        <f>IF(AND(B1111="", D1111&lt;&gt;""), A1110, A1110+1)</f>
        <v>1105</v>
      </c>
      <c r="R1111" t="b">
        <f>AND(ISNUMBER(FIND($E1111,Tables!$I$2)), ISNUMBER(FIND($D1111,Tables!$J$2)), $E1111&lt;&gt;"")</f>
        <v>0</v>
      </c>
    </row>
    <row r="1112" spans="1:18" x14ac:dyDescent="0.25">
      <c r="A1112">
        <f>IF(AND(B1112="", D1112&lt;&gt;""), A1111, A1111+1)</f>
        <v>1106</v>
      </c>
      <c r="R1112" t="b">
        <f>AND(ISNUMBER(FIND($E1112,Tables!$I$2)), ISNUMBER(FIND($D1112,Tables!$J$2)), $E1112&lt;&gt;"")</f>
        <v>0</v>
      </c>
    </row>
    <row r="1113" spans="1:18" x14ac:dyDescent="0.25">
      <c r="A1113">
        <f>IF(AND(B1113="", D1113&lt;&gt;""), A1112, A1112+1)</f>
        <v>1107</v>
      </c>
      <c r="R1113" t="b">
        <f>AND(ISNUMBER(FIND($E1113,Tables!$I$2)), ISNUMBER(FIND($D1113,Tables!$J$2)), $E1113&lt;&gt;"")</f>
        <v>0</v>
      </c>
    </row>
    <row r="1114" spans="1:18" x14ac:dyDescent="0.25">
      <c r="A1114">
        <f>IF(AND(B1114="", D1114&lt;&gt;""), A1113, A1113+1)</f>
        <v>1108</v>
      </c>
      <c r="R1114" t="b">
        <f>AND(ISNUMBER(FIND($E1114,Tables!$I$2)), ISNUMBER(FIND($D1114,Tables!$J$2)), $E1114&lt;&gt;"")</f>
        <v>0</v>
      </c>
    </row>
    <row r="1115" spans="1:18" x14ac:dyDescent="0.25">
      <c r="A1115">
        <f>IF(AND(B1115="", D1115&lt;&gt;""), A1114, A1114+1)</f>
        <v>1109</v>
      </c>
      <c r="R1115" t="b">
        <f>AND(ISNUMBER(FIND($E1115,Tables!$I$2)), ISNUMBER(FIND($D1115,Tables!$J$2)), $E1115&lt;&gt;"")</f>
        <v>0</v>
      </c>
    </row>
    <row r="1116" spans="1:18" x14ac:dyDescent="0.25">
      <c r="A1116">
        <f>IF(AND(B1116="", D1116&lt;&gt;""), A1115, A1115+1)</f>
        <v>1110</v>
      </c>
      <c r="R1116" t="b">
        <f>AND(ISNUMBER(FIND($E1116,Tables!$I$2)), ISNUMBER(FIND($D1116,Tables!$J$2)), $E1116&lt;&gt;"")</f>
        <v>0</v>
      </c>
    </row>
    <row r="1117" spans="1:18" x14ac:dyDescent="0.25">
      <c r="A1117">
        <f>IF(AND(B1117="", D1117&lt;&gt;""), A1116, A1116+1)</f>
        <v>1111</v>
      </c>
      <c r="R1117" t="b">
        <f>AND(ISNUMBER(FIND($E1117,Tables!$I$2)), ISNUMBER(FIND($D1117,Tables!$J$2)), $E1117&lt;&gt;"")</f>
        <v>0</v>
      </c>
    </row>
    <row r="1118" spans="1:18" x14ac:dyDescent="0.25">
      <c r="A1118">
        <f>IF(AND(B1118="", D1118&lt;&gt;""), A1117, A1117+1)</f>
        <v>1112</v>
      </c>
      <c r="R1118" t="b">
        <f>AND(ISNUMBER(FIND($E1118,Tables!$I$2)), ISNUMBER(FIND($D1118,Tables!$J$2)), $E1118&lt;&gt;"")</f>
        <v>0</v>
      </c>
    </row>
    <row r="1119" spans="1:18" x14ac:dyDescent="0.25">
      <c r="A1119">
        <f>IF(AND(B1119="", D1119&lt;&gt;""), A1118, A1118+1)</f>
        <v>1113</v>
      </c>
      <c r="R1119" t="b">
        <f>AND(ISNUMBER(FIND($E1119,Tables!$I$2)), ISNUMBER(FIND($D1119,Tables!$J$2)), $E1119&lt;&gt;"")</f>
        <v>0</v>
      </c>
    </row>
    <row r="1120" spans="1:18" x14ac:dyDescent="0.25">
      <c r="A1120">
        <f>IF(AND(B1120="", D1120&lt;&gt;""), A1119, A1119+1)</f>
        <v>1114</v>
      </c>
      <c r="R1120" t="b">
        <f>AND(ISNUMBER(FIND($E1120,Tables!$I$2)), ISNUMBER(FIND($D1120,Tables!$J$2)), $E1120&lt;&gt;"")</f>
        <v>0</v>
      </c>
    </row>
    <row r="1121" spans="1:18" x14ac:dyDescent="0.25">
      <c r="A1121">
        <f>IF(AND(B1121="", D1121&lt;&gt;""), A1120, A1120+1)</f>
        <v>1115</v>
      </c>
      <c r="R1121" t="b">
        <f>AND(ISNUMBER(FIND($E1121,Tables!$I$2)), ISNUMBER(FIND($D1121,Tables!$J$2)), $E1121&lt;&gt;"")</f>
        <v>0</v>
      </c>
    </row>
    <row r="1122" spans="1:18" x14ac:dyDescent="0.25">
      <c r="A1122">
        <f>IF(AND(B1122="", D1122&lt;&gt;""), A1121, A1121+1)</f>
        <v>1116</v>
      </c>
      <c r="R1122" t="b">
        <f>AND(ISNUMBER(FIND($E1122,Tables!$I$2)), ISNUMBER(FIND($D1122,Tables!$J$2)), $E1122&lt;&gt;"")</f>
        <v>0</v>
      </c>
    </row>
    <row r="1123" spans="1:18" x14ac:dyDescent="0.25">
      <c r="A1123">
        <f>IF(AND(B1123="", D1123&lt;&gt;""), A1122, A1122+1)</f>
        <v>1117</v>
      </c>
      <c r="R1123" t="b">
        <f>AND(ISNUMBER(FIND($E1123,Tables!$I$2)), ISNUMBER(FIND($D1123,Tables!$J$2)), $E1123&lt;&gt;"")</f>
        <v>0</v>
      </c>
    </row>
    <row r="1124" spans="1:18" x14ac:dyDescent="0.25">
      <c r="A1124">
        <f>IF(AND(B1124="", D1124&lt;&gt;""), A1123, A1123+1)</f>
        <v>1118</v>
      </c>
      <c r="R1124" t="b">
        <f>AND(ISNUMBER(FIND($E1124,Tables!$I$2)), ISNUMBER(FIND($D1124,Tables!$J$2)), $E1124&lt;&gt;"")</f>
        <v>0</v>
      </c>
    </row>
    <row r="1125" spans="1:18" x14ac:dyDescent="0.25">
      <c r="A1125">
        <f>IF(AND(B1125="", D1125&lt;&gt;""), A1124, A1124+1)</f>
        <v>1119</v>
      </c>
      <c r="R1125" t="b">
        <f>AND(ISNUMBER(FIND($E1125,Tables!$I$2)), ISNUMBER(FIND($D1125,Tables!$J$2)), $E1125&lt;&gt;"")</f>
        <v>0</v>
      </c>
    </row>
    <row r="1126" spans="1:18" x14ac:dyDescent="0.25">
      <c r="A1126">
        <f>IF(AND(B1126="", D1126&lt;&gt;""), A1125, A1125+1)</f>
        <v>1120</v>
      </c>
      <c r="R1126" t="b">
        <f>AND(ISNUMBER(FIND($E1126,Tables!$I$2)), ISNUMBER(FIND($D1126,Tables!$J$2)), $E1126&lt;&gt;"")</f>
        <v>0</v>
      </c>
    </row>
    <row r="1127" spans="1:18" x14ac:dyDescent="0.25">
      <c r="A1127">
        <f>IF(AND(B1127="", D1127&lt;&gt;""), A1126, A1126+1)</f>
        <v>1121</v>
      </c>
      <c r="R1127" t="b">
        <f>AND(ISNUMBER(FIND($E1127,Tables!$I$2)), ISNUMBER(FIND($D1127,Tables!$J$2)), $E1127&lt;&gt;"")</f>
        <v>0</v>
      </c>
    </row>
    <row r="1128" spans="1:18" x14ac:dyDescent="0.25">
      <c r="A1128">
        <f>IF(AND(B1128="", D1128&lt;&gt;""), A1127, A1127+1)</f>
        <v>1122</v>
      </c>
      <c r="R1128" t="b">
        <f>AND(ISNUMBER(FIND($E1128,Tables!$I$2)), ISNUMBER(FIND($D1128,Tables!$J$2)), $E1128&lt;&gt;"")</f>
        <v>0</v>
      </c>
    </row>
    <row r="1129" spans="1:18" x14ac:dyDescent="0.25">
      <c r="A1129">
        <f>IF(AND(B1129="", D1129&lt;&gt;""), A1128, A1128+1)</f>
        <v>1123</v>
      </c>
      <c r="R1129" t="b">
        <f>AND(ISNUMBER(FIND($E1129,Tables!$I$2)), ISNUMBER(FIND($D1129,Tables!$J$2)), $E1129&lt;&gt;"")</f>
        <v>0</v>
      </c>
    </row>
    <row r="1130" spans="1:18" x14ac:dyDescent="0.25">
      <c r="A1130">
        <f>IF(AND(B1130="", D1130&lt;&gt;""), A1129, A1129+1)</f>
        <v>1124</v>
      </c>
      <c r="R1130" t="b">
        <f>AND(ISNUMBER(FIND($E1130,Tables!$I$2)), ISNUMBER(FIND($D1130,Tables!$J$2)), $E1130&lt;&gt;"")</f>
        <v>0</v>
      </c>
    </row>
    <row r="1131" spans="1:18" x14ac:dyDescent="0.25">
      <c r="A1131">
        <f>IF(AND(B1131="", D1131&lt;&gt;""), A1130, A1130+1)</f>
        <v>1125</v>
      </c>
      <c r="R1131" t="b">
        <f>AND(ISNUMBER(FIND($E1131,Tables!$I$2)), ISNUMBER(FIND($D1131,Tables!$J$2)), $E1131&lt;&gt;"")</f>
        <v>0</v>
      </c>
    </row>
    <row r="1132" spans="1:18" x14ac:dyDescent="0.25">
      <c r="A1132">
        <f>IF(AND(B1132="", D1132&lt;&gt;""), A1131, A1131+1)</f>
        <v>1126</v>
      </c>
      <c r="R1132" t="b">
        <f>AND(ISNUMBER(FIND($E1132,Tables!$I$2)), ISNUMBER(FIND($D1132,Tables!$J$2)), $E1132&lt;&gt;"")</f>
        <v>0</v>
      </c>
    </row>
    <row r="1133" spans="1:18" x14ac:dyDescent="0.25">
      <c r="A1133">
        <f>IF(AND(B1133="", D1133&lt;&gt;""), A1132, A1132+1)</f>
        <v>1127</v>
      </c>
      <c r="R1133" t="b">
        <f>AND(ISNUMBER(FIND($E1133,Tables!$I$2)), ISNUMBER(FIND($D1133,Tables!$J$2)), $E1133&lt;&gt;"")</f>
        <v>0</v>
      </c>
    </row>
    <row r="1134" spans="1:18" x14ac:dyDescent="0.25">
      <c r="A1134">
        <f>IF(AND(B1134="", D1134&lt;&gt;""), A1133, A1133+1)</f>
        <v>1128</v>
      </c>
      <c r="R1134" t="b">
        <f>AND(ISNUMBER(FIND($E1134,Tables!$I$2)), ISNUMBER(FIND($D1134,Tables!$J$2)), $E1134&lt;&gt;"")</f>
        <v>0</v>
      </c>
    </row>
    <row r="1135" spans="1:18" x14ac:dyDescent="0.25">
      <c r="A1135">
        <f>IF(AND(B1135="", D1135&lt;&gt;""), A1134, A1134+1)</f>
        <v>1129</v>
      </c>
      <c r="R1135" t="b">
        <f>AND(ISNUMBER(FIND($E1135,Tables!$I$2)), ISNUMBER(FIND($D1135,Tables!$J$2)), $E1135&lt;&gt;"")</f>
        <v>0</v>
      </c>
    </row>
    <row r="1136" spans="1:18" x14ac:dyDescent="0.25">
      <c r="A1136">
        <f>IF(AND(B1136="", D1136&lt;&gt;""), A1135, A1135+1)</f>
        <v>1130</v>
      </c>
      <c r="R1136" t="b">
        <f>AND(ISNUMBER(FIND($E1136,Tables!$I$2)), ISNUMBER(FIND($D1136,Tables!$J$2)), $E1136&lt;&gt;"")</f>
        <v>0</v>
      </c>
    </row>
    <row r="1137" spans="1:18" x14ac:dyDescent="0.25">
      <c r="A1137">
        <f>IF(AND(B1137="", D1137&lt;&gt;""), A1136, A1136+1)</f>
        <v>1131</v>
      </c>
      <c r="R1137" t="b">
        <f>AND(ISNUMBER(FIND($E1137,Tables!$I$2)), ISNUMBER(FIND($D1137,Tables!$J$2)), $E1137&lt;&gt;"")</f>
        <v>0</v>
      </c>
    </row>
    <row r="1138" spans="1:18" x14ac:dyDescent="0.25">
      <c r="A1138">
        <f>IF(AND(B1138="", D1138&lt;&gt;""), A1137, A1137+1)</f>
        <v>1132</v>
      </c>
      <c r="R1138" t="b">
        <f>AND(ISNUMBER(FIND($E1138,Tables!$I$2)), ISNUMBER(FIND($D1138,Tables!$J$2)), $E1138&lt;&gt;"")</f>
        <v>0</v>
      </c>
    </row>
    <row r="1139" spans="1:18" x14ac:dyDescent="0.25">
      <c r="A1139">
        <f>IF(AND(B1139="", D1139&lt;&gt;""), A1138, A1138+1)</f>
        <v>1133</v>
      </c>
      <c r="R1139" t="b">
        <f>AND(ISNUMBER(FIND($E1139,Tables!$I$2)), ISNUMBER(FIND($D1139,Tables!$J$2)), $E1139&lt;&gt;"")</f>
        <v>0</v>
      </c>
    </row>
    <row r="1140" spans="1:18" x14ac:dyDescent="0.25">
      <c r="A1140">
        <f>IF(AND(B1140="", D1140&lt;&gt;""), A1139, A1139+1)</f>
        <v>1134</v>
      </c>
      <c r="R1140" t="b">
        <f>AND(ISNUMBER(FIND($E1140,Tables!$I$2)), ISNUMBER(FIND($D1140,Tables!$J$2)), $E1140&lt;&gt;"")</f>
        <v>0</v>
      </c>
    </row>
    <row r="1141" spans="1:18" x14ac:dyDescent="0.25">
      <c r="A1141">
        <f>IF(AND(B1141="", D1141&lt;&gt;""), A1140, A1140+1)</f>
        <v>1135</v>
      </c>
      <c r="R1141" t="b">
        <f>AND(ISNUMBER(FIND($E1141,Tables!$I$2)), ISNUMBER(FIND($D1141,Tables!$J$2)), $E1141&lt;&gt;"")</f>
        <v>0</v>
      </c>
    </row>
    <row r="1142" spans="1:18" x14ac:dyDescent="0.25">
      <c r="A1142">
        <f>IF(AND(B1142="", D1142&lt;&gt;""), A1141, A1141+1)</f>
        <v>1136</v>
      </c>
      <c r="R1142" t="b">
        <f>AND(ISNUMBER(FIND($E1142,Tables!$I$2)), ISNUMBER(FIND($D1142,Tables!$J$2)), $E1142&lt;&gt;"")</f>
        <v>0</v>
      </c>
    </row>
    <row r="1143" spans="1:18" x14ac:dyDescent="0.25">
      <c r="A1143">
        <f>IF(AND(B1143="", D1143&lt;&gt;""), A1142, A1142+1)</f>
        <v>1137</v>
      </c>
      <c r="R1143" t="b">
        <f>AND(ISNUMBER(FIND($E1143,Tables!$I$2)), ISNUMBER(FIND($D1143,Tables!$J$2)), $E1143&lt;&gt;"")</f>
        <v>0</v>
      </c>
    </row>
    <row r="1144" spans="1:18" x14ac:dyDescent="0.25">
      <c r="A1144">
        <f>IF(AND(B1144="", D1144&lt;&gt;""), A1143, A1143+1)</f>
        <v>1138</v>
      </c>
      <c r="R1144" t="b">
        <f>AND(ISNUMBER(FIND($E1144,Tables!$I$2)), ISNUMBER(FIND($D1144,Tables!$J$2)), $E1144&lt;&gt;"")</f>
        <v>0</v>
      </c>
    </row>
    <row r="1145" spans="1:18" x14ac:dyDescent="0.25">
      <c r="A1145">
        <f>IF(AND(B1145="", D1145&lt;&gt;""), A1144, A1144+1)</f>
        <v>1139</v>
      </c>
      <c r="R1145" t="b">
        <f>AND(ISNUMBER(FIND($E1145,Tables!$I$2)), ISNUMBER(FIND($D1145,Tables!$J$2)), $E1145&lt;&gt;"")</f>
        <v>0</v>
      </c>
    </row>
    <row r="1146" spans="1:18" x14ac:dyDescent="0.25">
      <c r="A1146">
        <f>IF(AND(B1146="", D1146&lt;&gt;""), A1145, A1145+1)</f>
        <v>1140</v>
      </c>
      <c r="R1146" t="b">
        <f>AND(ISNUMBER(FIND($E1146,Tables!$I$2)), ISNUMBER(FIND($D1146,Tables!$J$2)), $E1146&lt;&gt;"")</f>
        <v>0</v>
      </c>
    </row>
    <row r="1147" spans="1:18" x14ac:dyDescent="0.25">
      <c r="A1147">
        <f>IF(AND(B1147="", D1147&lt;&gt;""), A1146, A1146+1)</f>
        <v>1141</v>
      </c>
      <c r="R1147" t="b">
        <f>AND(ISNUMBER(FIND($E1147,Tables!$I$2)), ISNUMBER(FIND($D1147,Tables!$J$2)), $E1147&lt;&gt;"")</f>
        <v>0</v>
      </c>
    </row>
    <row r="1148" spans="1:18" x14ac:dyDescent="0.25">
      <c r="A1148">
        <f>IF(AND(B1148="", D1148&lt;&gt;""), A1147, A1147+1)</f>
        <v>1142</v>
      </c>
      <c r="R1148" t="b">
        <f>AND(ISNUMBER(FIND($E1148,Tables!$I$2)), ISNUMBER(FIND($D1148,Tables!$J$2)), $E1148&lt;&gt;"")</f>
        <v>0</v>
      </c>
    </row>
    <row r="1149" spans="1:18" x14ac:dyDescent="0.25">
      <c r="A1149">
        <f>IF(AND(B1149="", D1149&lt;&gt;""), A1148, A1148+1)</f>
        <v>1143</v>
      </c>
      <c r="R1149" t="b">
        <f>AND(ISNUMBER(FIND($E1149,Tables!$I$2)), ISNUMBER(FIND($D1149,Tables!$J$2)), $E1149&lt;&gt;"")</f>
        <v>0</v>
      </c>
    </row>
    <row r="1150" spans="1:18" x14ac:dyDescent="0.25">
      <c r="A1150">
        <f>IF(AND(B1150="", D1150&lt;&gt;""), A1149, A1149+1)</f>
        <v>1144</v>
      </c>
      <c r="R1150" t="b">
        <f>AND(ISNUMBER(FIND($E1150,Tables!$I$2)), ISNUMBER(FIND($D1150,Tables!$J$2)), $E1150&lt;&gt;"")</f>
        <v>0</v>
      </c>
    </row>
    <row r="1151" spans="1:18" x14ac:dyDescent="0.25">
      <c r="A1151">
        <f>IF(AND(B1151="", D1151&lt;&gt;""), A1150, A1150+1)</f>
        <v>1145</v>
      </c>
      <c r="R1151" t="b">
        <f>AND(ISNUMBER(FIND($E1151,Tables!$I$2)), ISNUMBER(FIND($D1151,Tables!$J$2)), $E1151&lt;&gt;"")</f>
        <v>0</v>
      </c>
    </row>
    <row r="1152" spans="1:18" x14ac:dyDescent="0.25">
      <c r="A1152">
        <f>IF(AND(B1152="", D1152&lt;&gt;""), A1151, A1151+1)</f>
        <v>1146</v>
      </c>
      <c r="R1152" t="b">
        <f>AND(ISNUMBER(FIND($E1152,Tables!$I$2)), ISNUMBER(FIND($D1152,Tables!$J$2)), $E1152&lt;&gt;"")</f>
        <v>0</v>
      </c>
    </row>
    <row r="1153" spans="1:18" x14ac:dyDescent="0.25">
      <c r="A1153">
        <f>IF(AND(B1153="", D1153&lt;&gt;""), A1152, A1152+1)</f>
        <v>1147</v>
      </c>
      <c r="R1153" t="b">
        <f>AND(ISNUMBER(FIND($E1153,Tables!$I$2)), ISNUMBER(FIND($D1153,Tables!$J$2)), $E1153&lt;&gt;"")</f>
        <v>0</v>
      </c>
    </row>
    <row r="1154" spans="1:18" x14ac:dyDescent="0.25">
      <c r="A1154">
        <f>IF(AND(B1154="", D1154&lt;&gt;""), A1153, A1153+1)</f>
        <v>1148</v>
      </c>
      <c r="R1154" t="b">
        <f>AND(ISNUMBER(FIND($E1154,Tables!$I$2)), ISNUMBER(FIND($D1154,Tables!$J$2)), $E1154&lt;&gt;"")</f>
        <v>0</v>
      </c>
    </row>
    <row r="1155" spans="1:18" x14ac:dyDescent="0.25">
      <c r="A1155">
        <f>IF(AND(B1155="", D1155&lt;&gt;""), A1154, A1154+1)</f>
        <v>1149</v>
      </c>
      <c r="R1155" t="b">
        <f>AND(ISNUMBER(FIND($E1155,Tables!$I$2)), ISNUMBER(FIND($D1155,Tables!$J$2)), $E1155&lt;&gt;"")</f>
        <v>0</v>
      </c>
    </row>
    <row r="1156" spans="1:18" x14ac:dyDescent="0.25">
      <c r="A1156">
        <f>IF(AND(B1156="", D1156&lt;&gt;""), A1155, A1155+1)</f>
        <v>1150</v>
      </c>
      <c r="R1156" t="b">
        <f>AND(ISNUMBER(FIND($E1156,Tables!$I$2)), ISNUMBER(FIND($D1156,Tables!$J$2)), $E1156&lt;&gt;"")</f>
        <v>0</v>
      </c>
    </row>
    <row r="1157" spans="1:18" x14ac:dyDescent="0.25">
      <c r="A1157">
        <f>IF(AND(B1157="", D1157&lt;&gt;""), A1156, A1156+1)</f>
        <v>1151</v>
      </c>
      <c r="R1157" t="b">
        <f>AND(ISNUMBER(FIND($E1157,Tables!$I$2)), ISNUMBER(FIND($D1157,Tables!$J$2)), $E1157&lt;&gt;"")</f>
        <v>0</v>
      </c>
    </row>
    <row r="1158" spans="1:18" x14ac:dyDescent="0.25">
      <c r="A1158">
        <f>IF(AND(B1158="", D1158&lt;&gt;""), A1157, A1157+1)</f>
        <v>1152</v>
      </c>
      <c r="R1158" t="b">
        <f>AND(ISNUMBER(FIND($E1158,Tables!$I$2)), ISNUMBER(FIND($D1158,Tables!$J$2)), $E1158&lt;&gt;"")</f>
        <v>0</v>
      </c>
    </row>
    <row r="1159" spans="1:18" x14ac:dyDescent="0.25">
      <c r="A1159">
        <f>IF(AND(B1159="", D1159&lt;&gt;""), A1158, A1158+1)</f>
        <v>1153</v>
      </c>
      <c r="R1159" t="b">
        <f>AND(ISNUMBER(FIND($E1159,Tables!$I$2)), ISNUMBER(FIND($D1159,Tables!$J$2)), $E1159&lt;&gt;"")</f>
        <v>0</v>
      </c>
    </row>
    <row r="1160" spans="1:18" x14ac:dyDescent="0.25">
      <c r="A1160">
        <f>IF(AND(B1160="", D1160&lt;&gt;""), A1159, A1159+1)</f>
        <v>1154</v>
      </c>
      <c r="R1160" t="b">
        <f>AND(ISNUMBER(FIND($E1160,Tables!$I$2)), ISNUMBER(FIND($D1160,Tables!$J$2)), $E1160&lt;&gt;"")</f>
        <v>0</v>
      </c>
    </row>
    <row r="1161" spans="1:18" x14ac:dyDescent="0.25">
      <c r="A1161">
        <f>IF(AND(B1161="", D1161&lt;&gt;""), A1160, A1160+1)</f>
        <v>1155</v>
      </c>
      <c r="R1161" t="b">
        <f>AND(ISNUMBER(FIND($E1161,Tables!$I$2)), ISNUMBER(FIND($D1161,Tables!$J$2)), $E1161&lt;&gt;"")</f>
        <v>0</v>
      </c>
    </row>
    <row r="1162" spans="1:18" x14ac:dyDescent="0.25">
      <c r="A1162">
        <f>IF(AND(B1162="", D1162&lt;&gt;""), A1161, A1161+1)</f>
        <v>1156</v>
      </c>
      <c r="R1162" t="b">
        <f>AND(ISNUMBER(FIND($E1162,Tables!$I$2)), ISNUMBER(FIND($D1162,Tables!$J$2)), $E1162&lt;&gt;"")</f>
        <v>0</v>
      </c>
    </row>
    <row r="1163" spans="1:18" x14ac:dyDescent="0.25">
      <c r="A1163">
        <f>IF(AND(B1163="", D1163&lt;&gt;""), A1162, A1162+1)</f>
        <v>1157</v>
      </c>
      <c r="R1163" t="b">
        <f>AND(ISNUMBER(FIND($E1163,Tables!$I$2)), ISNUMBER(FIND($D1163,Tables!$J$2)), $E1163&lt;&gt;"")</f>
        <v>0</v>
      </c>
    </row>
    <row r="1164" spans="1:18" x14ac:dyDescent="0.25">
      <c r="A1164">
        <f>IF(AND(B1164="", D1164&lt;&gt;""), A1163, A1163+1)</f>
        <v>1158</v>
      </c>
      <c r="R1164" t="b">
        <f>AND(ISNUMBER(FIND($E1164,Tables!$I$2)), ISNUMBER(FIND($D1164,Tables!$J$2)), $E1164&lt;&gt;"")</f>
        <v>0</v>
      </c>
    </row>
    <row r="1165" spans="1:18" x14ac:dyDescent="0.25">
      <c r="A1165">
        <f>IF(AND(B1165="", D1165&lt;&gt;""), A1164, A1164+1)</f>
        <v>1159</v>
      </c>
      <c r="R1165" t="b">
        <f>AND(ISNUMBER(FIND($E1165,Tables!$I$2)), ISNUMBER(FIND($D1165,Tables!$J$2)), $E1165&lt;&gt;"")</f>
        <v>0</v>
      </c>
    </row>
    <row r="1166" spans="1:18" x14ac:dyDescent="0.25">
      <c r="A1166">
        <f>IF(AND(B1166="", D1166&lt;&gt;""), A1165, A1165+1)</f>
        <v>1160</v>
      </c>
      <c r="R1166" t="b">
        <f>AND(ISNUMBER(FIND($E1166,Tables!$I$2)), ISNUMBER(FIND($D1166,Tables!$J$2)), $E1166&lt;&gt;"")</f>
        <v>0</v>
      </c>
    </row>
    <row r="1167" spans="1:18" x14ac:dyDescent="0.25">
      <c r="A1167">
        <f>IF(AND(B1167="", D1167&lt;&gt;""), A1166, A1166+1)</f>
        <v>1161</v>
      </c>
      <c r="R1167" t="b">
        <f>AND(ISNUMBER(FIND($E1167,Tables!$I$2)), ISNUMBER(FIND($D1167,Tables!$J$2)), $E1167&lt;&gt;"")</f>
        <v>0</v>
      </c>
    </row>
    <row r="1168" spans="1:18" x14ac:dyDescent="0.25">
      <c r="A1168">
        <f>IF(AND(B1168="", D1168&lt;&gt;""), A1167, A1167+1)</f>
        <v>1162</v>
      </c>
      <c r="R1168" t="b">
        <f>AND(ISNUMBER(FIND($E1168,Tables!$I$2)), ISNUMBER(FIND($D1168,Tables!$J$2)), $E1168&lt;&gt;"")</f>
        <v>0</v>
      </c>
    </row>
    <row r="1169" spans="1:18" x14ac:dyDescent="0.25">
      <c r="A1169">
        <f>IF(AND(B1169="", D1169&lt;&gt;""), A1168, A1168+1)</f>
        <v>1163</v>
      </c>
      <c r="R1169" t="b">
        <f>AND(ISNUMBER(FIND($E1169,Tables!$I$2)), ISNUMBER(FIND($D1169,Tables!$J$2)), $E1169&lt;&gt;"")</f>
        <v>0</v>
      </c>
    </row>
    <row r="1170" spans="1:18" x14ac:dyDescent="0.25">
      <c r="A1170">
        <f>IF(AND(B1170="", D1170&lt;&gt;""), A1169, A1169+1)</f>
        <v>1164</v>
      </c>
      <c r="R1170" t="b">
        <f>AND(ISNUMBER(FIND($E1170,Tables!$I$2)), ISNUMBER(FIND($D1170,Tables!$J$2)), $E1170&lt;&gt;"")</f>
        <v>0</v>
      </c>
    </row>
    <row r="1171" spans="1:18" x14ac:dyDescent="0.25">
      <c r="A1171">
        <f>IF(AND(B1171="", D1171&lt;&gt;""), A1170, A1170+1)</f>
        <v>1165</v>
      </c>
      <c r="R1171" t="b">
        <f>AND(ISNUMBER(FIND($E1171,Tables!$I$2)), ISNUMBER(FIND($D1171,Tables!$J$2)), $E1171&lt;&gt;"")</f>
        <v>0</v>
      </c>
    </row>
    <row r="1172" spans="1:18" x14ac:dyDescent="0.25">
      <c r="A1172">
        <f>IF(AND(B1172="", D1172&lt;&gt;""), A1171, A1171+1)</f>
        <v>1166</v>
      </c>
      <c r="R1172" t="b">
        <f>AND(ISNUMBER(FIND($E1172,Tables!$I$2)), ISNUMBER(FIND($D1172,Tables!$J$2)), $E1172&lt;&gt;"")</f>
        <v>0</v>
      </c>
    </row>
    <row r="1173" spans="1:18" x14ac:dyDescent="0.25">
      <c r="A1173">
        <f>IF(AND(B1173="", D1173&lt;&gt;""), A1172, A1172+1)</f>
        <v>1167</v>
      </c>
      <c r="R1173" t="b">
        <f>AND(ISNUMBER(FIND($E1173,Tables!$I$2)), ISNUMBER(FIND($D1173,Tables!$J$2)), $E1173&lt;&gt;"")</f>
        <v>0</v>
      </c>
    </row>
    <row r="1174" spans="1:18" x14ac:dyDescent="0.25">
      <c r="A1174">
        <f>IF(AND(B1174="", D1174&lt;&gt;""), A1173, A1173+1)</f>
        <v>1168</v>
      </c>
      <c r="R1174" t="b">
        <f>AND(ISNUMBER(FIND($E1174,Tables!$I$2)), ISNUMBER(FIND($D1174,Tables!$J$2)), $E1174&lt;&gt;"")</f>
        <v>0</v>
      </c>
    </row>
    <row r="1175" spans="1:18" x14ac:dyDescent="0.25">
      <c r="A1175">
        <f>IF(AND(B1175="", D1175&lt;&gt;""), A1174, A1174+1)</f>
        <v>1169</v>
      </c>
      <c r="R1175" t="b">
        <f>AND(ISNUMBER(FIND($E1175,Tables!$I$2)), ISNUMBER(FIND($D1175,Tables!$J$2)), $E1175&lt;&gt;"")</f>
        <v>0</v>
      </c>
    </row>
    <row r="1176" spans="1:18" x14ac:dyDescent="0.25">
      <c r="A1176">
        <f>IF(AND(B1176="", D1176&lt;&gt;""), A1175, A1175+1)</f>
        <v>1170</v>
      </c>
      <c r="R1176" t="b">
        <f>AND(ISNUMBER(FIND($E1176,Tables!$I$2)), ISNUMBER(FIND($D1176,Tables!$J$2)), $E1176&lt;&gt;"")</f>
        <v>0</v>
      </c>
    </row>
    <row r="1177" spans="1:18" x14ac:dyDescent="0.25">
      <c r="A1177">
        <f>IF(AND(B1177="", D1177&lt;&gt;""), A1176, A1176+1)</f>
        <v>1171</v>
      </c>
      <c r="R1177" t="b">
        <f>AND(ISNUMBER(FIND($E1177,Tables!$I$2)), ISNUMBER(FIND($D1177,Tables!$J$2)), $E1177&lt;&gt;"")</f>
        <v>0</v>
      </c>
    </row>
    <row r="1178" spans="1:18" x14ac:dyDescent="0.25">
      <c r="A1178">
        <f>IF(AND(B1178="", D1178&lt;&gt;""), A1177, A1177+1)</f>
        <v>1172</v>
      </c>
      <c r="R1178" t="b">
        <f>AND(ISNUMBER(FIND($E1178,Tables!$I$2)), ISNUMBER(FIND($D1178,Tables!$J$2)), $E1178&lt;&gt;"")</f>
        <v>0</v>
      </c>
    </row>
    <row r="1179" spans="1:18" x14ac:dyDescent="0.25">
      <c r="A1179">
        <f>IF(AND(B1179="", D1179&lt;&gt;""), A1178, A1178+1)</f>
        <v>1173</v>
      </c>
      <c r="R1179" t="b">
        <f>AND(ISNUMBER(FIND($E1179,Tables!$I$2)), ISNUMBER(FIND($D1179,Tables!$J$2)), $E1179&lt;&gt;"")</f>
        <v>0</v>
      </c>
    </row>
    <row r="1180" spans="1:18" x14ac:dyDescent="0.25">
      <c r="A1180">
        <f>IF(AND(B1180="", D1180&lt;&gt;""), A1179, A1179+1)</f>
        <v>1174</v>
      </c>
      <c r="R1180" t="b">
        <f>AND(ISNUMBER(FIND($E1180,Tables!$I$2)), ISNUMBER(FIND($D1180,Tables!$J$2)), $E1180&lt;&gt;"")</f>
        <v>0</v>
      </c>
    </row>
    <row r="1181" spans="1:18" x14ac:dyDescent="0.25">
      <c r="A1181">
        <f>IF(AND(B1181="", D1181&lt;&gt;""), A1180, A1180+1)</f>
        <v>1175</v>
      </c>
      <c r="R1181" t="b">
        <f>AND(ISNUMBER(FIND($E1181,Tables!$I$2)), ISNUMBER(FIND($D1181,Tables!$J$2)), $E1181&lt;&gt;"")</f>
        <v>0</v>
      </c>
    </row>
    <row r="1182" spans="1:18" x14ac:dyDescent="0.25">
      <c r="A1182">
        <f>IF(AND(B1182="", D1182&lt;&gt;""), A1181, A1181+1)</f>
        <v>1176</v>
      </c>
      <c r="R1182" t="b">
        <f>AND(ISNUMBER(FIND($E1182,Tables!$I$2)), ISNUMBER(FIND($D1182,Tables!$J$2)), $E1182&lt;&gt;"")</f>
        <v>0</v>
      </c>
    </row>
    <row r="1183" spans="1:18" x14ac:dyDescent="0.25">
      <c r="A1183">
        <f>IF(AND(B1183="", D1183&lt;&gt;""), A1182, A1182+1)</f>
        <v>1177</v>
      </c>
      <c r="R1183" t="b">
        <f>AND(ISNUMBER(FIND($E1183,Tables!$I$2)), ISNUMBER(FIND($D1183,Tables!$J$2)), $E1183&lt;&gt;"")</f>
        <v>0</v>
      </c>
    </row>
    <row r="1184" spans="1:18" x14ac:dyDescent="0.25">
      <c r="A1184">
        <f>IF(AND(B1184="", D1184&lt;&gt;""), A1183, A1183+1)</f>
        <v>1178</v>
      </c>
      <c r="R1184" t="b">
        <f>AND(ISNUMBER(FIND($E1184,Tables!$I$2)), ISNUMBER(FIND($D1184,Tables!$J$2)), $E1184&lt;&gt;"")</f>
        <v>0</v>
      </c>
    </row>
    <row r="1185" spans="1:18" x14ac:dyDescent="0.25">
      <c r="A1185">
        <f>IF(AND(B1185="", D1185&lt;&gt;""), A1184, A1184+1)</f>
        <v>1179</v>
      </c>
      <c r="R1185" t="b">
        <f>AND(ISNUMBER(FIND($E1185,Tables!$I$2)), ISNUMBER(FIND($D1185,Tables!$J$2)), $E1185&lt;&gt;"")</f>
        <v>0</v>
      </c>
    </row>
    <row r="1186" spans="1:18" x14ac:dyDescent="0.25">
      <c r="A1186">
        <f>IF(AND(B1186="", D1186&lt;&gt;""), A1185, A1185+1)</f>
        <v>1180</v>
      </c>
      <c r="R1186" t="b">
        <f>AND(ISNUMBER(FIND($E1186,Tables!$I$2)), ISNUMBER(FIND($D1186,Tables!$J$2)), $E1186&lt;&gt;"")</f>
        <v>0</v>
      </c>
    </row>
    <row r="1187" spans="1:18" x14ac:dyDescent="0.25">
      <c r="A1187">
        <f>IF(AND(B1187="", D1187&lt;&gt;""), A1186, A1186+1)</f>
        <v>1181</v>
      </c>
      <c r="R1187" t="b">
        <f>AND(ISNUMBER(FIND($E1187,Tables!$I$2)), ISNUMBER(FIND($D1187,Tables!$J$2)), $E1187&lt;&gt;"")</f>
        <v>0</v>
      </c>
    </row>
    <row r="1188" spans="1:18" x14ac:dyDescent="0.25">
      <c r="A1188">
        <f>IF(AND(B1188="", D1188&lt;&gt;""), A1187, A1187+1)</f>
        <v>1182</v>
      </c>
      <c r="R1188" t="b">
        <f>AND(ISNUMBER(FIND($E1188,Tables!$I$2)), ISNUMBER(FIND($D1188,Tables!$J$2)), $E1188&lt;&gt;"")</f>
        <v>0</v>
      </c>
    </row>
    <row r="1189" spans="1:18" x14ac:dyDescent="0.25">
      <c r="A1189">
        <f>IF(AND(B1189="", D1189&lt;&gt;""), A1188, A1188+1)</f>
        <v>1183</v>
      </c>
      <c r="R1189" t="b">
        <f>AND(ISNUMBER(FIND($E1189,Tables!$I$2)), ISNUMBER(FIND($D1189,Tables!$J$2)), $E1189&lt;&gt;"")</f>
        <v>0</v>
      </c>
    </row>
    <row r="1190" spans="1:18" x14ac:dyDescent="0.25">
      <c r="A1190">
        <f>IF(AND(B1190="", D1190&lt;&gt;""), A1189, A1189+1)</f>
        <v>1184</v>
      </c>
      <c r="R1190" t="b">
        <f>AND(ISNUMBER(FIND($E1190,Tables!$I$2)), ISNUMBER(FIND($D1190,Tables!$J$2)), $E1190&lt;&gt;"")</f>
        <v>0</v>
      </c>
    </row>
    <row r="1191" spans="1:18" x14ac:dyDescent="0.25">
      <c r="A1191">
        <f>IF(AND(B1191="", D1191&lt;&gt;""), A1190, A1190+1)</f>
        <v>1185</v>
      </c>
      <c r="R1191" t="b">
        <f>AND(ISNUMBER(FIND($E1191,Tables!$I$2)), ISNUMBER(FIND($D1191,Tables!$J$2)), $E1191&lt;&gt;"")</f>
        <v>0</v>
      </c>
    </row>
    <row r="1192" spans="1:18" x14ac:dyDescent="0.25">
      <c r="A1192">
        <f>IF(AND(B1192="", D1192&lt;&gt;""), A1191, A1191+1)</f>
        <v>1186</v>
      </c>
      <c r="R1192" t="b">
        <f>AND(ISNUMBER(FIND($E1192,Tables!$I$2)), ISNUMBER(FIND($D1192,Tables!$J$2)), $E1192&lt;&gt;"")</f>
        <v>0</v>
      </c>
    </row>
    <row r="1193" spans="1:18" x14ac:dyDescent="0.25">
      <c r="A1193">
        <f>IF(AND(B1193="", D1193&lt;&gt;""), A1192, A1192+1)</f>
        <v>1187</v>
      </c>
      <c r="R1193" t="b">
        <f>AND(ISNUMBER(FIND($E1193,Tables!$I$2)), ISNUMBER(FIND($D1193,Tables!$J$2)), $E1193&lt;&gt;"")</f>
        <v>0</v>
      </c>
    </row>
    <row r="1194" spans="1:18" x14ac:dyDescent="0.25">
      <c r="A1194">
        <f>IF(AND(B1194="", D1194&lt;&gt;""), A1193, A1193+1)</f>
        <v>1188</v>
      </c>
      <c r="R1194" t="b">
        <f>AND(ISNUMBER(FIND($E1194,Tables!$I$2)), ISNUMBER(FIND($D1194,Tables!$J$2)), $E1194&lt;&gt;"")</f>
        <v>0</v>
      </c>
    </row>
    <row r="1195" spans="1:18" x14ac:dyDescent="0.25">
      <c r="A1195">
        <f>IF(AND(B1195="", D1195&lt;&gt;""), A1194, A1194+1)</f>
        <v>1189</v>
      </c>
      <c r="R1195" t="b">
        <f>AND(ISNUMBER(FIND($E1195,Tables!$I$2)), ISNUMBER(FIND($D1195,Tables!$J$2)), $E1195&lt;&gt;"")</f>
        <v>0</v>
      </c>
    </row>
    <row r="1196" spans="1:18" x14ac:dyDescent="0.25">
      <c r="A1196">
        <f>IF(AND(B1196="", D1196&lt;&gt;""), A1195, A1195+1)</f>
        <v>1190</v>
      </c>
      <c r="R1196" t="b">
        <f>AND(ISNUMBER(FIND($E1196,Tables!$I$2)), ISNUMBER(FIND($D1196,Tables!$J$2)), $E1196&lt;&gt;"")</f>
        <v>0</v>
      </c>
    </row>
    <row r="1197" spans="1:18" x14ac:dyDescent="0.25">
      <c r="A1197">
        <f>IF(AND(B1197="", D1197&lt;&gt;""), A1196, A1196+1)</f>
        <v>1191</v>
      </c>
      <c r="R1197" t="b">
        <f>AND(ISNUMBER(FIND($E1197,Tables!$I$2)), ISNUMBER(FIND($D1197,Tables!$J$2)), $E1197&lt;&gt;"")</f>
        <v>0</v>
      </c>
    </row>
    <row r="1198" spans="1:18" x14ac:dyDescent="0.25">
      <c r="A1198">
        <f>IF(AND(B1198="", D1198&lt;&gt;""), A1197, A1197+1)</f>
        <v>1192</v>
      </c>
      <c r="R1198" t="b">
        <f>AND(ISNUMBER(FIND($E1198,Tables!$I$2)), ISNUMBER(FIND($D1198,Tables!$J$2)), $E1198&lt;&gt;"")</f>
        <v>0</v>
      </c>
    </row>
    <row r="1199" spans="1:18" x14ac:dyDescent="0.25">
      <c r="A1199">
        <f>IF(AND(B1199="", D1199&lt;&gt;""), A1198, A1198+1)</f>
        <v>1193</v>
      </c>
      <c r="R1199" t="b">
        <f>AND(ISNUMBER(FIND($E1199,Tables!$I$2)), ISNUMBER(FIND($D1199,Tables!$J$2)), $E1199&lt;&gt;"")</f>
        <v>0</v>
      </c>
    </row>
    <row r="1200" spans="1:18" x14ac:dyDescent="0.25">
      <c r="A1200">
        <f>IF(AND(B1200="", D1200&lt;&gt;""), A1199, A1199+1)</f>
        <v>1194</v>
      </c>
      <c r="R1200" t="b">
        <f>AND(ISNUMBER(FIND($E1200,Tables!$I$2)), ISNUMBER(FIND($D1200,Tables!$J$2)), $E1200&lt;&gt;"")</f>
        <v>0</v>
      </c>
    </row>
    <row r="1201" spans="1:18" x14ac:dyDescent="0.25">
      <c r="A1201">
        <f>IF(AND(B1201="", D1201&lt;&gt;""), A1200, A1200+1)</f>
        <v>1195</v>
      </c>
      <c r="R1201" t="b">
        <f>AND(ISNUMBER(FIND($E1201,Tables!$I$2)), ISNUMBER(FIND($D1201,Tables!$J$2)), $E1201&lt;&gt;"")</f>
        <v>0</v>
      </c>
    </row>
    <row r="1202" spans="1:18" x14ac:dyDescent="0.25">
      <c r="A1202">
        <f>IF(AND(B1202="", D1202&lt;&gt;""), A1201, A1201+1)</f>
        <v>1196</v>
      </c>
      <c r="R1202" t="b">
        <f>AND(ISNUMBER(FIND($E1202,Tables!$I$2)), ISNUMBER(FIND($D1202,Tables!$J$2)), $E1202&lt;&gt;"")</f>
        <v>0</v>
      </c>
    </row>
    <row r="1203" spans="1:18" x14ac:dyDescent="0.25">
      <c r="A1203">
        <f>IF(AND(B1203="", D1203&lt;&gt;""), A1202, A1202+1)</f>
        <v>1197</v>
      </c>
      <c r="R1203" t="b">
        <f>AND(ISNUMBER(FIND($E1203,Tables!$I$2)), ISNUMBER(FIND($D1203,Tables!$J$2)), $E1203&lt;&gt;"")</f>
        <v>0</v>
      </c>
    </row>
    <row r="1204" spans="1:18" x14ac:dyDescent="0.25">
      <c r="A1204">
        <f>IF(AND(B1204="", D1204&lt;&gt;""), A1203, A1203+1)</f>
        <v>1198</v>
      </c>
      <c r="R1204" t="b">
        <f>AND(ISNUMBER(FIND($E1204,Tables!$I$2)), ISNUMBER(FIND($D1204,Tables!$J$2)), $E1204&lt;&gt;"")</f>
        <v>0</v>
      </c>
    </row>
    <row r="1205" spans="1:18" x14ac:dyDescent="0.25">
      <c r="A1205">
        <f>IF(AND(B1205="", D1205&lt;&gt;""), A1204, A1204+1)</f>
        <v>1199</v>
      </c>
      <c r="R1205" t="b">
        <f>AND(ISNUMBER(FIND($E1205,Tables!$I$2)), ISNUMBER(FIND($D1205,Tables!$J$2)), $E1205&lt;&gt;"")</f>
        <v>0</v>
      </c>
    </row>
    <row r="1206" spans="1:18" x14ac:dyDescent="0.25">
      <c r="A1206">
        <f>IF(AND(B1206="", D1206&lt;&gt;""), A1205, A1205+1)</f>
        <v>1200</v>
      </c>
      <c r="R1206" t="b">
        <f>AND(ISNUMBER(FIND($E1206,Tables!$I$2)), ISNUMBER(FIND($D1206,Tables!$J$2)), $E1206&lt;&gt;"")</f>
        <v>0</v>
      </c>
    </row>
    <row r="1207" spans="1:18" x14ac:dyDescent="0.25">
      <c r="A1207">
        <f>IF(AND(B1207="", D1207&lt;&gt;""), A1206, A1206+1)</f>
        <v>1201</v>
      </c>
      <c r="R1207" t="b">
        <f>AND(ISNUMBER(FIND($E1207,Tables!$I$2)), ISNUMBER(FIND($D1207,Tables!$J$2)), $E1207&lt;&gt;"")</f>
        <v>0</v>
      </c>
    </row>
    <row r="1208" spans="1:18" x14ac:dyDescent="0.25">
      <c r="A1208">
        <f>IF(AND(B1208="", D1208&lt;&gt;""), A1207, A1207+1)</f>
        <v>1202</v>
      </c>
      <c r="R1208" t="b">
        <f>AND(ISNUMBER(FIND($E1208,Tables!$I$2)), ISNUMBER(FIND($D1208,Tables!$J$2)), $E1208&lt;&gt;"")</f>
        <v>0</v>
      </c>
    </row>
    <row r="1209" spans="1:18" x14ac:dyDescent="0.25">
      <c r="A1209">
        <f>IF(AND(B1209="", D1209&lt;&gt;""), A1208, A1208+1)</f>
        <v>1203</v>
      </c>
      <c r="R1209" t="b">
        <f>AND(ISNUMBER(FIND($E1209,Tables!$I$2)), ISNUMBER(FIND($D1209,Tables!$J$2)), $E1209&lt;&gt;"")</f>
        <v>0</v>
      </c>
    </row>
    <row r="1210" spans="1:18" x14ac:dyDescent="0.25">
      <c r="A1210">
        <f>IF(AND(B1210="", D1210&lt;&gt;""), A1209, A1209+1)</f>
        <v>1204</v>
      </c>
      <c r="R1210" t="b">
        <f>AND(ISNUMBER(FIND($E1210,Tables!$I$2)), ISNUMBER(FIND($D1210,Tables!$J$2)), $E1210&lt;&gt;"")</f>
        <v>0</v>
      </c>
    </row>
    <row r="1211" spans="1:18" x14ac:dyDescent="0.25">
      <c r="A1211">
        <f>IF(AND(B1211="", D1211&lt;&gt;""), A1210, A1210+1)</f>
        <v>1205</v>
      </c>
      <c r="R1211" t="b">
        <f>AND(ISNUMBER(FIND($E1211,Tables!$I$2)), ISNUMBER(FIND($D1211,Tables!$J$2)), $E1211&lt;&gt;"")</f>
        <v>0</v>
      </c>
    </row>
    <row r="1212" spans="1:18" x14ac:dyDescent="0.25">
      <c r="A1212">
        <f>IF(AND(B1212="", D1212&lt;&gt;""), A1211, A1211+1)</f>
        <v>1206</v>
      </c>
      <c r="R1212" t="b">
        <f>AND(ISNUMBER(FIND($E1212,Tables!$I$2)), ISNUMBER(FIND($D1212,Tables!$J$2)), $E1212&lt;&gt;"")</f>
        <v>0</v>
      </c>
    </row>
    <row r="1213" spans="1:18" x14ac:dyDescent="0.25">
      <c r="A1213">
        <f>IF(AND(B1213="", D1213&lt;&gt;""), A1212, A1212+1)</f>
        <v>1207</v>
      </c>
      <c r="R1213" t="b">
        <f>AND(ISNUMBER(FIND($E1213,Tables!$I$2)), ISNUMBER(FIND($D1213,Tables!$J$2)), $E1213&lt;&gt;"")</f>
        <v>0</v>
      </c>
    </row>
    <row r="1214" spans="1:18" x14ac:dyDescent="0.25">
      <c r="A1214">
        <f>IF(AND(B1214="", D1214&lt;&gt;""), A1213, A1213+1)</f>
        <v>1208</v>
      </c>
      <c r="R1214" t="b">
        <f>AND(ISNUMBER(FIND($E1214,Tables!$I$2)), ISNUMBER(FIND($D1214,Tables!$J$2)), $E1214&lt;&gt;"")</f>
        <v>0</v>
      </c>
    </row>
    <row r="1215" spans="1:18" x14ac:dyDescent="0.25">
      <c r="A1215">
        <f>IF(AND(B1215="", D1215&lt;&gt;""), A1214, A1214+1)</f>
        <v>1209</v>
      </c>
      <c r="R1215" t="b">
        <f>AND(ISNUMBER(FIND($E1215,Tables!$I$2)), ISNUMBER(FIND($D1215,Tables!$J$2)), $E1215&lt;&gt;"")</f>
        <v>0</v>
      </c>
    </row>
    <row r="1216" spans="1:18" x14ac:dyDescent="0.25">
      <c r="A1216">
        <f>IF(AND(B1216="", D1216&lt;&gt;""), A1215, A1215+1)</f>
        <v>1210</v>
      </c>
      <c r="R1216" t="b">
        <f>AND(ISNUMBER(FIND($E1216,Tables!$I$2)), ISNUMBER(FIND($D1216,Tables!$J$2)), $E1216&lt;&gt;"")</f>
        <v>0</v>
      </c>
    </row>
    <row r="1217" spans="1:18" x14ac:dyDescent="0.25">
      <c r="A1217">
        <f>IF(AND(B1217="", D1217&lt;&gt;""), A1216, A1216+1)</f>
        <v>1211</v>
      </c>
      <c r="R1217" t="b">
        <f>AND(ISNUMBER(FIND($E1217,Tables!$I$2)), ISNUMBER(FIND($D1217,Tables!$J$2)), $E1217&lt;&gt;"")</f>
        <v>0</v>
      </c>
    </row>
    <row r="1218" spans="1:18" x14ac:dyDescent="0.25">
      <c r="A1218">
        <f>IF(AND(B1218="", D1218&lt;&gt;""), A1217, A1217+1)</f>
        <v>1212</v>
      </c>
      <c r="R1218" t="b">
        <f>AND(ISNUMBER(FIND($E1218,Tables!$I$2)), ISNUMBER(FIND($D1218,Tables!$J$2)), $E1218&lt;&gt;"")</f>
        <v>0</v>
      </c>
    </row>
    <row r="1219" spans="1:18" x14ac:dyDescent="0.25">
      <c r="A1219">
        <f>IF(AND(B1219="", D1219&lt;&gt;""), A1218, A1218+1)</f>
        <v>1213</v>
      </c>
      <c r="R1219" t="b">
        <f>AND(ISNUMBER(FIND($E1219,Tables!$I$2)), ISNUMBER(FIND($D1219,Tables!$J$2)), $E1219&lt;&gt;"")</f>
        <v>0</v>
      </c>
    </row>
    <row r="1220" spans="1:18" x14ac:dyDescent="0.25">
      <c r="A1220">
        <f>IF(AND(B1220="", D1220&lt;&gt;""), A1219, A1219+1)</f>
        <v>1214</v>
      </c>
      <c r="R1220" t="b">
        <f>AND(ISNUMBER(FIND($E1220,Tables!$I$2)), ISNUMBER(FIND($D1220,Tables!$J$2)), $E1220&lt;&gt;"")</f>
        <v>0</v>
      </c>
    </row>
    <row r="1221" spans="1:18" x14ac:dyDescent="0.25">
      <c r="A1221">
        <f>IF(AND(B1221="", D1221&lt;&gt;""), A1220, A1220+1)</f>
        <v>1215</v>
      </c>
      <c r="R1221" t="b">
        <f>AND(ISNUMBER(FIND($E1221,Tables!$I$2)), ISNUMBER(FIND($D1221,Tables!$J$2)), $E1221&lt;&gt;"")</f>
        <v>0</v>
      </c>
    </row>
    <row r="1222" spans="1:18" x14ac:dyDescent="0.25">
      <c r="A1222">
        <f>IF(AND(B1222="", D1222&lt;&gt;""), A1221, A1221+1)</f>
        <v>1216</v>
      </c>
      <c r="R1222" t="b">
        <f>AND(ISNUMBER(FIND($E1222,Tables!$I$2)), ISNUMBER(FIND($D1222,Tables!$J$2)), $E1222&lt;&gt;"")</f>
        <v>0</v>
      </c>
    </row>
    <row r="1223" spans="1:18" x14ac:dyDescent="0.25">
      <c r="A1223">
        <f>IF(AND(B1223="", D1223&lt;&gt;""), A1222, A1222+1)</f>
        <v>1217</v>
      </c>
      <c r="R1223" t="b">
        <f>AND(ISNUMBER(FIND($E1223,Tables!$I$2)), ISNUMBER(FIND($D1223,Tables!$J$2)), $E1223&lt;&gt;"")</f>
        <v>0</v>
      </c>
    </row>
    <row r="1224" spans="1:18" x14ac:dyDescent="0.25">
      <c r="A1224">
        <f>IF(AND(B1224="", D1224&lt;&gt;""), A1223, A1223+1)</f>
        <v>1218</v>
      </c>
      <c r="R1224" t="b">
        <f>AND(ISNUMBER(FIND($E1224,Tables!$I$2)), ISNUMBER(FIND($D1224,Tables!$J$2)), $E1224&lt;&gt;"")</f>
        <v>0</v>
      </c>
    </row>
    <row r="1225" spans="1:18" x14ac:dyDescent="0.25">
      <c r="A1225">
        <f>IF(AND(B1225="", D1225&lt;&gt;""), A1224, A1224+1)</f>
        <v>1219</v>
      </c>
      <c r="R1225" t="b">
        <f>AND(ISNUMBER(FIND($E1225,Tables!$I$2)), ISNUMBER(FIND($D1225,Tables!$J$2)), $E1225&lt;&gt;"")</f>
        <v>0</v>
      </c>
    </row>
    <row r="1226" spans="1:18" x14ac:dyDescent="0.25">
      <c r="A1226">
        <f>IF(AND(B1226="", D1226&lt;&gt;""), A1225, A1225+1)</f>
        <v>1220</v>
      </c>
      <c r="R1226" t="b">
        <f>AND(ISNUMBER(FIND($E1226,Tables!$I$2)), ISNUMBER(FIND($D1226,Tables!$J$2)), $E1226&lt;&gt;"")</f>
        <v>0</v>
      </c>
    </row>
    <row r="1227" spans="1:18" x14ac:dyDescent="0.25">
      <c r="A1227">
        <f>IF(AND(B1227="", D1227&lt;&gt;""), A1226, A1226+1)</f>
        <v>1221</v>
      </c>
      <c r="R1227" t="b">
        <f>AND(ISNUMBER(FIND($E1227,Tables!$I$2)), ISNUMBER(FIND($D1227,Tables!$J$2)), $E1227&lt;&gt;"")</f>
        <v>0</v>
      </c>
    </row>
    <row r="1228" spans="1:18" x14ac:dyDescent="0.25">
      <c r="A1228">
        <f>IF(AND(B1228="", D1228&lt;&gt;""), A1227, A1227+1)</f>
        <v>1222</v>
      </c>
      <c r="R1228" t="b">
        <f>AND(ISNUMBER(FIND($E1228,Tables!$I$2)), ISNUMBER(FIND($D1228,Tables!$J$2)), $E1228&lt;&gt;"")</f>
        <v>0</v>
      </c>
    </row>
    <row r="1229" spans="1:18" x14ac:dyDescent="0.25">
      <c r="A1229">
        <f>IF(AND(B1229="", D1229&lt;&gt;""), A1228, A1228+1)</f>
        <v>1223</v>
      </c>
      <c r="R1229" t="b">
        <f>AND(ISNUMBER(FIND($E1229,Tables!$I$2)), ISNUMBER(FIND($D1229,Tables!$J$2)), $E1229&lt;&gt;"")</f>
        <v>0</v>
      </c>
    </row>
    <row r="1230" spans="1:18" x14ac:dyDescent="0.25">
      <c r="A1230">
        <f>IF(AND(B1230="", D1230&lt;&gt;""), A1229, A1229+1)</f>
        <v>1224</v>
      </c>
      <c r="R1230" t="b">
        <f>AND(ISNUMBER(FIND($E1230,Tables!$I$2)), ISNUMBER(FIND($D1230,Tables!$J$2)), $E1230&lt;&gt;"")</f>
        <v>0</v>
      </c>
    </row>
    <row r="1231" spans="1:18" x14ac:dyDescent="0.25">
      <c r="A1231">
        <f>IF(AND(B1231="", D1231&lt;&gt;""), A1230, A1230+1)</f>
        <v>1225</v>
      </c>
      <c r="R1231" t="b">
        <f>AND(ISNUMBER(FIND($E1231,Tables!$I$2)), ISNUMBER(FIND($D1231,Tables!$J$2)), $E1231&lt;&gt;"")</f>
        <v>0</v>
      </c>
    </row>
    <row r="1232" spans="1:18" x14ac:dyDescent="0.25">
      <c r="A1232">
        <f>IF(AND(B1232="", D1232&lt;&gt;""), A1231, A1231+1)</f>
        <v>1226</v>
      </c>
      <c r="R1232" t="b">
        <f>AND(ISNUMBER(FIND($E1232,Tables!$I$2)), ISNUMBER(FIND($D1232,Tables!$J$2)), $E1232&lt;&gt;"")</f>
        <v>0</v>
      </c>
    </row>
    <row r="1233" spans="1:18" x14ac:dyDescent="0.25">
      <c r="A1233">
        <f>IF(AND(B1233="", D1233&lt;&gt;""), A1232, A1232+1)</f>
        <v>1227</v>
      </c>
      <c r="R1233" t="b">
        <f>AND(ISNUMBER(FIND($E1233,Tables!$I$2)), ISNUMBER(FIND($D1233,Tables!$J$2)), $E1233&lt;&gt;"")</f>
        <v>0</v>
      </c>
    </row>
    <row r="1234" spans="1:18" x14ac:dyDescent="0.25">
      <c r="A1234">
        <f>IF(AND(B1234="", D1234&lt;&gt;""), A1233, A1233+1)</f>
        <v>1228</v>
      </c>
      <c r="R1234" t="b">
        <f>AND(ISNUMBER(FIND($E1234,Tables!$I$2)), ISNUMBER(FIND($D1234,Tables!$J$2)), $E1234&lt;&gt;"")</f>
        <v>0</v>
      </c>
    </row>
    <row r="1235" spans="1:18" x14ac:dyDescent="0.25">
      <c r="A1235">
        <f>IF(AND(B1235="", D1235&lt;&gt;""), A1234, A1234+1)</f>
        <v>1229</v>
      </c>
      <c r="R1235" t="b">
        <f>AND(ISNUMBER(FIND($E1235,Tables!$I$2)), ISNUMBER(FIND($D1235,Tables!$J$2)), $E1235&lt;&gt;"")</f>
        <v>0</v>
      </c>
    </row>
    <row r="1236" spans="1:18" x14ac:dyDescent="0.25">
      <c r="A1236">
        <f>IF(AND(B1236="", D1236&lt;&gt;""), A1235, A1235+1)</f>
        <v>1230</v>
      </c>
      <c r="R1236" t="b">
        <f>AND(ISNUMBER(FIND($E1236,Tables!$I$2)), ISNUMBER(FIND($D1236,Tables!$J$2)), $E1236&lt;&gt;"")</f>
        <v>0</v>
      </c>
    </row>
    <row r="1237" spans="1:18" x14ac:dyDescent="0.25">
      <c r="A1237">
        <f>IF(AND(B1237="", D1237&lt;&gt;""), A1236, A1236+1)</f>
        <v>1231</v>
      </c>
      <c r="R1237" t="b">
        <f>AND(ISNUMBER(FIND($E1237,Tables!$I$2)), ISNUMBER(FIND($D1237,Tables!$J$2)), $E1237&lt;&gt;"")</f>
        <v>0</v>
      </c>
    </row>
    <row r="1238" spans="1:18" x14ac:dyDescent="0.25">
      <c r="A1238">
        <f>IF(AND(B1238="", D1238&lt;&gt;""), A1237, A1237+1)</f>
        <v>1232</v>
      </c>
      <c r="R1238" t="b">
        <f>AND(ISNUMBER(FIND($E1238,Tables!$I$2)), ISNUMBER(FIND($D1238,Tables!$J$2)), $E1238&lt;&gt;"")</f>
        <v>0</v>
      </c>
    </row>
    <row r="1239" spans="1:18" x14ac:dyDescent="0.25">
      <c r="A1239">
        <f>IF(AND(B1239="", D1239&lt;&gt;""), A1238, A1238+1)</f>
        <v>1233</v>
      </c>
      <c r="R1239" t="b">
        <f>AND(ISNUMBER(FIND($E1239,Tables!$I$2)), ISNUMBER(FIND($D1239,Tables!$J$2)), $E1239&lt;&gt;"")</f>
        <v>0</v>
      </c>
    </row>
    <row r="1240" spans="1:18" x14ac:dyDescent="0.25">
      <c r="A1240">
        <f>IF(AND(B1240="", D1240&lt;&gt;""), A1239, A1239+1)</f>
        <v>1234</v>
      </c>
      <c r="R1240" t="b">
        <f>AND(ISNUMBER(FIND($E1240,Tables!$I$2)), ISNUMBER(FIND($D1240,Tables!$J$2)), $E1240&lt;&gt;"")</f>
        <v>0</v>
      </c>
    </row>
    <row r="1241" spans="1:18" x14ac:dyDescent="0.25">
      <c r="A1241">
        <f>IF(AND(B1241="", D1241&lt;&gt;""), A1240, A1240+1)</f>
        <v>1235</v>
      </c>
      <c r="R1241" t="b">
        <f>AND(ISNUMBER(FIND($E1241,Tables!$I$2)), ISNUMBER(FIND($D1241,Tables!$J$2)), $E1241&lt;&gt;"")</f>
        <v>0</v>
      </c>
    </row>
    <row r="1242" spans="1:18" x14ac:dyDescent="0.25">
      <c r="A1242">
        <f>IF(AND(B1242="", D1242&lt;&gt;""), A1241, A1241+1)</f>
        <v>1236</v>
      </c>
      <c r="R1242" t="b">
        <f>AND(ISNUMBER(FIND($E1242,Tables!$I$2)), ISNUMBER(FIND($D1242,Tables!$J$2)), $E1242&lt;&gt;"")</f>
        <v>0</v>
      </c>
    </row>
    <row r="1243" spans="1:18" x14ac:dyDescent="0.25">
      <c r="A1243">
        <f>IF(AND(B1243="", D1243&lt;&gt;""), A1242, A1242+1)</f>
        <v>1237</v>
      </c>
      <c r="R1243" t="b">
        <f>AND(ISNUMBER(FIND($E1243,Tables!$I$2)), ISNUMBER(FIND($D1243,Tables!$J$2)), $E1243&lt;&gt;"")</f>
        <v>0</v>
      </c>
    </row>
    <row r="1244" spans="1:18" x14ac:dyDescent="0.25">
      <c r="A1244">
        <f>IF(AND(B1244="", D1244&lt;&gt;""), A1243, A1243+1)</f>
        <v>1238</v>
      </c>
      <c r="R1244" t="b">
        <f>AND(ISNUMBER(FIND($E1244,Tables!$I$2)), ISNUMBER(FIND($D1244,Tables!$J$2)), $E1244&lt;&gt;"")</f>
        <v>0</v>
      </c>
    </row>
    <row r="1245" spans="1:18" x14ac:dyDescent="0.25">
      <c r="A1245">
        <f>IF(AND(B1245="", D1245&lt;&gt;""), A1244, A1244+1)</f>
        <v>1239</v>
      </c>
      <c r="R1245" t="b">
        <f>AND(ISNUMBER(FIND($E1245,Tables!$I$2)), ISNUMBER(FIND($D1245,Tables!$J$2)), $E1245&lt;&gt;"")</f>
        <v>0</v>
      </c>
    </row>
    <row r="1246" spans="1:18" x14ac:dyDescent="0.25">
      <c r="A1246">
        <f>IF(AND(B1246="", D1246&lt;&gt;""), A1245, A1245+1)</f>
        <v>1240</v>
      </c>
      <c r="R1246" t="b">
        <f>AND(ISNUMBER(FIND($E1246,Tables!$I$2)), ISNUMBER(FIND($D1246,Tables!$J$2)), $E1246&lt;&gt;"")</f>
        <v>0</v>
      </c>
    </row>
    <row r="1247" spans="1:18" x14ac:dyDescent="0.25">
      <c r="A1247">
        <f>IF(AND(B1247="", D1247&lt;&gt;""), A1246, A1246+1)</f>
        <v>1241</v>
      </c>
      <c r="R1247" t="b">
        <f>AND(ISNUMBER(FIND($E1247,Tables!$I$2)), ISNUMBER(FIND($D1247,Tables!$J$2)), $E1247&lt;&gt;"")</f>
        <v>0</v>
      </c>
    </row>
    <row r="1248" spans="1:18" x14ac:dyDescent="0.25">
      <c r="A1248">
        <f>IF(AND(B1248="", D1248&lt;&gt;""), A1247, A1247+1)</f>
        <v>1242</v>
      </c>
      <c r="R1248" t="b">
        <f>AND(ISNUMBER(FIND($E1248,Tables!$I$2)), ISNUMBER(FIND($D1248,Tables!$J$2)), $E1248&lt;&gt;"")</f>
        <v>0</v>
      </c>
    </row>
    <row r="1249" spans="1:18" x14ac:dyDescent="0.25">
      <c r="A1249">
        <f>IF(AND(B1249="", D1249&lt;&gt;""), A1248, A1248+1)</f>
        <v>1243</v>
      </c>
      <c r="R1249" t="b">
        <f>AND(ISNUMBER(FIND($E1249,Tables!$I$2)), ISNUMBER(FIND($D1249,Tables!$J$2)), $E1249&lt;&gt;"")</f>
        <v>0</v>
      </c>
    </row>
    <row r="1250" spans="1:18" x14ac:dyDescent="0.25">
      <c r="A1250">
        <f>IF(AND(B1250="", D1250&lt;&gt;""), A1249, A1249+1)</f>
        <v>1244</v>
      </c>
      <c r="R1250" t="b">
        <f>AND(ISNUMBER(FIND($E1250,Tables!$I$2)), ISNUMBER(FIND($D1250,Tables!$J$2)), $E1250&lt;&gt;"")</f>
        <v>0</v>
      </c>
    </row>
    <row r="1251" spans="1:18" x14ac:dyDescent="0.25">
      <c r="A1251">
        <f>IF(AND(B1251="", D1251&lt;&gt;""), A1250, A1250+1)</f>
        <v>1245</v>
      </c>
      <c r="R1251" t="b">
        <f>AND(ISNUMBER(FIND($E1251,Tables!$I$2)), ISNUMBER(FIND($D1251,Tables!$J$2)), $E1251&lt;&gt;"")</f>
        <v>0</v>
      </c>
    </row>
    <row r="1252" spans="1:18" x14ac:dyDescent="0.25">
      <c r="A1252">
        <f>IF(AND(B1252="", D1252&lt;&gt;""), A1251, A1251+1)</f>
        <v>1246</v>
      </c>
      <c r="R1252" t="b">
        <f>AND(ISNUMBER(FIND($E1252,Tables!$I$2)), ISNUMBER(FIND($D1252,Tables!$J$2)), $E1252&lt;&gt;"")</f>
        <v>0</v>
      </c>
    </row>
    <row r="1253" spans="1:18" x14ac:dyDescent="0.25">
      <c r="A1253">
        <f>IF(AND(B1253="", D1253&lt;&gt;""), A1252, A1252+1)</f>
        <v>1247</v>
      </c>
      <c r="R1253" t="b">
        <f>AND(ISNUMBER(FIND($E1253,Tables!$I$2)), ISNUMBER(FIND($D1253,Tables!$J$2)), $E1253&lt;&gt;"")</f>
        <v>0</v>
      </c>
    </row>
    <row r="1254" spans="1:18" x14ac:dyDescent="0.25">
      <c r="A1254">
        <f>IF(AND(B1254="", D1254&lt;&gt;""), A1253, A1253+1)</f>
        <v>1248</v>
      </c>
      <c r="R1254" t="b">
        <f>AND(ISNUMBER(FIND($E1254,Tables!$I$2)), ISNUMBER(FIND($D1254,Tables!$J$2)), $E1254&lt;&gt;"")</f>
        <v>0</v>
      </c>
    </row>
    <row r="1255" spans="1:18" x14ac:dyDescent="0.25">
      <c r="A1255">
        <f>IF(AND(B1255="", D1255&lt;&gt;""), A1254, A1254+1)</f>
        <v>1249</v>
      </c>
      <c r="R1255" t="b">
        <f>AND(ISNUMBER(FIND($E1255,Tables!$I$2)), ISNUMBER(FIND($D1255,Tables!$J$2)), $E1255&lt;&gt;"")</f>
        <v>0</v>
      </c>
    </row>
    <row r="1256" spans="1:18" x14ac:dyDescent="0.25">
      <c r="A1256">
        <f>IF(AND(B1256="", D1256&lt;&gt;""), A1255, A1255+1)</f>
        <v>1250</v>
      </c>
      <c r="R1256" t="b">
        <f>AND(ISNUMBER(FIND($E1256,Tables!$I$2)), ISNUMBER(FIND($D1256,Tables!$J$2)), $E1256&lt;&gt;"")</f>
        <v>0</v>
      </c>
    </row>
    <row r="1257" spans="1:18" x14ac:dyDescent="0.25">
      <c r="A1257">
        <f>IF(AND(B1257="", D1257&lt;&gt;""), A1256, A1256+1)</f>
        <v>1251</v>
      </c>
      <c r="R1257" t="b">
        <f>AND(ISNUMBER(FIND($E1257,Tables!$I$2)), ISNUMBER(FIND($D1257,Tables!$J$2)), $E1257&lt;&gt;"")</f>
        <v>0</v>
      </c>
    </row>
    <row r="1258" spans="1:18" x14ac:dyDescent="0.25">
      <c r="A1258">
        <f>IF(AND(B1258="", D1258&lt;&gt;""), A1257, A1257+1)</f>
        <v>1252</v>
      </c>
      <c r="R1258" t="b">
        <f>AND(ISNUMBER(FIND($E1258,Tables!$I$2)), ISNUMBER(FIND($D1258,Tables!$J$2)), $E1258&lt;&gt;"")</f>
        <v>0</v>
      </c>
    </row>
    <row r="1259" spans="1:18" x14ac:dyDescent="0.25">
      <c r="A1259">
        <f>IF(AND(B1259="", D1259&lt;&gt;""), A1258, A1258+1)</f>
        <v>1253</v>
      </c>
      <c r="R1259" t="b">
        <f>AND(ISNUMBER(FIND($E1259,Tables!$I$2)), ISNUMBER(FIND($D1259,Tables!$J$2)), $E1259&lt;&gt;"")</f>
        <v>0</v>
      </c>
    </row>
    <row r="1260" spans="1:18" x14ac:dyDescent="0.25">
      <c r="A1260">
        <f>IF(AND(B1260="", D1260&lt;&gt;""), A1259, A1259+1)</f>
        <v>1254</v>
      </c>
      <c r="R1260" t="b">
        <f>AND(ISNUMBER(FIND($E1260,Tables!$I$2)), ISNUMBER(FIND($D1260,Tables!$J$2)), $E1260&lt;&gt;"")</f>
        <v>0</v>
      </c>
    </row>
    <row r="1261" spans="1:18" x14ac:dyDescent="0.25">
      <c r="A1261">
        <f>IF(AND(B1261="", D1261&lt;&gt;""), A1260, A1260+1)</f>
        <v>1255</v>
      </c>
      <c r="R1261" t="b">
        <f>AND(ISNUMBER(FIND($E1261,Tables!$I$2)), ISNUMBER(FIND($D1261,Tables!$J$2)), $E1261&lt;&gt;"")</f>
        <v>0</v>
      </c>
    </row>
    <row r="1262" spans="1:18" x14ac:dyDescent="0.25">
      <c r="A1262">
        <f>IF(AND(B1262="", D1262&lt;&gt;""), A1261, A1261+1)</f>
        <v>1256</v>
      </c>
      <c r="R1262" t="b">
        <f>AND(ISNUMBER(FIND($E1262,Tables!$I$2)), ISNUMBER(FIND($D1262,Tables!$J$2)), $E1262&lt;&gt;"")</f>
        <v>0</v>
      </c>
    </row>
    <row r="1263" spans="1:18" x14ac:dyDescent="0.25">
      <c r="A1263">
        <f>IF(AND(B1263="", D1263&lt;&gt;""), A1262, A1262+1)</f>
        <v>1257</v>
      </c>
      <c r="R1263" t="b">
        <f>AND(ISNUMBER(FIND($E1263,Tables!$I$2)), ISNUMBER(FIND($D1263,Tables!$J$2)), $E1263&lt;&gt;"")</f>
        <v>0</v>
      </c>
    </row>
    <row r="1264" spans="1:18" x14ac:dyDescent="0.25">
      <c r="A1264">
        <f>IF(AND(B1264="", D1264&lt;&gt;""), A1263, A1263+1)</f>
        <v>1258</v>
      </c>
      <c r="R1264" t="b">
        <f>AND(ISNUMBER(FIND($E1264,Tables!$I$2)), ISNUMBER(FIND($D1264,Tables!$J$2)), $E1264&lt;&gt;"")</f>
        <v>0</v>
      </c>
    </row>
    <row r="1265" spans="1:18" x14ac:dyDescent="0.25">
      <c r="A1265">
        <f>IF(AND(B1265="", D1265&lt;&gt;""), A1264, A1264+1)</f>
        <v>1259</v>
      </c>
      <c r="R1265" t="b">
        <f>AND(ISNUMBER(FIND($E1265,Tables!$I$2)), ISNUMBER(FIND($D1265,Tables!$J$2)), $E1265&lt;&gt;"")</f>
        <v>0</v>
      </c>
    </row>
    <row r="1266" spans="1:18" x14ac:dyDescent="0.25">
      <c r="A1266">
        <f>IF(AND(B1266="", D1266&lt;&gt;""), A1265, A1265+1)</f>
        <v>1260</v>
      </c>
      <c r="R1266" t="b">
        <f>AND(ISNUMBER(FIND($E1266,Tables!$I$2)), ISNUMBER(FIND($D1266,Tables!$J$2)), $E1266&lt;&gt;"")</f>
        <v>0</v>
      </c>
    </row>
    <row r="1267" spans="1:18" x14ac:dyDescent="0.25">
      <c r="A1267">
        <f>IF(AND(B1267="", D1267&lt;&gt;""), A1266, A1266+1)</f>
        <v>1261</v>
      </c>
      <c r="R1267" t="b">
        <f>AND(ISNUMBER(FIND($E1267,Tables!$I$2)), ISNUMBER(FIND($D1267,Tables!$J$2)), $E1267&lt;&gt;"")</f>
        <v>0</v>
      </c>
    </row>
    <row r="1268" spans="1:18" x14ac:dyDescent="0.25">
      <c r="A1268">
        <f>IF(AND(B1268="", D1268&lt;&gt;""), A1267, A1267+1)</f>
        <v>1262</v>
      </c>
      <c r="R1268" t="b">
        <f>AND(ISNUMBER(FIND($E1268,Tables!$I$2)), ISNUMBER(FIND($D1268,Tables!$J$2)), $E1268&lt;&gt;"")</f>
        <v>0</v>
      </c>
    </row>
    <row r="1269" spans="1:18" x14ac:dyDescent="0.25">
      <c r="A1269">
        <f>IF(AND(B1269="", D1269&lt;&gt;""), A1268, A1268+1)</f>
        <v>1263</v>
      </c>
      <c r="R1269" t="b">
        <f>AND(ISNUMBER(FIND($E1269,Tables!$I$2)), ISNUMBER(FIND($D1269,Tables!$J$2)), $E1269&lt;&gt;"")</f>
        <v>0</v>
      </c>
    </row>
    <row r="1270" spans="1:18" x14ac:dyDescent="0.25">
      <c r="A1270">
        <f>IF(AND(B1270="", D1270&lt;&gt;""), A1269, A1269+1)</f>
        <v>1264</v>
      </c>
      <c r="R1270" t="b">
        <f>AND(ISNUMBER(FIND($E1270,Tables!$I$2)), ISNUMBER(FIND($D1270,Tables!$J$2)), $E1270&lt;&gt;"")</f>
        <v>0</v>
      </c>
    </row>
    <row r="1271" spans="1:18" x14ac:dyDescent="0.25">
      <c r="A1271">
        <f>IF(AND(B1271="", D1271&lt;&gt;""), A1270, A1270+1)</f>
        <v>1265</v>
      </c>
      <c r="R1271" t="b">
        <f>AND(ISNUMBER(FIND($E1271,Tables!$I$2)), ISNUMBER(FIND($D1271,Tables!$J$2)), $E1271&lt;&gt;"")</f>
        <v>0</v>
      </c>
    </row>
    <row r="1272" spans="1:18" x14ac:dyDescent="0.25">
      <c r="A1272">
        <f>IF(AND(B1272="", D1272&lt;&gt;""), A1271, A1271+1)</f>
        <v>1266</v>
      </c>
      <c r="R1272" t="b">
        <f>AND(ISNUMBER(FIND($E1272,Tables!$I$2)), ISNUMBER(FIND($D1272,Tables!$J$2)), $E1272&lt;&gt;"")</f>
        <v>0</v>
      </c>
    </row>
    <row r="1273" spans="1:18" x14ac:dyDescent="0.25">
      <c r="A1273">
        <f>IF(AND(B1273="", D1273&lt;&gt;""), A1272, A1272+1)</f>
        <v>1267</v>
      </c>
      <c r="R1273" t="b">
        <f>AND(ISNUMBER(FIND($E1273,Tables!$I$2)), ISNUMBER(FIND($D1273,Tables!$J$2)), $E1273&lt;&gt;"")</f>
        <v>0</v>
      </c>
    </row>
    <row r="1274" spans="1:18" x14ac:dyDescent="0.25">
      <c r="A1274">
        <f>IF(AND(B1274="", D1274&lt;&gt;""), A1273, A1273+1)</f>
        <v>1268</v>
      </c>
      <c r="R1274" t="b">
        <f>AND(ISNUMBER(FIND($E1274,Tables!$I$2)), ISNUMBER(FIND($D1274,Tables!$J$2)), $E1274&lt;&gt;"")</f>
        <v>0</v>
      </c>
    </row>
    <row r="1275" spans="1:18" x14ac:dyDescent="0.25">
      <c r="A1275">
        <f>IF(AND(B1275="", D1275&lt;&gt;""), A1274, A1274+1)</f>
        <v>1269</v>
      </c>
      <c r="R1275" t="b">
        <f>AND(ISNUMBER(FIND($E1275,Tables!$I$2)), ISNUMBER(FIND($D1275,Tables!$J$2)), $E1275&lt;&gt;"")</f>
        <v>0</v>
      </c>
    </row>
    <row r="1276" spans="1:18" x14ac:dyDescent="0.25">
      <c r="A1276">
        <f>IF(AND(B1276="", D1276&lt;&gt;""), A1275, A1275+1)</f>
        <v>1270</v>
      </c>
      <c r="R1276" t="b">
        <f>AND(ISNUMBER(FIND($E1276,Tables!$I$2)), ISNUMBER(FIND($D1276,Tables!$J$2)), $E1276&lt;&gt;"")</f>
        <v>0</v>
      </c>
    </row>
    <row r="1277" spans="1:18" x14ac:dyDescent="0.25">
      <c r="A1277">
        <f>IF(AND(B1277="", D1277&lt;&gt;""), A1276, A1276+1)</f>
        <v>1271</v>
      </c>
      <c r="R1277" t="b">
        <f>AND(ISNUMBER(FIND($E1277,Tables!$I$2)), ISNUMBER(FIND($D1277,Tables!$J$2)), $E1277&lt;&gt;"")</f>
        <v>0</v>
      </c>
    </row>
    <row r="1278" spans="1:18" x14ac:dyDescent="0.25">
      <c r="A1278">
        <f>IF(AND(B1278="", D1278&lt;&gt;""), A1277, A1277+1)</f>
        <v>1272</v>
      </c>
      <c r="R1278" t="b">
        <f>AND(ISNUMBER(FIND($E1278,Tables!$I$2)), ISNUMBER(FIND($D1278,Tables!$J$2)), $E1278&lt;&gt;"")</f>
        <v>0</v>
      </c>
    </row>
    <row r="1279" spans="1:18" x14ac:dyDescent="0.25">
      <c r="A1279">
        <f>IF(AND(B1279="", D1279&lt;&gt;""), A1278, A1278+1)</f>
        <v>1273</v>
      </c>
      <c r="R1279" t="b">
        <f>AND(ISNUMBER(FIND($E1279,Tables!$I$2)), ISNUMBER(FIND($D1279,Tables!$J$2)), $E1279&lt;&gt;"")</f>
        <v>0</v>
      </c>
    </row>
    <row r="1280" spans="1:18" x14ac:dyDescent="0.25">
      <c r="A1280">
        <f>IF(AND(B1280="", D1280&lt;&gt;""), A1279, A1279+1)</f>
        <v>1274</v>
      </c>
      <c r="R1280" t="b">
        <f>AND(ISNUMBER(FIND($E1280,Tables!$I$2)), ISNUMBER(FIND($D1280,Tables!$J$2)), $E1280&lt;&gt;"")</f>
        <v>0</v>
      </c>
    </row>
    <row r="1281" spans="1:18" x14ac:dyDescent="0.25">
      <c r="A1281">
        <f>IF(AND(B1281="", D1281&lt;&gt;""), A1280, A1280+1)</f>
        <v>1275</v>
      </c>
      <c r="R1281" t="b">
        <f>AND(ISNUMBER(FIND($E1281,Tables!$I$2)), ISNUMBER(FIND($D1281,Tables!$J$2)), $E1281&lt;&gt;"")</f>
        <v>0</v>
      </c>
    </row>
    <row r="1282" spans="1:18" x14ac:dyDescent="0.25">
      <c r="A1282">
        <f>IF(AND(B1282="", D1282&lt;&gt;""), A1281, A1281+1)</f>
        <v>1276</v>
      </c>
      <c r="R1282" t="b">
        <f>AND(ISNUMBER(FIND($E1282,Tables!$I$2)), ISNUMBER(FIND($D1282,Tables!$J$2)), $E1282&lt;&gt;"")</f>
        <v>0</v>
      </c>
    </row>
    <row r="1283" spans="1:18" x14ac:dyDescent="0.25">
      <c r="A1283">
        <f>IF(AND(B1283="", D1283&lt;&gt;""), A1282, A1282+1)</f>
        <v>1277</v>
      </c>
      <c r="R1283" t="b">
        <f>AND(ISNUMBER(FIND($E1283,Tables!$I$2)), ISNUMBER(FIND($D1283,Tables!$J$2)), $E1283&lt;&gt;"")</f>
        <v>0</v>
      </c>
    </row>
    <row r="1284" spans="1:18" x14ac:dyDescent="0.25">
      <c r="A1284">
        <f>IF(AND(B1284="", D1284&lt;&gt;""), A1283, A1283+1)</f>
        <v>1278</v>
      </c>
      <c r="R1284" t="b">
        <f>AND(ISNUMBER(FIND($E1284,Tables!$I$2)), ISNUMBER(FIND($D1284,Tables!$J$2)), $E1284&lt;&gt;"")</f>
        <v>0</v>
      </c>
    </row>
    <row r="1285" spans="1:18" x14ac:dyDescent="0.25">
      <c r="A1285">
        <f>IF(AND(B1285="", D1285&lt;&gt;""), A1284, A1284+1)</f>
        <v>1279</v>
      </c>
      <c r="R1285" t="b">
        <f>AND(ISNUMBER(FIND($E1285,Tables!$I$2)), ISNUMBER(FIND($D1285,Tables!$J$2)), $E1285&lt;&gt;"")</f>
        <v>0</v>
      </c>
    </row>
    <row r="1286" spans="1:18" x14ac:dyDescent="0.25">
      <c r="A1286">
        <f>IF(AND(B1286="", D1286&lt;&gt;""), A1285, A1285+1)</f>
        <v>1280</v>
      </c>
      <c r="R1286" t="b">
        <f>AND(ISNUMBER(FIND($E1286,Tables!$I$2)), ISNUMBER(FIND($D1286,Tables!$J$2)), $E1286&lt;&gt;"")</f>
        <v>0</v>
      </c>
    </row>
    <row r="1287" spans="1:18" x14ac:dyDescent="0.25">
      <c r="A1287">
        <f>IF(AND(B1287="", D1287&lt;&gt;""), A1286, A1286+1)</f>
        <v>1281</v>
      </c>
      <c r="R1287" t="b">
        <f>AND(ISNUMBER(FIND($E1287,Tables!$I$2)), ISNUMBER(FIND($D1287,Tables!$J$2)), $E1287&lt;&gt;"")</f>
        <v>0</v>
      </c>
    </row>
    <row r="1288" spans="1:18" x14ac:dyDescent="0.25">
      <c r="A1288">
        <f>IF(AND(B1288="", D1288&lt;&gt;""), A1287, A1287+1)</f>
        <v>1282</v>
      </c>
      <c r="R1288" t="b">
        <f>AND(ISNUMBER(FIND($E1288,Tables!$I$2)), ISNUMBER(FIND($D1288,Tables!$J$2)), $E1288&lt;&gt;"")</f>
        <v>0</v>
      </c>
    </row>
    <row r="1289" spans="1:18" x14ac:dyDescent="0.25">
      <c r="A1289">
        <f>IF(AND(B1289="", D1289&lt;&gt;""), A1288, A1288+1)</f>
        <v>1283</v>
      </c>
      <c r="R1289" t="b">
        <f>AND(ISNUMBER(FIND($E1289,Tables!$I$2)), ISNUMBER(FIND($D1289,Tables!$J$2)), $E1289&lt;&gt;"")</f>
        <v>0</v>
      </c>
    </row>
    <row r="1290" spans="1:18" x14ac:dyDescent="0.25">
      <c r="A1290">
        <f>IF(AND(B1290="", D1290&lt;&gt;""), A1289, A1289+1)</f>
        <v>1284</v>
      </c>
      <c r="R1290" t="b">
        <f>AND(ISNUMBER(FIND($E1290,Tables!$I$2)), ISNUMBER(FIND($D1290,Tables!$J$2)), $E1290&lt;&gt;"")</f>
        <v>0</v>
      </c>
    </row>
    <row r="1291" spans="1:18" x14ac:dyDescent="0.25">
      <c r="A1291">
        <f>IF(AND(B1291="", D1291&lt;&gt;""), A1290, A1290+1)</f>
        <v>1285</v>
      </c>
      <c r="R1291" t="b">
        <f>AND(ISNUMBER(FIND($E1291,Tables!$I$2)), ISNUMBER(FIND($D1291,Tables!$J$2)), $E1291&lt;&gt;"")</f>
        <v>0</v>
      </c>
    </row>
    <row r="1292" spans="1:18" x14ac:dyDescent="0.25">
      <c r="A1292">
        <f>IF(AND(B1292="", D1292&lt;&gt;""), A1291, A1291+1)</f>
        <v>1286</v>
      </c>
      <c r="R1292" t="b">
        <f>AND(ISNUMBER(FIND($E1292,Tables!$I$2)), ISNUMBER(FIND($D1292,Tables!$J$2)), $E1292&lt;&gt;"")</f>
        <v>0</v>
      </c>
    </row>
    <row r="1293" spans="1:18" x14ac:dyDescent="0.25">
      <c r="A1293">
        <f>IF(AND(B1293="", D1293&lt;&gt;""), A1292, A1292+1)</f>
        <v>1287</v>
      </c>
      <c r="R1293" t="b">
        <f>AND(ISNUMBER(FIND($E1293,Tables!$I$2)), ISNUMBER(FIND($D1293,Tables!$J$2)), $E1293&lt;&gt;"")</f>
        <v>0</v>
      </c>
    </row>
    <row r="1294" spans="1:18" x14ac:dyDescent="0.25">
      <c r="A1294">
        <f>IF(AND(B1294="", D1294&lt;&gt;""), A1293, A1293+1)</f>
        <v>1288</v>
      </c>
      <c r="R1294" t="b">
        <f>AND(ISNUMBER(FIND($E1294,Tables!$I$2)), ISNUMBER(FIND($D1294,Tables!$J$2)), $E1294&lt;&gt;"")</f>
        <v>0</v>
      </c>
    </row>
    <row r="1295" spans="1:18" x14ac:dyDescent="0.25">
      <c r="A1295">
        <f>IF(AND(B1295="", D1295&lt;&gt;""), A1294, A1294+1)</f>
        <v>1289</v>
      </c>
      <c r="R1295" t="b">
        <f>AND(ISNUMBER(FIND($E1295,Tables!$I$2)), ISNUMBER(FIND($D1295,Tables!$J$2)), $E1295&lt;&gt;"")</f>
        <v>0</v>
      </c>
    </row>
    <row r="1296" spans="1:18" x14ac:dyDescent="0.25">
      <c r="A1296">
        <f>IF(AND(B1296="", D1296&lt;&gt;""), A1295, A1295+1)</f>
        <v>1290</v>
      </c>
      <c r="R1296" t="b">
        <f>AND(ISNUMBER(FIND($E1296,Tables!$I$2)), ISNUMBER(FIND($D1296,Tables!$J$2)), $E1296&lt;&gt;"")</f>
        <v>0</v>
      </c>
    </row>
    <row r="1297" spans="1:18" x14ac:dyDescent="0.25">
      <c r="A1297">
        <f>IF(AND(B1297="", D1297&lt;&gt;""), A1296, A1296+1)</f>
        <v>1291</v>
      </c>
      <c r="R1297" t="b">
        <f>AND(ISNUMBER(FIND($E1297,Tables!$I$2)), ISNUMBER(FIND($D1297,Tables!$J$2)), $E1297&lt;&gt;"")</f>
        <v>0</v>
      </c>
    </row>
    <row r="1298" spans="1:18" x14ac:dyDescent="0.25">
      <c r="A1298">
        <f>IF(AND(B1298="", D1298&lt;&gt;""), A1297, A1297+1)</f>
        <v>1292</v>
      </c>
      <c r="R1298" t="b">
        <f>AND(ISNUMBER(FIND($E1298,Tables!$I$2)), ISNUMBER(FIND($D1298,Tables!$J$2)), $E1298&lt;&gt;"")</f>
        <v>0</v>
      </c>
    </row>
    <row r="1299" spans="1:18" x14ac:dyDescent="0.25">
      <c r="A1299">
        <f>IF(AND(B1299="", D1299&lt;&gt;""), A1298, A1298+1)</f>
        <v>1293</v>
      </c>
      <c r="R1299" t="b">
        <f>AND(ISNUMBER(FIND($E1299,Tables!$I$2)), ISNUMBER(FIND($D1299,Tables!$J$2)), $E1299&lt;&gt;"")</f>
        <v>0</v>
      </c>
    </row>
    <row r="1300" spans="1:18" x14ac:dyDescent="0.25">
      <c r="A1300">
        <f>IF(AND(B1300="", D1300&lt;&gt;""), A1299, A1299+1)</f>
        <v>1294</v>
      </c>
      <c r="R1300" t="b">
        <f>AND(ISNUMBER(FIND($E1300,Tables!$I$2)), ISNUMBER(FIND($D1300,Tables!$J$2)), $E1300&lt;&gt;"")</f>
        <v>0</v>
      </c>
    </row>
    <row r="1301" spans="1:18" x14ac:dyDescent="0.25">
      <c r="A1301">
        <f>IF(AND(B1301="", D1301&lt;&gt;""), A1300, A1300+1)</f>
        <v>1295</v>
      </c>
      <c r="R1301" t="b">
        <f>AND(ISNUMBER(FIND($E1301,Tables!$I$2)), ISNUMBER(FIND($D1301,Tables!$J$2)), $E1301&lt;&gt;"")</f>
        <v>0</v>
      </c>
    </row>
    <row r="1302" spans="1:18" x14ac:dyDescent="0.25">
      <c r="A1302">
        <f>IF(AND(B1302="", D1302&lt;&gt;""), A1301, A1301+1)</f>
        <v>1296</v>
      </c>
      <c r="R1302" t="b">
        <f>AND(ISNUMBER(FIND($E1302,Tables!$I$2)), ISNUMBER(FIND($D1302,Tables!$J$2)), $E1302&lt;&gt;"")</f>
        <v>0</v>
      </c>
    </row>
    <row r="1303" spans="1:18" x14ac:dyDescent="0.25">
      <c r="A1303">
        <f>IF(AND(B1303="", D1303&lt;&gt;""), A1302, A1302+1)</f>
        <v>1297</v>
      </c>
      <c r="R1303" t="b">
        <f>AND(ISNUMBER(FIND($E1303,Tables!$I$2)), ISNUMBER(FIND($D1303,Tables!$J$2)), $E1303&lt;&gt;"")</f>
        <v>0</v>
      </c>
    </row>
    <row r="1304" spans="1:18" x14ac:dyDescent="0.25">
      <c r="A1304">
        <f>IF(AND(B1304="", D1304&lt;&gt;""), A1303, A1303+1)</f>
        <v>1298</v>
      </c>
      <c r="R1304" t="b">
        <f>AND(ISNUMBER(FIND($E1304,Tables!$I$2)), ISNUMBER(FIND($D1304,Tables!$J$2)), $E1304&lt;&gt;"")</f>
        <v>0</v>
      </c>
    </row>
    <row r="1305" spans="1:18" x14ac:dyDescent="0.25">
      <c r="A1305">
        <f>IF(AND(B1305="", D1305&lt;&gt;""), A1304, A1304+1)</f>
        <v>1299</v>
      </c>
      <c r="R1305" t="b">
        <f>AND(ISNUMBER(FIND($E1305,Tables!$I$2)), ISNUMBER(FIND($D1305,Tables!$J$2)), $E1305&lt;&gt;"")</f>
        <v>0</v>
      </c>
    </row>
    <row r="1306" spans="1:18" x14ac:dyDescent="0.25">
      <c r="A1306">
        <f>IF(AND(B1306="", D1306&lt;&gt;""), A1305, A1305+1)</f>
        <v>1300</v>
      </c>
      <c r="R1306" t="b">
        <f>AND(ISNUMBER(FIND($E1306,Tables!$I$2)), ISNUMBER(FIND($D1306,Tables!$J$2)), $E1306&lt;&gt;"")</f>
        <v>0</v>
      </c>
    </row>
    <row r="1307" spans="1:18" x14ac:dyDescent="0.25">
      <c r="A1307">
        <f>IF(AND(B1307="", D1307&lt;&gt;""), A1306, A1306+1)</f>
        <v>1301</v>
      </c>
      <c r="R1307" t="b">
        <f>AND(ISNUMBER(FIND($E1307,Tables!$I$2)), ISNUMBER(FIND($D1307,Tables!$J$2)), $E1307&lt;&gt;"")</f>
        <v>0</v>
      </c>
    </row>
    <row r="1308" spans="1:18" x14ac:dyDescent="0.25">
      <c r="A1308">
        <f>IF(AND(B1308="", D1308&lt;&gt;""), A1307, A1307+1)</f>
        <v>1302</v>
      </c>
      <c r="R1308" t="b">
        <f>AND(ISNUMBER(FIND($E1308,Tables!$I$2)), ISNUMBER(FIND($D1308,Tables!$J$2)), $E1308&lt;&gt;"")</f>
        <v>0</v>
      </c>
    </row>
    <row r="1309" spans="1:18" x14ac:dyDescent="0.25">
      <c r="A1309">
        <f>IF(AND(B1309="", D1309&lt;&gt;""), A1308, A1308+1)</f>
        <v>1303</v>
      </c>
      <c r="R1309" t="b">
        <f>AND(ISNUMBER(FIND($E1309,Tables!$I$2)), ISNUMBER(FIND($D1309,Tables!$J$2)), $E1309&lt;&gt;"")</f>
        <v>0</v>
      </c>
    </row>
    <row r="1310" spans="1:18" x14ac:dyDescent="0.25">
      <c r="A1310">
        <f>IF(AND(B1310="", D1310&lt;&gt;""), A1309, A1309+1)</f>
        <v>1304</v>
      </c>
      <c r="R1310" t="b">
        <f>AND(ISNUMBER(FIND($E1310,Tables!$I$2)), ISNUMBER(FIND($D1310,Tables!$J$2)), $E1310&lt;&gt;"")</f>
        <v>0</v>
      </c>
    </row>
    <row r="1311" spans="1:18" x14ac:dyDescent="0.25">
      <c r="A1311">
        <f>IF(AND(B1311="", D1311&lt;&gt;""), A1310, A1310+1)</f>
        <v>1305</v>
      </c>
      <c r="R1311" t="b">
        <f>AND(ISNUMBER(FIND($E1311,Tables!$I$2)), ISNUMBER(FIND($D1311,Tables!$J$2)), $E1311&lt;&gt;"")</f>
        <v>0</v>
      </c>
    </row>
    <row r="1312" spans="1:18" x14ac:dyDescent="0.25">
      <c r="A1312">
        <f>IF(AND(B1312="", D1312&lt;&gt;""), A1311, A1311+1)</f>
        <v>1306</v>
      </c>
      <c r="R1312" t="b">
        <f>AND(ISNUMBER(FIND($E1312,Tables!$I$2)), ISNUMBER(FIND($D1312,Tables!$J$2)), $E1312&lt;&gt;"")</f>
        <v>0</v>
      </c>
    </row>
    <row r="1313" spans="1:18" x14ac:dyDescent="0.25">
      <c r="A1313">
        <f>IF(AND(B1313="", D1313&lt;&gt;""), A1312, A1312+1)</f>
        <v>1307</v>
      </c>
      <c r="R1313" t="b">
        <f>AND(ISNUMBER(FIND($E1313,Tables!$I$2)), ISNUMBER(FIND($D1313,Tables!$J$2)), $E1313&lt;&gt;"")</f>
        <v>0</v>
      </c>
    </row>
    <row r="1314" spans="1:18" x14ac:dyDescent="0.25">
      <c r="A1314">
        <f>IF(AND(B1314="", D1314&lt;&gt;""), A1313, A1313+1)</f>
        <v>1308</v>
      </c>
      <c r="R1314" t="b">
        <f>AND(ISNUMBER(FIND($E1314,Tables!$I$2)), ISNUMBER(FIND($D1314,Tables!$J$2)), $E1314&lt;&gt;"")</f>
        <v>0</v>
      </c>
    </row>
    <row r="1315" spans="1:18" x14ac:dyDescent="0.25">
      <c r="A1315">
        <f>IF(AND(B1315="", D1315&lt;&gt;""), A1314, A1314+1)</f>
        <v>1309</v>
      </c>
      <c r="R1315" t="b">
        <f>AND(ISNUMBER(FIND($E1315,Tables!$I$2)), ISNUMBER(FIND($D1315,Tables!$J$2)), $E1315&lt;&gt;"")</f>
        <v>0</v>
      </c>
    </row>
    <row r="1316" spans="1:18" x14ac:dyDescent="0.25">
      <c r="A1316">
        <f>IF(AND(B1316="", D1316&lt;&gt;""), A1315, A1315+1)</f>
        <v>1310</v>
      </c>
      <c r="R1316" t="b">
        <f>AND(ISNUMBER(FIND($E1316,Tables!$I$2)), ISNUMBER(FIND($D1316,Tables!$J$2)), $E1316&lt;&gt;"")</f>
        <v>0</v>
      </c>
    </row>
    <row r="1317" spans="1:18" x14ac:dyDescent="0.25">
      <c r="A1317">
        <f>IF(AND(B1317="", D1317&lt;&gt;""), A1316, A1316+1)</f>
        <v>1311</v>
      </c>
      <c r="R1317" t="b">
        <f>AND(ISNUMBER(FIND($E1317,Tables!$I$2)), ISNUMBER(FIND($D1317,Tables!$J$2)), $E1317&lt;&gt;"")</f>
        <v>0</v>
      </c>
    </row>
    <row r="1318" spans="1:18" x14ac:dyDescent="0.25">
      <c r="A1318">
        <f>IF(AND(B1318="", D1318&lt;&gt;""), A1317, A1317+1)</f>
        <v>1312</v>
      </c>
      <c r="R1318" t="b">
        <f>AND(ISNUMBER(FIND($E1318,Tables!$I$2)), ISNUMBER(FIND($D1318,Tables!$J$2)), $E1318&lt;&gt;"")</f>
        <v>0</v>
      </c>
    </row>
    <row r="1319" spans="1:18" x14ac:dyDescent="0.25">
      <c r="A1319">
        <f>IF(AND(B1319="", D1319&lt;&gt;""), A1318, A1318+1)</f>
        <v>1313</v>
      </c>
      <c r="R1319" t="b">
        <f>AND(ISNUMBER(FIND($E1319,Tables!$I$2)), ISNUMBER(FIND($D1319,Tables!$J$2)), $E1319&lt;&gt;"")</f>
        <v>0</v>
      </c>
    </row>
    <row r="1320" spans="1:18" x14ac:dyDescent="0.25">
      <c r="A1320">
        <f>IF(AND(B1320="", D1320&lt;&gt;""), A1319, A1319+1)</f>
        <v>1314</v>
      </c>
      <c r="R1320" t="b">
        <f>AND(ISNUMBER(FIND($E1320,Tables!$I$2)), ISNUMBER(FIND($D1320,Tables!$J$2)), $E1320&lt;&gt;"")</f>
        <v>0</v>
      </c>
    </row>
    <row r="1321" spans="1:18" x14ac:dyDescent="0.25">
      <c r="A1321">
        <f>IF(AND(B1321="", D1321&lt;&gt;""), A1320, A1320+1)</f>
        <v>1315</v>
      </c>
      <c r="R1321" t="b">
        <f>AND(ISNUMBER(FIND($E1321,Tables!$I$2)), ISNUMBER(FIND($D1321,Tables!$J$2)), $E1321&lt;&gt;"")</f>
        <v>0</v>
      </c>
    </row>
    <row r="1322" spans="1:18" x14ac:dyDescent="0.25">
      <c r="A1322">
        <f>IF(AND(B1322="", D1322&lt;&gt;""), A1321, A1321+1)</f>
        <v>1316</v>
      </c>
      <c r="R1322" t="b">
        <f>AND(ISNUMBER(FIND($E1322,Tables!$I$2)), ISNUMBER(FIND($D1322,Tables!$J$2)), $E1322&lt;&gt;"")</f>
        <v>0</v>
      </c>
    </row>
    <row r="1323" spans="1:18" x14ac:dyDescent="0.25">
      <c r="A1323">
        <f>IF(AND(B1323="", D1323&lt;&gt;""), A1322, A1322+1)</f>
        <v>1317</v>
      </c>
      <c r="R1323" t="b">
        <f>AND(ISNUMBER(FIND($E1323,Tables!$I$2)), ISNUMBER(FIND($D1323,Tables!$J$2)), $E1323&lt;&gt;"")</f>
        <v>0</v>
      </c>
    </row>
    <row r="1324" spans="1:18" x14ac:dyDescent="0.25">
      <c r="A1324">
        <f>IF(AND(B1324="", D1324&lt;&gt;""), A1323, A1323+1)</f>
        <v>1318</v>
      </c>
      <c r="R1324" t="b">
        <f>AND(ISNUMBER(FIND($E1324,Tables!$I$2)), ISNUMBER(FIND($D1324,Tables!$J$2)), $E1324&lt;&gt;"")</f>
        <v>0</v>
      </c>
    </row>
    <row r="1325" spans="1:18" x14ac:dyDescent="0.25">
      <c r="A1325">
        <f>IF(AND(B1325="", D1325&lt;&gt;""), A1324, A1324+1)</f>
        <v>1319</v>
      </c>
      <c r="R1325" t="b">
        <f>AND(ISNUMBER(FIND($E1325,Tables!$I$2)), ISNUMBER(FIND($D1325,Tables!$J$2)), $E1325&lt;&gt;"")</f>
        <v>0</v>
      </c>
    </row>
    <row r="1326" spans="1:18" x14ac:dyDescent="0.25">
      <c r="A1326">
        <f>IF(AND(B1326="", D1326&lt;&gt;""), A1325, A1325+1)</f>
        <v>1320</v>
      </c>
      <c r="R1326" t="b">
        <f>AND(ISNUMBER(FIND($E1326,Tables!$I$2)), ISNUMBER(FIND($D1326,Tables!$J$2)), $E1326&lt;&gt;"")</f>
        <v>0</v>
      </c>
    </row>
    <row r="1327" spans="1:18" x14ac:dyDescent="0.25">
      <c r="A1327">
        <f>IF(AND(B1327="", D1327&lt;&gt;""), A1326, A1326+1)</f>
        <v>1321</v>
      </c>
      <c r="R1327" t="b">
        <f>AND(ISNUMBER(FIND($E1327,Tables!$I$2)), ISNUMBER(FIND($D1327,Tables!$J$2)), $E1327&lt;&gt;"")</f>
        <v>0</v>
      </c>
    </row>
    <row r="1328" spans="1:18" x14ac:dyDescent="0.25">
      <c r="A1328">
        <f>IF(AND(B1328="", D1328&lt;&gt;""), A1327, A1327+1)</f>
        <v>1322</v>
      </c>
      <c r="R1328" t="b">
        <f>AND(ISNUMBER(FIND($E1328,Tables!$I$2)), ISNUMBER(FIND($D1328,Tables!$J$2)), $E1328&lt;&gt;"")</f>
        <v>0</v>
      </c>
    </row>
    <row r="1329" spans="1:18" x14ac:dyDescent="0.25">
      <c r="A1329">
        <f>IF(AND(B1329="", D1329&lt;&gt;""), A1328, A1328+1)</f>
        <v>1323</v>
      </c>
      <c r="R1329" t="b">
        <f>AND(ISNUMBER(FIND($E1329,Tables!$I$2)), ISNUMBER(FIND($D1329,Tables!$J$2)), $E1329&lt;&gt;"")</f>
        <v>0</v>
      </c>
    </row>
    <row r="1330" spans="1:18" x14ac:dyDescent="0.25">
      <c r="A1330">
        <f>IF(AND(B1330="", D1330&lt;&gt;""), A1329, A1329+1)</f>
        <v>1324</v>
      </c>
      <c r="R1330" t="b">
        <f>AND(ISNUMBER(FIND($E1330,Tables!$I$2)), ISNUMBER(FIND($D1330,Tables!$J$2)), $E1330&lt;&gt;"")</f>
        <v>0</v>
      </c>
    </row>
    <row r="1331" spans="1:18" x14ac:dyDescent="0.25">
      <c r="A1331">
        <f>IF(AND(B1331="", D1331&lt;&gt;""), A1330, A1330+1)</f>
        <v>1325</v>
      </c>
      <c r="R1331" t="b">
        <f>AND(ISNUMBER(FIND($E1331,Tables!$I$2)), ISNUMBER(FIND($D1331,Tables!$J$2)), $E1331&lt;&gt;"")</f>
        <v>0</v>
      </c>
    </row>
    <row r="1332" spans="1:18" x14ac:dyDescent="0.25">
      <c r="A1332">
        <f>IF(AND(B1332="", D1332&lt;&gt;""), A1331, A1331+1)</f>
        <v>1326</v>
      </c>
      <c r="R1332" t="b">
        <f>AND(ISNUMBER(FIND($E1332,Tables!$I$2)), ISNUMBER(FIND($D1332,Tables!$J$2)), $E1332&lt;&gt;"")</f>
        <v>0</v>
      </c>
    </row>
    <row r="1333" spans="1:18" x14ac:dyDescent="0.25">
      <c r="A1333">
        <f>IF(AND(B1333="", D1333&lt;&gt;""), A1332, A1332+1)</f>
        <v>1327</v>
      </c>
      <c r="R1333" t="b">
        <f>AND(ISNUMBER(FIND($E1333,Tables!$I$2)), ISNUMBER(FIND($D1333,Tables!$J$2)), $E1333&lt;&gt;"")</f>
        <v>0</v>
      </c>
    </row>
    <row r="1334" spans="1:18" x14ac:dyDescent="0.25">
      <c r="A1334">
        <f>IF(AND(B1334="", D1334&lt;&gt;""), A1333, A1333+1)</f>
        <v>1328</v>
      </c>
      <c r="R1334" t="b">
        <f>AND(ISNUMBER(FIND($E1334,Tables!$I$2)), ISNUMBER(FIND($D1334,Tables!$J$2)), $E1334&lt;&gt;"")</f>
        <v>0</v>
      </c>
    </row>
    <row r="1335" spans="1:18" x14ac:dyDescent="0.25">
      <c r="A1335">
        <f>IF(AND(B1335="", D1335&lt;&gt;""), A1334, A1334+1)</f>
        <v>1329</v>
      </c>
      <c r="R1335" t="b">
        <f>AND(ISNUMBER(FIND($E1335,Tables!$I$2)), ISNUMBER(FIND($D1335,Tables!$J$2)), $E1335&lt;&gt;"")</f>
        <v>0</v>
      </c>
    </row>
    <row r="1336" spans="1:18" x14ac:dyDescent="0.25">
      <c r="A1336">
        <f>IF(AND(B1336="", D1336&lt;&gt;""), A1335, A1335+1)</f>
        <v>1330</v>
      </c>
      <c r="R1336" t="b">
        <f>AND(ISNUMBER(FIND($E1336,Tables!$I$2)), ISNUMBER(FIND($D1336,Tables!$J$2)), $E1336&lt;&gt;"")</f>
        <v>0</v>
      </c>
    </row>
    <row r="1337" spans="1:18" x14ac:dyDescent="0.25">
      <c r="A1337">
        <f>IF(AND(B1337="", D1337&lt;&gt;""), A1336, A1336+1)</f>
        <v>1331</v>
      </c>
      <c r="R1337" t="b">
        <f>AND(ISNUMBER(FIND($E1337,Tables!$I$2)), ISNUMBER(FIND($D1337,Tables!$J$2)), $E1337&lt;&gt;"")</f>
        <v>0</v>
      </c>
    </row>
    <row r="1338" spans="1:18" x14ac:dyDescent="0.25">
      <c r="A1338">
        <f>IF(AND(B1338="", D1338&lt;&gt;""), A1337, A1337+1)</f>
        <v>1332</v>
      </c>
      <c r="R1338" t="b">
        <f>AND(ISNUMBER(FIND($E1338,Tables!$I$2)), ISNUMBER(FIND($D1338,Tables!$J$2)), $E1338&lt;&gt;"")</f>
        <v>0</v>
      </c>
    </row>
    <row r="1339" spans="1:18" x14ac:dyDescent="0.25">
      <c r="A1339">
        <f>IF(AND(B1339="", D1339&lt;&gt;""), A1338, A1338+1)</f>
        <v>1333</v>
      </c>
      <c r="R1339" t="b">
        <f>AND(ISNUMBER(FIND($E1339,Tables!$I$2)), ISNUMBER(FIND($D1339,Tables!$J$2)), $E1339&lt;&gt;"")</f>
        <v>0</v>
      </c>
    </row>
    <row r="1340" spans="1:18" x14ac:dyDescent="0.25">
      <c r="A1340">
        <f>IF(AND(B1340="", D1340&lt;&gt;""), A1339, A1339+1)</f>
        <v>1334</v>
      </c>
      <c r="R1340" t="b">
        <f>AND(ISNUMBER(FIND($E1340,Tables!$I$2)), ISNUMBER(FIND($D1340,Tables!$J$2)), $E1340&lt;&gt;"")</f>
        <v>0</v>
      </c>
    </row>
    <row r="1341" spans="1:18" x14ac:dyDescent="0.25">
      <c r="A1341">
        <f>IF(AND(B1341="", D1341&lt;&gt;""), A1340, A1340+1)</f>
        <v>1335</v>
      </c>
      <c r="R1341" t="b">
        <f>AND(ISNUMBER(FIND($E1341,Tables!$I$2)), ISNUMBER(FIND($D1341,Tables!$J$2)), $E1341&lt;&gt;"")</f>
        <v>0</v>
      </c>
    </row>
    <row r="1342" spans="1:18" x14ac:dyDescent="0.25">
      <c r="A1342">
        <f>IF(AND(B1342="", D1342&lt;&gt;""), A1341, A1341+1)</f>
        <v>1336</v>
      </c>
      <c r="R1342" t="b">
        <f>AND(ISNUMBER(FIND($E1342,Tables!$I$2)), ISNUMBER(FIND($D1342,Tables!$J$2)), $E1342&lt;&gt;"")</f>
        <v>0</v>
      </c>
    </row>
    <row r="1343" spans="1:18" x14ac:dyDescent="0.25">
      <c r="A1343">
        <f>IF(AND(B1343="", D1343&lt;&gt;""), A1342, A1342+1)</f>
        <v>1337</v>
      </c>
      <c r="R1343" t="b">
        <f>AND(ISNUMBER(FIND($E1343,Tables!$I$2)), ISNUMBER(FIND($D1343,Tables!$J$2)), $E1343&lt;&gt;"")</f>
        <v>0</v>
      </c>
    </row>
    <row r="1344" spans="1:18" x14ac:dyDescent="0.25">
      <c r="A1344">
        <f>IF(AND(B1344="", D1344&lt;&gt;""), A1343, A1343+1)</f>
        <v>1338</v>
      </c>
      <c r="R1344" t="b">
        <f>AND(ISNUMBER(FIND($E1344,Tables!$I$2)), ISNUMBER(FIND($D1344,Tables!$J$2)), $E1344&lt;&gt;"")</f>
        <v>0</v>
      </c>
    </row>
    <row r="1345" spans="1:18" x14ac:dyDescent="0.25">
      <c r="A1345">
        <f>IF(AND(B1345="", D1345&lt;&gt;""), A1344, A1344+1)</f>
        <v>1339</v>
      </c>
      <c r="R1345" t="b">
        <f>AND(ISNUMBER(FIND($E1345,Tables!$I$2)), ISNUMBER(FIND($D1345,Tables!$J$2)), $E1345&lt;&gt;"")</f>
        <v>0</v>
      </c>
    </row>
    <row r="1346" spans="1:18" x14ac:dyDescent="0.25">
      <c r="A1346">
        <f>IF(AND(B1346="", D1346&lt;&gt;""), A1345, A1345+1)</f>
        <v>1340</v>
      </c>
      <c r="R1346" t="b">
        <f>AND(ISNUMBER(FIND($E1346,Tables!$I$2)), ISNUMBER(FIND($D1346,Tables!$J$2)), $E1346&lt;&gt;"")</f>
        <v>0</v>
      </c>
    </row>
    <row r="1347" spans="1:18" x14ac:dyDescent="0.25">
      <c r="A1347">
        <f>IF(AND(B1347="", D1347&lt;&gt;""), A1346, A1346+1)</f>
        <v>1341</v>
      </c>
      <c r="R1347" t="b">
        <f>AND(ISNUMBER(FIND($E1347,Tables!$I$2)), ISNUMBER(FIND($D1347,Tables!$J$2)), $E1347&lt;&gt;"")</f>
        <v>0</v>
      </c>
    </row>
    <row r="1348" spans="1:18" x14ac:dyDescent="0.25">
      <c r="A1348">
        <f>IF(AND(B1348="", D1348&lt;&gt;""), A1347, A1347+1)</f>
        <v>1342</v>
      </c>
      <c r="R1348" t="b">
        <f>AND(ISNUMBER(FIND($E1348,Tables!$I$2)), ISNUMBER(FIND($D1348,Tables!$J$2)), $E1348&lt;&gt;"")</f>
        <v>0</v>
      </c>
    </row>
    <row r="1349" spans="1:18" x14ac:dyDescent="0.25">
      <c r="A1349">
        <f>IF(AND(B1349="", D1349&lt;&gt;""), A1348, A1348+1)</f>
        <v>1343</v>
      </c>
      <c r="R1349" t="b">
        <f>AND(ISNUMBER(FIND($E1349,Tables!$I$2)), ISNUMBER(FIND($D1349,Tables!$J$2)), $E1349&lt;&gt;"")</f>
        <v>0</v>
      </c>
    </row>
    <row r="1350" spans="1:18" x14ac:dyDescent="0.25">
      <c r="A1350">
        <f>IF(AND(B1350="", D1350&lt;&gt;""), A1349, A1349+1)</f>
        <v>1344</v>
      </c>
      <c r="R1350" t="b">
        <f>AND(ISNUMBER(FIND($E1350,Tables!$I$2)), ISNUMBER(FIND($D1350,Tables!$J$2)), $E1350&lt;&gt;"")</f>
        <v>0</v>
      </c>
    </row>
    <row r="1351" spans="1:18" x14ac:dyDescent="0.25">
      <c r="A1351">
        <f>IF(AND(B1351="", D1351&lt;&gt;""), A1350, A1350+1)</f>
        <v>1345</v>
      </c>
      <c r="R1351" t="b">
        <f>AND(ISNUMBER(FIND($E1351,Tables!$I$2)), ISNUMBER(FIND($D1351,Tables!$J$2)), $E1351&lt;&gt;"")</f>
        <v>0</v>
      </c>
    </row>
    <row r="1352" spans="1:18" x14ac:dyDescent="0.25">
      <c r="A1352">
        <f>IF(AND(B1352="", D1352&lt;&gt;""), A1351, A1351+1)</f>
        <v>1346</v>
      </c>
      <c r="R1352" t="b">
        <f>AND(ISNUMBER(FIND($E1352,Tables!$I$2)), ISNUMBER(FIND($D1352,Tables!$J$2)), $E1352&lt;&gt;"")</f>
        <v>0</v>
      </c>
    </row>
    <row r="1353" spans="1:18" x14ac:dyDescent="0.25">
      <c r="A1353">
        <f>IF(AND(B1353="", D1353&lt;&gt;""), A1352, A1352+1)</f>
        <v>1347</v>
      </c>
      <c r="R1353" t="b">
        <f>AND(ISNUMBER(FIND($E1353,Tables!$I$2)), ISNUMBER(FIND($D1353,Tables!$J$2)), $E1353&lt;&gt;"")</f>
        <v>0</v>
      </c>
    </row>
    <row r="1354" spans="1:18" x14ac:dyDescent="0.25">
      <c r="A1354">
        <f>IF(AND(B1354="", D1354&lt;&gt;""), A1353, A1353+1)</f>
        <v>1348</v>
      </c>
      <c r="R1354" t="b">
        <f>AND(ISNUMBER(FIND($E1354,Tables!$I$2)), ISNUMBER(FIND($D1354,Tables!$J$2)), $E1354&lt;&gt;"")</f>
        <v>0</v>
      </c>
    </row>
    <row r="1355" spans="1:18" x14ac:dyDescent="0.25">
      <c r="A1355">
        <f>IF(AND(B1355="", D1355&lt;&gt;""), A1354, A1354+1)</f>
        <v>1349</v>
      </c>
      <c r="R1355" t="b">
        <f>AND(ISNUMBER(FIND($E1355,Tables!$I$2)), ISNUMBER(FIND($D1355,Tables!$J$2)), $E1355&lt;&gt;"")</f>
        <v>0</v>
      </c>
    </row>
    <row r="1356" spans="1:18" x14ac:dyDescent="0.25">
      <c r="A1356">
        <f>IF(AND(B1356="", D1356&lt;&gt;""), A1355, A1355+1)</f>
        <v>1350</v>
      </c>
      <c r="R1356" t="b">
        <f>AND(ISNUMBER(FIND($E1356,Tables!$I$2)), ISNUMBER(FIND($D1356,Tables!$J$2)), $E1356&lt;&gt;"")</f>
        <v>0</v>
      </c>
    </row>
    <row r="1357" spans="1:18" x14ac:dyDescent="0.25">
      <c r="A1357">
        <f>IF(AND(B1357="", D1357&lt;&gt;""), A1356, A1356+1)</f>
        <v>1351</v>
      </c>
      <c r="R1357" t="b">
        <f>AND(ISNUMBER(FIND($E1357,Tables!$I$2)), ISNUMBER(FIND($D1357,Tables!$J$2)), $E1357&lt;&gt;"")</f>
        <v>0</v>
      </c>
    </row>
    <row r="1358" spans="1:18" x14ac:dyDescent="0.25">
      <c r="A1358">
        <f>IF(AND(B1358="", D1358&lt;&gt;""), A1357, A1357+1)</f>
        <v>1352</v>
      </c>
      <c r="R1358" t="b">
        <f>AND(ISNUMBER(FIND($E1358,Tables!$I$2)), ISNUMBER(FIND($D1358,Tables!$J$2)), $E1358&lt;&gt;"")</f>
        <v>0</v>
      </c>
    </row>
    <row r="1359" spans="1:18" x14ac:dyDescent="0.25">
      <c r="A1359">
        <f>IF(AND(B1359="", D1359&lt;&gt;""), A1358, A1358+1)</f>
        <v>1353</v>
      </c>
      <c r="R1359" t="b">
        <f>AND(ISNUMBER(FIND($E1359,Tables!$I$2)), ISNUMBER(FIND($D1359,Tables!$J$2)), $E1359&lt;&gt;"")</f>
        <v>0</v>
      </c>
    </row>
    <row r="1360" spans="1:18" x14ac:dyDescent="0.25">
      <c r="A1360">
        <f>IF(AND(B1360="", D1360&lt;&gt;""), A1359, A1359+1)</f>
        <v>1354</v>
      </c>
      <c r="R1360" t="b">
        <f>AND(ISNUMBER(FIND($E1360,Tables!$I$2)), ISNUMBER(FIND($D1360,Tables!$J$2)), $E1360&lt;&gt;"")</f>
        <v>0</v>
      </c>
    </row>
    <row r="1361" spans="1:18" x14ac:dyDescent="0.25">
      <c r="A1361">
        <f>IF(AND(B1361="", D1361&lt;&gt;""), A1360, A1360+1)</f>
        <v>1355</v>
      </c>
      <c r="R1361" t="b">
        <f>AND(ISNUMBER(FIND($E1361,Tables!$I$2)), ISNUMBER(FIND($D1361,Tables!$J$2)), $E1361&lt;&gt;"")</f>
        <v>0</v>
      </c>
    </row>
    <row r="1362" spans="1:18" x14ac:dyDescent="0.25">
      <c r="A1362">
        <f>IF(AND(B1362="", D1362&lt;&gt;""), A1361, A1361+1)</f>
        <v>1356</v>
      </c>
      <c r="R1362" t="b">
        <f>AND(ISNUMBER(FIND($E1362,Tables!$I$2)), ISNUMBER(FIND($D1362,Tables!$J$2)), $E1362&lt;&gt;"")</f>
        <v>0</v>
      </c>
    </row>
    <row r="1363" spans="1:18" x14ac:dyDescent="0.25">
      <c r="A1363">
        <f>IF(AND(B1363="", D1363&lt;&gt;""), A1362, A1362+1)</f>
        <v>1357</v>
      </c>
      <c r="R1363" t="b">
        <f>AND(ISNUMBER(FIND($E1363,Tables!$I$2)), ISNUMBER(FIND($D1363,Tables!$J$2)), $E1363&lt;&gt;"")</f>
        <v>0</v>
      </c>
    </row>
    <row r="1364" spans="1:18" x14ac:dyDescent="0.25">
      <c r="A1364">
        <f>IF(AND(B1364="", D1364&lt;&gt;""), A1363, A1363+1)</f>
        <v>1358</v>
      </c>
      <c r="R1364" t="b">
        <f>AND(ISNUMBER(FIND($E1364,Tables!$I$2)), ISNUMBER(FIND($D1364,Tables!$J$2)), $E1364&lt;&gt;"")</f>
        <v>0</v>
      </c>
    </row>
    <row r="1365" spans="1:18" x14ac:dyDescent="0.25">
      <c r="A1365">
        <f>IF(AND(B1365="", D1365&lt;&gt;""), A1364, A1364+1)</f>
        <v>1359</v>
      </c>
      <c r="R1365" t="b">
        <f>AND(ISNUMBER(FIND($E1365,Tables!$I$2)), ISNUMBER(FIND($D1365,Tables!$J$2)), $E1365&lt;&gt;"")</f>
        <v>0</v>
      </c>
    </row>
    <row r="1366" spans="1:18" x14ac:dyDescent="0.25">
      <c r="A1366">
        <f>IF(AND(B1366="", D1366&lt;&gt;""), A1365, A1365+1)</f>
        <v>1360</v>
      </c>
      <c r="R1366" t="b">
        <f>AND(ISNUMBER(FIND($E1366,Tables!$I$2)), ISNUMBER(FIND($D1366,Tables!$J$2)), $E1366&lt;&gt;"")</f>
        <v>0</v>
      </c>
    </row>
    <row r="1367" spans="1:18" x14ac:dyDescent="0.25">
      <c r="A1367">
        <f>IF(AND(B1367="", D1367&lt;&gt;""), A1366, A1366+1)</f>
        <v>1361</v>
      </c>
      <c r="R1367" t="b">
        <f>AND(ISNUMBER(FIND($E1367,Tables!$I$2)), ISNUMBER(FIND($D1367,Tables!$J$2)), $E1367&lt;&gt;"")</f>
        <v>0</v>
      </c>
    </row>
    <row r="1368" spans="1:18" x14ac:dyDescent="0.25">
      <c r="A1368">
        <f>IF(AND(B1368="", D1368&lt;&gt;""), A1367, A1367+1)</f>
        <v>1362</v>
      </c>
      <c r="R1368" t="b">
        <f>AND(ISNUMBER(FIND($E1368,Tables!$I$2)), ISNUMBER(FIND($D1368,Tables!$J$2)), $E1368&lt;&gt;"")</f>
        <v>0</v>
      </c>
    </row>
    <row r="1369" spans="1:18" x14ac:dyDescent="0.25">
      <c r="A1369">
        <f>IF(AND(B1369="", D1369&lt;&gt;""), A1368, A1368+1)</f>
        <v>1363</v>
      </c>
      <c r="R1369" t="b">
        <f>AND(ISNUMBER(FIND($E1369,Tables!$I$2)), ISNUMBER(FIND($D1369,Tables!$J$2)), $E1369&lt;&gt;"")</f>
        <v>0</v>
      </c>
    </row>
    <row r="1370" spans="1:18" x14ac:dyDescent="0.25">
      <c r="A1370">
        <f>IF(AND(B1370="", D1370&lt;&gt;""), A1369, A1369+1)</f>
        <v>1364</v>
      </c>
      <c r="R1370" t="b">
        <f>AND(ISNUMBER(FIND($E1370,Tables!$I$2)), ISNUMBER(FIND($D1370,Tables!$J$2)), $E1370&lt;&gt;"")</f>
        <v>0</v>
      </c>
    </row>
    <row r="1371" spans="1:18" x14ac:dyDescent="0.25">
      <c r="A1371">
        <f>IF(AND(B1371="", D1371&lt;&gt;""), A1370, A1370+1)</f>
        <v>1365</v>
      </c>
      <c r="R1371" t="b">
        <f>AND(ISNUMBER(FIND($E1371,Tables!$I$2)), ISNUMBER(FIND($D1371,Tables!$J$2)), $E1371&lt;&gt;"")</f>
        <v>0</v>
      </c>
    </row>
    <row r="1372" spans="1:18" x14ac:dyDescent="0.25">
      <c r="A1372">
        <f>IF(AND(B1372="", D1372&lt;&gt;""), A1371, A1371+1)</f>
        <v>1366</v>
      </c>
      <c r="R1372" t="b">
        <f>AND(ISNUMBER(FIND($E1372,Tables!$I$2)), ISNUMBER(FIND($D1372,Tables!$J$2)), $E1372&lt;&gt;"")</f>
        <v>0</v>
      </c>
    </row>
    <row r="1373" spans="1:18" x14ac:dyDescent="0.25">
      <c r="A1373">
        <f>IF(AND(B1373="", D1373&lt;&gt;""), A1372, A1372+1)</f>
        <v>1367</v>
      </c>
      <c r="R1373" t="b">
        <f>AND(ISNUMBER(FIND($E1373,Tables!$I$2)), ISNUMBER(FIND($D1373,Tables!$J$2)), $E1373&lt;&gt;"")</f>
        <v>0</v>
      </c>
    </row>
    <row r="1374" spans="1:18" x14ac:dyDescent="0.25">
      <c r="A1374">
        <f>IF(AND(B1374="", D1374&lt;&gt;""), A1373, A1373+1)</f>
        <v>1368</v>
      </c>
      <c r="R1374" t="b">
        <f>AND(ISNUMBER(FIND($E1374,Tables!$I$2)), ISNUMBER(FIND($D1374,Tables!$J$2)), $E1374&lt;&gt;"")</f>
        <v>0</v>
      </c>
    </row>
    <row r="1375" spans="1:18" x14ac:dyDescent="0.25">
      <c r="A1375">
        <f>IF(AND(B1375="", D1375&lt;&gt;""), A1374, A1374+1)</f>
        <v>1369</v>
      </c>
      <c r="R1375" t="b">
        <f>AND(ISNUMBER(FIND($E1375,Tables!$I$2)), ISNUMBER(FIND($D1375,Tables!$J$2)), $E1375&lt;&gt;"")</f>
        <v>0</v>
      </c>
    </row>
    <row r="1376" spans="1:18" x14ac:dyDescent="0.25">
      <c r="A1376">
        <f>IF(AND(B1376="", D1376&lt;&gt;""), A1375, A1375+1)</f>
        <v>1370</v>
      </c>
      <c r="R1376" t="b">
        <f>AND(ISNUMBER(FIND($E1376,Tables!$I$2)), ISNUMBER(FIND($D1376,Tables!$J$2)), $E1376&lt;&gt;"")</f>
        <v>0</v>
      </c>
    </row>
    <row r="1377" spans="1:18" x14ac:dyDescent="0.25">
      <c r="A1377">
        <f>IF(AND(B1377="", D1377&lt;&gt;""), A1376, A1376+1)</f>
        <v>1371</v>
      </c>
      <c r="R1377" t="b">
        <f>AND(ISNUMBER(FIND($E1377,Tables!$I$2)), ISNUMBER(FIND($D1377,Tables!$J$2)), $E1377&lt;&gt;"")</f>
        <v>0</v>
      </c>
    </row>
    <row r="1378" spans="1:18" x14ac:dyDescent="0.25">
      <c r="A1378">
        <f>IF(AND(B1378="", D1378&lt;&gt;""), A1377, A1377+1)</f>
        <v>1372</v>
      </c>
      <c r="R1378" t="b">
        <f>AND(ISNUMBER(FIND($E1378,Tables!$I$2)), ISNUMBER(FIND($D1378,Tables!$J$2)), $E1378&lt;&gt;"")</f>
        <v>0</v>
      </c>
    </row>
    <row r="1379" spans="1:18" x14ac:dyDescent="0.25">
      <c r="A1379">
        <f>IF(AND(B1379="", D1379&lt;&gt;""), A1378, A1378+1)</f>
        <v>1373</v>
      </c>
      <c r="R1379" t="b">
        <f>AND(ISNUMBER(FIND($E1379,Tables!$I$2)), ISNUMBER(FIND($D1379,Tables!$J$2)), $E1379&lt;&gt;"")</f>
        <v>0</v>
      </c>
    </row>
    <row r="1380" spans="1:18" x14ac:dyDescent="0.25">
      <c r="A1380">
        <f>IF(AND(B1380="", D1380&lt;&gt;""), A1379, A1379+1)</f>
        <v>1374</v>
      </c>
      <c r="R1380" t="b">
        <f>AND(ISNUMBER(FIND($E1380,Tables!$I$2)), ISNUMBER(FIND($D1380,Tables!$J$2)), $E1380&lt;&gt;"")</f>
        <v>0</v>
      </c>
    </row>
    <row r="1381" spans="1:18" x14ac:dyDescent="0.25">
      <c r="A1381">
        <f>IF(AND(B1381="", D1381&lt;&gt;""), A1380, A1380+1)</f>
        <v>1375</v>
      </c>
      <c r="R1381" t="b">
        <f>AND(ISNUMBER(FIND($E1381,Tables!$I$2)), ISNUMBER(FIND($D1381,Tables!$J$2)), $E1381&lt;&gt;"")</f>
        <v>0</v>
      </c>
    </row>
    <row r="1382" spans="1:18" x14ac:dyDescent="0.25">
      <c r="A1382">
        <f>IF(AND(B1382="", D1382&lt;&gt;""), A1381, A1381+1)</f>
        <v>1376</v>
      </c>
      <c r="R1382" t="b">
        <f>AND(ISNUMBER(FIND($E1382,Tables!$I$2)), ISNUMBER(FIND($D1382,Tables!$J$2)), $E1382&lt;&gt;"")</f>
        <v>0</v>
      </c>
    </row>
    <row r="1383" spans="1:18" x14ac:dyDescent="0.25">
      <c r="A1383">
        <f>IF(AND(B1383="", D1383&lt;&gt;""), A1382, A1382+1)</f>
        <v>1377</v>
      </c>
      <c r="R1383" t="b">
        <f>AND(ISNUMBER(FIND($E1383,Tables!$I$2)), ISNUMBER(FIND($D1383,Tables!$J$2)), $E1383&lt;&gt;"")</f>
        <v>0</v>
      </c>
    </row>
    <row r="1384" spans="1:18" x14ac:dyDescent="0.25">
      <c r="A1384">
        <f>IF(AND(B1384="", D1384&lt;&gt;""), A1383, A1383+1)</f>
        <v>1378</v>
      </c>
      <c r="R1384" t="b">
        <f>AND(ISNUMBER(FIND($E1384,Tables!$I$2)), ISNUMBER(FIND($D1384,Tables!$J$2)), $E1384&lt;&gt;"")</f>
        <v>0</v>
      </c>
    </row>
    <row r="1385" spans="1:18" x14ac:dyDescent="0.25">
      <c r="A1385">
        <f>IF(AND(B1385="", D1385&lt;&gt;""), A1384, A1384+1)</f>
        <v>1379</v>
      </c>
      <c r="R1385" t="b">
        <f>AND(ISNUMBER(FIND($E1385,Tables!$I$2)), ISNUMBER(FIND($D1385,Tables!$J$2)), $E1385&lt;&gt;"")</f>
        <v>0</v>
      </c>
    </row>
    <row r="1386" spans="1:18" x14ac:dyDescent="0.25">
      <c r="A1386">
        <f>IF(AND(B1386="", D1386&lt;&gt;""), A1385, A1385+1)</f>
        <v>1380</v>
      </c>
      <c r="R1386" t="b">
        <f>AND(ISNUMBER(FIND($E1386,Tables!$I$2)), ISNUMBER(FIND($D1386,Tables!$J$2)), $E1386&lt;&gt;"")</f>
        <v>0</v>
      </c>
    </row>
    <row r="1387" spans="1:18" x14ac:dyDescent="0.25">
      <c r="A1387">
        <f>IF(AND(B1387="", D1387&lt;&gt;""), A1386, A1386+1)</f>
        <v>1381</v>
      </c>
      <c r="R1387" t="b">
        <f>AND(ISNUMBER(FIND($E1387,Tables!$I$2)), ISNUMBER(FIND($D1387,Tables!$J$2)), $E1387&lt;&gt;"")</f>
        <v>0</v>
      </c>
    </row>
    <row r="1388" spans="1:18" x14ac:dyDescent="0.25">
      <c r="A1388">
        <f>IF(AND(B1388="", D1388&lt;&gt;""), A1387, A1387+1)</f>
        <v>1382</v>
      </c>
      <c r="R1388" t="b">
        <f>AND(ISNUMBER(FIND($E1388,Tables!$I$2)), ISNUMBER(FIND($D1388,Tables!$J$2)), $E1388&lt;&gt;"")</f>
        <v>0</v>
      </c>
    </row>
    <row r="1389" spans="1:18" x14ac:dyDescent="0.25">
      <c r="A1389">
        <f>IF(AND(B1389="", D1389&lt;&gt;""), A1388, A1388+1)</f>
        <v>1383</v>
      </c>
      <c r="R1389" t="b">
        <f>AND(ISNUMBER(FIND($E1389,Tables!$I$2)), ISNUMBER(FIND($D1389,Tables!$J$2)), $E1389&lt;&gt;"")</f>
        <v>0</v>
      </c>
    </row>
    <row r="1390" spans="1:18" x14ac:dyDescent="0.25">
      <c r="A1390">
        <f>IF(AND(B1390="", D1390&lt;&gt;""), A1389, A1389+1)</f>
        <v>1384</v>
      </c>
      <c r="R1390" t="b">
        <f>AND(ISNUMBER(FIND($E1390,Tables!$I$2)), ISNUMBER(FIND($D1390,Tables!$J$2)), $E1390&lt;&gt;"")</f>
        <v>0</v>
      </c>
    </row>
    <row r="1391" spans="1:18" x14ac:dyDescent="0.25">
      <c r="A1391">
        <f>IF(AND(B1391="", D1391&lt;&gt;""), A1390, A1390+1)</f>
        <v>1385</v>
      </c>
      <c r="R1391" t="b">
        <f>AND(ISNUMBER(FIND($E1391,Tables!$I$2)), ISNUMBER(FIND($D1391,Tables!$J$2)), $E1391&lt;&gt;"")</f>
        <v>0</v>
      </c>
    </row>
    <row r="1392" spans="1:18" x14ac:dyDescent="0.25">
      <c r="A1392">
        <f>IF(AND(B1392="", D1392&lt;&gt;""), A1391, A1391+1)</f>
        <v>1386</v>
      </c>
      <c r="R1392" t="b">
        <f>AND(ISNUMBER(FIND($E1392,Tables!$I$2)), ISNUMBER(FIND($D1392,Tables!$J$2)), $E1392&lt;&gt;"")</f>
        <v>0</v>
      </c>
    </row>
    <row r="1393" spans="1:18" x14ac:dyDescent="0.25">
      <c r="A1393">
        <f>IF(AND(B1393="", D1393&lt;&gt;""), A1392, A1392+1)</f>
        <v>1387</v>
      </c>
      <c r="R1393" t="b">
        <f>AND(ISNUMBER(FIND($E1393,Tables!$I$2)), ISNUMBER(FIND($D1393,Tables!$J$2)), $E1393&lt;&gt;"")</f>
        <v>0</v>
      </c>
    </row>
    <row r="1394" spans="1:18" x14ac:dyDescent="0.25">
      <c r="A1394">
        <f>IF(AND(B1394="", D1394&lt;&gt;""), A1393, A1393+1)</f>
        <v>1388</v>
      </c>
      <c r="R1394" t="b">
        <f>AND(ISNUMBER(FIND($E1394,Tables!$I$2)), ISNUMBER(FIND($D1394,Tables!$J$2)), $E1394&lt;&gt;"")</f>
        <v>0</v>
      </c>
    </row>
    <row r="1395" spans="1:18" x14ac:dyDescent="0.25">
      <c r="A1395">
        <f>IF(AND(B1395="", D1395&lt;&gt;""), A1394, A1394+1)</f>
        <v>1389</v>
      </c>
      <c r="R1395" t="b">
        <f>AND(ISNUMBER(FIND($E1395,Tables!$I$2)), ISNUMBER(FIND($D1395,Tables!$J$2)), $E1395&lt;&gt;"")</f>
        <v>0</v>
      </c>
    </row>
    <row r="1396" spans="1:18" x14ac:dyDescent="0.25">
      <c r="A1396">
        <f>IF(AND(B1396="", D1396&lt;&gt;""), A1395, A1395+1)</f>
        <v>1390</v>
      </c>
      <c r="R1396" t="b">
        <f>AND(ISNUMBER(FIND($E1396,Tables!$I$2)), ISNUMBER(FIND($D1396,Tables!$J$2)), $E1396&lt;&gt;"")</f>
        <v>0</v>
      </c>
    </row>
    <row r="1397" spans="1:18" x14ac:dyDescent="0.25">
      <c r="A1397">
        <f>IF(AND(B1397="", D1397&lt;&gt;""), A1396, A1396+1)</f>
        <v>1391</v>
      </c>
      <c r="R1397" t="b">
        <f>AND(ISNUMBER(FIND($E1397,Tables!$I$2)), ISNUMBER(FIND($D1397,Tables!$J$2)), $E1397&lt;&gt;"")</f>
        <v>0</v>
      </c>
    </row>
    <row r="1398" spans="1:18" x14ac:dyDescent="0.25">
      <c r="A1398">
        <f>IF(AND(B1398="", D1398&lt;&gt;""), A1397, A1397+1)</f>
        <v>1392</v>
      </c>
      <c r="R1398" t="b">
        <f>AND(ISNUMBER(FIND($E1398,Tables!$I$2)), ISNUMBER(FIND($D1398,Tables!$J$2)), $E1398&lt;&gt;"")</f>
        <v>0</v>
      </c>
    </row>
    <row r="1399" spans="1:18" x14ac:dyDescent="0.25">
      <c r="A1399">
        <f>IF(AND(B1399="", D1399&lt;&gt;""), A1398, A1398+1)</f>
        <v>1393</v>
      </c>
      <c r="R1399" t="b">
        <f>AND(ISNUMBER(FIND($E1399,Tables!$I$2)), ISNUMBER(FIND($D1399,Tables!$J$2)), $E1399&lt;&gt;"")</f>
        <v>0</v>
      </c>
    </row>
    <row r="1400" spans="1:18" x14ac:dyDescent="0.25">
      <c r="A1400">
        <f>IF(AND(B1400="", D1400&lt;&gt;""), A1399, A1399+1)</f>
        <v>1394</v>
      </c>
      <c r="R1400" t="b">
        <f>AND(ISNUMBER(FIND($E1400,Tables!$I$2)), ISNUMBER(FIND($D1400,Tables!$J$2)), $E1400&lt;&gt;"")</f>
        <v>0</v>
      </c>
    </row>
    <row r="1401" spans="1:18" x14ac:dyDescent="0.25">
      <c r="A1401">
        <f>IF(AND(B1401="", D1401&lt;&gt;""), A1400, A1400+1)</f>
        <v>1395</v>
      </c>
      <c r="R1401" t="b">
        <f>AND(ISNUMBER(FIND($E1401,Tables!$I$2)), ISNUMBER(FIND($D1401,Tables!$J$2)), $E1401&lt;&gt;"")</f>
        <v>0</v>
      </c>
    </row>
    <row r="1402" spans="1:18" x14ac:dyDescent="0.25">
      <c r="A1402">
        <f>IF(AND(B1402="", D1402&lt;&gt;""), A1401, A1401+1)</f>
        <v>1396</v>
      </c>
      <c r="R1402" t="b">
        <f>AND(ISNUMBER(FIND($E1402,Tables!$I$2)), ISNUMBER(FIND($D1402,Tables!$J$2)), $E1402&lt;&gt;"")</f>
        <v>0</v>
      </c>
    </row>
    <row r="1403" spans="1:18" x14ac:dyDescent="0.25">
      <c r="A1403">
        <f>IF(AND(B1403="", D1403&lt;&gt;""), A1402, A1402+1)</f>
        <v>1397</v>
      </c>
      <c r="R1403" t="b">
        <f>AND(ISNUMBER(FIND($E1403,Tables!$I$2)), ISNUMBER(FIND($D1403,Tables!$J$2)), $E1403&lt;&gt;"")</f>
        <v>0</v>
      </c>
    </row>
    <row r="1404" spans="1:18" x14ac:dyDescent="0.25">
      <c r="A1404">
        <f>IF(AND(B1404="", D1404&lt;&gt;""), A1403, A1403+1)</f>
        <v>1398</v>
      </c>
      <c r="R1404" t="b">
        <f>AND(ISNUMBER(FIND($E1404,Tables!$I$2)), ISNUMBER(FIND($D1404,Tables!$J$2)), $E1404&lt;&gt;"")</f>
        <v>0</v>
      </c>
    </row>
    <row r="1405" spans="1:18" x14ac:dyDescent="0.25">
      <c r="A1405">
        <f>IF(AND(B1405="", D1405&lt;&gt;""), A1404, A1404+1)</f>
        <v>1399</v>
      </c>
      <c r="R1405" t="b">
        <f>AND(ISNUMBER(FIND($E1405,Tables!$I$2)), ISNUMBER(FIND($D1405,Tables!$J$2)), $E1405&lt;&gt;"")</f>
        <v>0</v>
      </c>
    </row>
    <row r="1406" spans="1:18" x14ac:dyDescent="0.25">
      <c r="A1406">
        <f>IF(AND(B1406="", D1406&lt;&gt;""), A1405, A1405+1)</f>
        <v>1400</v>
      </c>
      <c r="R1406" t="b">
        <f>AND(ISNUMBER(FIND($E1406,Tables!$I$2)), ISNUMBER(FIND($D1406,Tables!$J$2)), $E1406&lt;&gt;"")</f>
        <v>0</v>
      </c>
    </row>
    <row r="1407" spans="1:18" x14ac:dyDescent="0.25">
      <c r="A1407">
        <f>IF(AND(B1407="", D1407&lt;&gt;""), A1406, A1406+1)</f>
        <v>1401</v>
      </c>
      <c r="R1407" t="b">
        <f>AND(ISNUMBER(FIND($E1407,Tables!$I$2)), ISNUMBER(FIND($D1407,Tables!$J$2)), $E1407&lt;&gt;"")</f>
        <v>0</v>
      </c>
    </row>
    <row r="1408" spans="1:18" x14ac:dyDescent="0.25">
      <c r="A1408">
        <f>IF(AND(B1408="", D1408&lt;&gt;""), A1407, A1407+1)</f>
        <v>1402</v>
      </c>
      <c r="R1408" t="b">
        <f>AND(ISNUMBER(FIND($E1408,Tables!$I$2)), ISNUMBER(FIND($D1408,Tables!$J$2)), $E1408&lt;&gt;"")</f>
        <v>0</v>
      </c>
    </row>
    <row r="1409" spans="1:18" x14ac:dyDescent="0.25">
      <c r="A1409">
        <f>IF(AND(B1409="", D1409&lt;&gt;""), A1408, A1408+1)</f>
        <v>1403</v>
      </c>
      <c r="R1409" t="b">
        <f>AND(ISNUMBER(FIND($E1409,Tables!$I$2)), ISNUMBER(FIND($D1409,Tables!$J$2)), $E1409&lt;&gt;"")</f>
        <v>0</v>
      </c>
    </row>
    <row r="1410" spans="1:18" x14ac:dyDescent="0.25">
      <c r="A1410">
        <f>IF(AND(B1410="", D1410&lt;&gt;""), A1409, A1409+1)</f>
        <v>1404</v>
      </c>
      <c r="R1410" t="b">
        <f>AND(ISNUMBER(FIND($E1410,Tables!$I$2)), ISNUMBER(FIND($D1410,Tables!$J$2)), $E1410&lt;&gt;"")</f>
        <v>0</v>
      </c>
    </row>
    <row r="1411" spans="1:18" x14ac:dyDescent="0.25">
      <c r="A1411">
        <f>IF(AND(B1411="", D1411&lt;&gt;""), A1410, A1410+1)</f>
        <v>1405</v>
      </c>
      <c r="R1411" t="b">
        <f>AND(ISNUMBER(FIND($E1411,Tables!$I$2)), ISNUMBER(FIND($D1411,Tables!$J$2)), $E1411&lt;&gt;"")</f>
        <v>0</v>
      </c>
    </row>
    <row r="1412" spans="1:18" x14ac:dyDescent="0.25">
      <c r="A1412">
        <f>IF(AND(B1412="", D1412&lt;&gt;""), A1411, A1411+1)</f>
        <v>1406</v>
      </c>
      <c r="R1412" t="b">
        <f>AND(ISNUMBER(FIND($E1412,Tables!$I$2)), ISNUMBER(FIND($D1412,Tables!$J$2)), $E1412&lt;&gt;"")</f>
        <v>0</v>
      </c>
    </row>
    <row r="1413" spans="1:18" x14ac:dyDescent="0.25">
      <c r="A1413">
        <f>IF(AND(B1413="", D1413&lt;&gt;""), A1412, A1412+1)</f>
        <v>1407</v>
      </c>
      <c r="R1413" t="b">
        <f>AND(ISNUMBER(FIND($E1413,Tables!$I$2)), ISNUMBER(FIND($D1413,Tables!$J$2)), $E1413&lt;&gt;"")</f>
        <v>0</v>
      </c>
    </row>
    <row r="1414" spans="1:18" x14ac:dyDescent="0.25">
      <c r="A1414">
        <f>IF(AND(B1414="", D1414&lt;&gt;""), A1413, A1413+1)</f>
        <v>1408</v>
      </c>
      <c r="R1414" t="b">
        <f>AND(ISNUMBER(FIND($E1414,Tables!$I$2)), ISNUMBER(FIND($D1414,Tables!$J$2)), $E1414&lt;&gt;"")</f>
        <v>0</v>
      </c>
    </row>
    <row r="1415" spans="1:18" x14ac:dyDescent="0.25">
      <c r="A1415">
        <f>IF(AND(B1415="", D1415&lt;&gt;""), A1414, A1414+1)</f>
        <v>1409</v>
      </c>
      <c r="R1415" t="b">
        <f>AND(ISNUMBER(FIND($E1415,Tables!$I$2)), ISNUMBER(FIND($D1415,Tables!$J$2)), $E1415&lt;&gt;"")</f>
        <v>0</v>
      </c>
    </row>
    <row r="1416" spans="1:18" x14ac:dyDescent="0.25">
      <c r="A1416">
        <f>IF(AND(B1416="", D1416&lt;&gt;""), A1415, A1415+1)</f>
        <v>1410</v>
      </c>
      <c r="R1416" t="b">
        <f>AND(ISNUMBER(FIND($E1416,Tables!$I$2)), ISNUMBER(FIND($D1416,Tables!$J$2)), $E1416&lt;&gt;"")</f>
        <v>0</v>
      </c>
    </row>
    <row r="1417" spans="1:18" x14ac:dyDescent="0.25">
      <c r="A1417">
        <f>IF(AND(B1417="", D1417&lt;&gt;""), A1416, A1416+1)</f>
        <v>1411</v>
      </c>
      <c r="R1417" t="b">
        <f>AND(ISNUMBER(FIND($E1417,Tables!$I$2)), ISNUMBER(FIND($D1417,Tables!$J$2)), $E1417&lt;&gt;"")</f>
        <v>0</v>
      </c>
    </row>
    <row r="1418" spans="1:18" x14ac:dyDescent="0.25">
      <c r="A1418">
        <f>IF(AND(B1418="", D1418&lt;&gt;""), A1417, A1417+1)</f>
        <v>1412</v>
      </c>
      <c r="R1418" t="b">
        <f>AND(ISNUMBER(FIND($E1418,Tables!$I$2)), ISNUMBER(FIND($D1418,Tables!$J$2)), $E1418&lt;&gt;"")</f>
        <v>0</v>
      </c>
    </row>
    <row r="1419" spans="1:18" x14ac:dyDescent="0.25">
      <c r="A1419">
        <f>IF(AND(B1419="", D1419&lt;&gt;""), A1418, A1418+1)</f>
        <v>1413</v>
      </c>
      <c r="R1419" t="b">
        <f>AND(ISNUMBER(FIND($E1419,Tables!$I$2)), ISNUMBER(FIND($D1419,Tables!$J$2)), $E1419&lt;&gt;"")</f>
        <v>0</v>
      </c>
    </row>
    <row r="1420" spans="1:18" x14ac:dyDescent="0.25">
      <c r="A1420">
        <f>IF(AND(B1420="", D1420&lt;&gt;""), A1419, A1419+1)</f>
        <v>1414</v>
      </c>
      <c r="R1420" t="b">
        <f>AND(ISNUMBER(FIND($E1420,Tables!$I$2)), ISNUMBER(FIND($D1420,Tables!$J$2)), $E1420&lt;&gt;"")</f>
        <v>0</v>
      </c>
    </row>
    <row r="1421" spans="1:18" x14ac:dyDescent="0.25">
      <c r="A1421">
        <f>IF(AND(B1421="", D1421&lt;&gt;""), A1420, A1420+1)</f>
        <v>1415</v>
      </c>
      <c r="R1421" t="b">
        <f>AND(ISNUMBER(FIND($E1421,Tables!$I$2)), ISNUMBER(FIND($D1421,Tables!$J$2)), $E1421&lt;&gt;"")</f>
        <v>0</v>
      </c>
    </row>
    <row r="1422" spans="1:18" x14ac:dyDescent="0.25">
      <c r="A1422">
        <f>IF(AND(B1422="", D1422&lt;&gt;""), A1421, A1421+1)</f>
        <v>1416</v>
      </c>
      <c r="R1422" t="b">
        <f>AND(ISNUMBER(FIND($E1422,Tables!$I$2)), ISNUMBER(FIND($D1422,Tables!$J$2)), $E1422&lt;&gt;"")</f>
        <v>0</v>
      </c>
    </row>
    <row r="1423" spans="1:18" x14ac:dyDescent="0.25">
      <c r="A1423">
        <f>IF(AND(B1423="", D1423&lt;&gt;""), A1422, A1422+1)</f>
        <v>1417</v>
      </c>
      <c r="R1423" t="b">
        <f>AND(ISNUMBER(FIND($E1423,Tables!$I$2)), ISNUMBER(FIND($D1423,Tables!$J$2)), $E1423&lt;&gt;"")</f>
        <v>0</v>
      </c>
    </row>
    <row r="1424" spans="1:18" x14ac:dyDescent="0.25">
      <c r="A1424">
        <f>IF(AND(B1424="", D1424&lt;&gt;""), A1423, A1423+1)</f>
        <v>1418</v>
      </c>
      <c r="R1424" t="b">
        <f>AND(ISNUMBER(FIND($E1424,Tables!$I$2)), ISNUMBER(FIND($D1424,Tables!$J$2)), $E1424&lt;&gt;"")</f>
        <v>0</v>
      </c>
    </row>
    <row r="1425" spans="1:18" x14ac:dyDescent="0.25">
      <c r="A1425">
        <f>IF(AND(B1425="", D1425&lt;&gt;""), A1424, A1424+1)</f>
        <v>1419</v>
      </c>
      <c r="R1425" t="b">
        <f>AND(ISNUMBER(FIND($E1425,Tables!$I$2)), ISNUMBER(FIND($D1425,Tables!$J$2)), $E1425&lt;&gt;"")</f>
        <v>0</v>
      </c>
    </row>
    <row r="1426" spans="1:18" x14ac:dyDescent="0.25">
      <c r="A1426">
        <f>IF(AND(B1426="", D1426&lt;&gt;""), A1425, A1425+1)</f>
        <v>1420</v>
      </c>
      <c r="R1426" t="b">
        <f>AND(ISNUMBER(FIND($E1426,Tables!$I$2)), ISNUMBER(FIND($D1426,Tables!$J$2)), $E1426&lt;&gt;"")</f>
        <v>0</v>
      </c>
    </row>
    <row r="1427" spans="1:18" x14ac:dyDescent="0.25">
      <c r="A1427">
        <f>IF(AND(B1427="", D1427&lt;&gt;""), A1426, A1426+1)</f>
        <v>1421</v>
      </c>
      <c r="R1427" t="b">
        <f>AND(ISNUMBER(FIND($E1427,Tables!$I$2)), ISNUMBER(FIND($D1427,Tables!$J$2)), $E1427&lt;&gt;"")</f>
        <v>0</v>
      </c>
    </row>
    <row r="1428" spans="1:18" x14ac:dyDescent="0.25">
      <c r="A1428">
        <f>IF(AND(B1428="", D1428&lt;&gt;""), A1427, A1427+1)</f>
        <v>1422</v>
      </c>
      <c r="R1428" t="b">
        <f>AND(ISNUMBER(FIND($E1428,Tables!$I$2)), ISNUMBER(FIND($D1428,Tables!$J$2)), $E1428&lt;&gt;"")</f>
        <v>0</v>
      </c>
    </row>
    <row r="1429" spans="1:18" x14ac:dyDescent="0.25">
      <c r="A1429">
        <f>IF(AND(B1429="", D1429&lt;&gt;""), A1428, A1428+1)</f>
        <v>1423</v>
      </c>
      <c r="R1429" t="b">
        <f>AND(ISNUMBER(FIND($E1429,Tables!$I$2)), ISNUMBER(FIND($D1429,Tables!$J$2)), $E1429&lt;&gt;"")</f>
        <v>0</v>
      </c>
    </row>
    <row r="1430" spans="1:18" x14ac:dyDescent="0.25">
      <c r="A1430">
        <f>IF(AND(B1430="", D1430&lt;&gt;""), A1429, A1429+1)</f>
        <v>1424</v>
      </c>
      <c r="R1430" t="b">
        <f>AND(ISNUMBER(FIND($E1430,Tables!$I$2)), ISNUMBER(FIND($D1430,Tables!$J$2)), $E1430&lt;&gt;"")</f>
        <v>0</v>
      </c>
    </row>
    <row r="1431" spans="1:18" x14ac:dyDescent="0.25">
      <c r="A1431">
        <f>IF(AND(B1431="", D1431&lt;&gt;""), A1430, A1430+1)</f>
        <v>1425</v>
      </c>
      <c r="R1431" t="b">
        <f>AND(ISNUMBER(FIND($E1431,Tables!$I$2)), ISNUMBER(FIND($D1431,Tables!$J$2)), $E1431&lt;&gt;"")</f>
        <v>0</v>
      </c>
    </row>
    <row r="1432" spans="1:18" x14ac:dyDescent="0.25">
      <c r="A1432">
        <f>IF(AND(B1432="", D1432&lt;&gt;""), A1431, A1431+1)</f>
        <v>1426</v>
      </c>
      <c r="R1432" t="b">
        <f>AND(ISNUMBER(FIND($E1432,Tables!$I$2)), ISNUMBER(FIND($D1432,Tables!$J$2)), $E1432&lt;&gt;"")</f>
        <v>0</v>
      </c>
    </row>
    <row r="1433" spans="1:18" x14ac:dyDescent="0.25">
      <c r="A1433">
        <f>IF(AND(B1433="", D1433&lt;&gt;""), A1432, A1432+1)</f>
        <v>1427</v>
      </c>
      <c r="R1433" t="b">
        <f>AND(ISNUMBER(FIND($E1433,Tables!$I$2)), ISNUMBER(FIND($D1433,Tables!$J$2)), $E1433&lt;&gt;"")</f>
        <v>0</v>
      </c>
    </row>
    <row r="1434" spans="1:18" x14ac:dyDescent="0.25">
      <c r="A1434">
        <f>IF(AND(B1434="", D1434&lt;&gt;""), A1433, A1433+1)</f>
        <v>1428</v>
      </c>
      <c r="R1434" t="b">
        <f>AND(ISNUMBER(FIND($E1434,Tables!$I$2)), ISNUMBER(FIND($D1434,Tables!$J$2)), $E1434&lt;&gt;"")</f>
        <v>0</v>
      </c>
    </row>
    <row r="1435" spans="1:18" x14ac:dyDescent="0.25">
      <c r="A1435">
        <f>IF(AND(B1435="", D1435&lt;&gt;""), A1434, A1434+1)</f>
        <v>1429</v>
      </c>
      <c r="R1435" t="b">
        <f>AND(ISNUMBER(FIND($E1435,Tables!$I$2)), ISNUMBER(FIND($D1435,Tables!$J$2)), $E1435&lt;&gt;"")</f>
        <v>0</v>
      </c>
    </row>
    <row r="1436" spans="1:18" x14ac:dyDescent="0.25">
      <c r="A1436">
        <f>IF(AND(B1436="", D1436&lt;&gt;""), A1435, A1435+1)</f>
        <v>1430</v>
      </c>
      <c r="R1436" t="b">
        <f>AND(ISNUMBER(FIND($E1436,Tables!$I$2)), ISNUMBER(FIND($D1436,Tables!$J$2)), $E1436&lt;&gt;"")</f>
        <v>0</v>
      </c>
    </row>
    <row r="1437" spans="1:18" x14ac:dyDescent="0.25">
      <c r="A1437">
        <f>IF(AND(B1437="", D1437&lt;&gt;""), A1436, A1436+1)</f>
        <v>1431</v>
      </c>
      <c r="R1437" t="b">
        <f>AND(ISNUMBER(FIND($E1437,Tables!$I$2)), ISNUMBER(FIND($D1437,Tables!$J$2)), $E1437&lt;&gt;"")</f>
        <v>0</v>
      </c>
    </row>
    <row r="1438" spans="1:18" x14ac:dyDescent="0.25">
      <c r="A1438">
        <f>IF(AND(B1438="", D1438&lt;&gt;""), A1437, A1437+1)</f>
        <v>1432</v>
      </c>
      <c r="R1438" t="b">
        <f>AND(ISNUMBER(FIND($E1438,Tables!$I$2)), ISNUMBER(FIND($D1438,Tables!$J$2)), $E1438&lt;&gt;"")</f>
        <v>0</v>
      </c>
    </row>
    <row r="1439" spans="1:18" x14ac:dyDescent="0.25">
      <c r="A1439">
        <f>IF(AND(B1439="", D1439&lt;&gt;""), A1438, A1438+1)</f>
        <v>1433</v>
      </c>
      <c r="R1439" t="b">
        <f>AND(ISNUMBER(FIND($E1439,Tables!$I$2)), ISNUMBER(FIND($D1439,Tables!$J$2)), $E1439&lt;&gt;"")</f>
        <v>0</v>
      </c>
    </row>
    <row r="1440" spans="1:18" x14ac:dyDescent="0.25">
      <c r="A1440">
        <f>IF(AND(B1440="", D1440&lt;&gt;""), A1439, A1439+1)</f>
        <v>1434</v>
      </c>
      <c r="R1440" t="b">
        <f>AND(ISNUMBER(FIND($E1440,Tables!$I$2)), ISNUMBER(FIND($D1440,Tables!$J$2)), $E1440&lt;&gt;"")</f>
        <v>0</v>
      </c>
    </row>
    <row r="1441" spans="1:18" x14ac:dyDescent="0.25">
      <c r="A1441">
        <f>IF(AND(B1441="", D1441&lt;&gt;""), A1440, A1440+1)</f>
        <v>1435</v>
      </c>
      <c r="R1441" t="b">
        <f>AND(ISNUMBER(FIND($E1441,Tables!$I$2)), ISNUMBER(FIND($D1441,Tables!$J$2)), $E1441&lt;&gt;"")</f>
        <v>0</v>
      </c>
    </row>
    <row r="1442" spans="1:18" x14ac:dyDescent="0.25">
      <c r="A1442">
        <f>IF(AND(B1442="", D1442&lt;&gt;""), A1441, A1441+1)</f>
        <v>1436</v>
      </c>
      <c r="R1442" t="b">
        <f>AND(ISNUMBER(FIND($E1442,Tables!$I$2)), ISNUMBER(FIND($D1442,Tables!$J$2)), $E1442&lt;&gt;"")</f>
        <v>0</v>
      </c>
    </row>
    <row r="1443" spans="1:18" x14ac:dyDescent="0.25">
      <c r="A1443">
        <f>IF(AND(B1443="", D1443&lt;&gt;""), A1442, A1442+1)</f>
        <v>1437</v>
      </c>
      <c r="R1443" t="b">
        <f>AND(ISNUMBER(FIND($E1443,Tables!$I$2)), ISNUMBER(FIND($D1443,Tables!$J$2)), $E1443&lt;&gt;"")</f>
        <v>0</v>
      </c>
    </row>
    <row r="1444" spans="1:18" x14ac:dyDescent="0.25">
      <c r="A1444">
        <f>IF(AND(B1444="", D1444&lt;&gt;""), A1443, A1443+1)</f>
        <v>1438</v>
      </c>
      <c r="R1444" t="b">
        <f>AND(ISNUMBER(FIND($E1444,Tables!$I$2)), ISNUMBER(FIND($D1444,Tables!$J$2)), $E1444&lt;&gt;"")</f>
        <v>0</v>
      </c>
    </row>
    <row r="1445" spans="1:18" x14ac:dyDescent="0.25">
      <c r="A1445">
        <f>IF(AND(B1445="", D1445&lt;&gt;""), A1444, A1444+1)</f>
        <v>1439</v>
      </c>
      <c r="R1445" t="b">
        <f>AND(ISNUMBER(FIND($E1445,Tables!$I$2)), ISNUMBER(FIND($D1445,Tables!$J$2)), $E1445&lt;&gt;"")</f>
        <v>0</v>
      </c>
    </row>
    <row r="1446" spans="1:18" x14ac:dyDescent="0.25">
      <c r="A1446">
        <f>IF(AND(B1446="", D1446&lt;&gt;""), A1445, A1445+1)</f>
        <v>1440</v>
      </c>
      <c r="R1446" t="b">
        <f>AND(ISNUMBER(FIND($E1446,Tables!$I$2)), ISNUMBER(FIND($D1446,Tables!$J$2)), $E1446&lt;&gt;"")</f>
        <v>0</v>
      </c>
    </row>
    <row r="1447" spans="1:18" x14ac:dyDescent="0.25">
      <c r="A1447">
        <f>IF(AND(B1447="", D1447&lt;&gt;""), A1446, A1446+1)</f>
        <v>1441</v>
      </c>
      <c r="R1447" t="b">
        <f>AND(ISNUMBER(FIND($E1447,Tables!$I$2)), ISNUMBER(FIND($D1447,Tables!$J$2)), $E1447&lt;&gt;"")</f>
        <v>0</v>
      </c>
    </row>
    <row r="1448" spans="1:18" x14ac:dyDescent="0.25">
      <c r="A1448">
        <f>IF(AND(B1448="", D1448&lt;&gt;""), A1447, A1447+1)</f>
        <v>1442</v>
      </c>
      <c r="R1448" t="b">
        <f>AND(ISNUMBER(FIND($E1448,Tables!$I$2)), ISNUMBER(FIND($D1448,Tables!$J$2)), $E1448&lt;&gt;"")</f>
        <v>0</v>
      </c>
    </row>
    <row r="1449" spans="1:18" x14ac:dyDescent="0.25">
      <c r="A1449">
        <f>IF(AND(B1449="", D1449&lt;&gt;""), A1448, A1448+1)</f>
        <v>1443</v>
      </c>
      <c r="R1449" t="b">
        <f>AND(ISNUMBER(FIND($E1449,Tables!$I$2)), ISNUMBER(FIND($D1449,Tables!$J$2)), $E1449&lt;&gt;"")</f>
        <v>0</v>
      </c>
    </row>
    <row r="1450" spans="1:18" x14ac:dyDescent="0.25">
      <c r="A1450">
        <f>IF(AND(B1450="", D1450&lt;&gt;""), A1449, A1449+1)</f>
        <v>1444</v>
      </c>
      <c r="R1450" t="b">
        <f>AND(ISNUMBER(FIND($E1450,Tables!$I$2)), ISNUMBER(FIND($D1450,Tables!$J$2)), $E1450&lt;&gt;"")</f>
        <v>0</v>
      </c>
    </row>
    <row r="1451" spans="1:18" x14ac:dyDescent="0.25">
      <c r="A1451">
        <f>IF(AND(B1451="", D1451&lt;&gt;""), A1450, A1450+1)</f>
        <v>1445</v>
      </c>
      <c r="R1451" t="b">
        <f>AND(ISNUMBER(FIND($E1451,Tables!$I$2)), ISNUMBER(FIND($D1451,Tables!$J$2)), $E1451&lt;&gt;"")</f>
        <v>0</v>
      </c>
    </row>
    <row r="1452" spans="1:18" x14ac:dyDescent="0.25">
      <c r="A1452">
        <f>IF(AND(B1452="", D1452&lt;&gt;""), A1451, A1451+1)</f>
        <v>1446</v>
      </c>
      <c r="R1452" t="b">
        <f>AND(ISNUMBER(FIND($E1452,Tables!$I$2)), ISNUMBER(FIND($D1452,Tables!$J$2)), $E1452&lt;&gt;"")</f>
        <v>0</v>
      </c>
    </row>
    <row r="1453" spans="1:18" x14ac:dyDescent="0.25">
      <c r="A1453">
        <f>IF(AND(B1453="", D1453&lt;&gt;""), A1452, A1452+1)</f>
        <v>1447</v>
      </c>
      <c r="R1453" t="b">
        <f>AND(ISNUMBER(FIND($E1453,Tables!$I$2)), ISNUMBER(FIND($D1453,Tables!$J$2)), $E1453&lt;&gt;"")</f>
        <v>0</v>
      </c>
    </row>
    <row r="1454" spans="1:18" x14ac:dyDescent="0.25">
      <c r="A1454">
        <f>IF(AND(B1454="", D1454&lt;&gt;""), A1453, A1453+1)</f>
        <v>1448</v>
      </c>
      <c r="R1454" t="b">
        <f>AND(ISNUMBER(FIND($E1454,Tables!$I$2)), ISNUMBER(FIND($D1454,Tables!$J$2)), $E1454&lt;&gt;"")</f>
        <v>0</v>
      </c>
    </row>
    <row r="1455" spans="1:18" x14ac:dyDescent="0.25">
      <c r="A1455">
        <f>IF(AND(B1455="", D1455&lt;&gt;""), A1454, A1454+1)</f>
        <v>1449</v>
      </c>
      <c r="R1455" t="b">
        <f>AND(ISNUMBER(FIND($E1455,Tables!$I$2)), ISNUMBER(FIND($D1455,Tables!$J$2)), $E1455&lt;&gt;"")</f>
        <v>0</v>
      </c>
    </row>
    <row r="1456" spans="1:18" x14ac:dyDescent="0.25">
      <c r="A1456">
        <f>IF(AND(B1456="", D1456&lt;&gt;""), A1455, A1455+1)</f>
        <v>1450</v>
      </c>
      <c r="R1456" t="b">
        <f>AND(ISNUMBER(FIND($E1456,Tables!$I$2)), ISNUMBER(FIND($D1456,Tables!$J$2)), $E1456&lt;&gt;"")</f>
        <v>0</v>
      </c>
    </row>
    <row r="1457" spans="1:18" x14ac:dyDescent="0.25">
      <c r="A1457">
        <f>IF(AND(B1457="", D1457&lt;&gt;""), A1456, A1456+1)</f>
        <v>1451</v>
      </c>
      <c r="R1457" t="b">
        <f>AND(ISNUMBER(FIND($E1457,Tables!$I$2)), ISNUMBER(FIND($D1457,Tables!$J$2)), $E1457&lt;&gt;"")</f>
        <v>0</v>
      </c>
    </row>
    <row r="1458" spans="1:18" x14ac:dyDescent="0.25">
      <c r="A1458">
        <f>IF(AND(B1458="", D1458&lt;&gt;""), A1457, A1457+1)</f>
        <v>1452</v>
      </c>
      <c r="R1458" t="b">
        <f>AND(ISNUMBER(FIND($E1458,Tables!$I$2)), ISNUMBER(FIND($D1458,Tables!$J$2)), $E1458&lt;&gt;"")</f>
        <v>0</v>
      </c>
    </row>
    <row r="1459" spans="1:18" x14ac:dyDescent="0.25">
      <c r="A1459">
        <f>IF(AND(B1459="", D1459&lt;&gt;""), A1458, A1458+1)</f>
        <v>1453</v>
      </c>
      <c r="R1459" t="b">
        <f>AND(ISNUMBER(FIND($E1459,Tables!$I$2)), ISNUMBER(FIND($D1459,Tables!$J$2)), $E1459&lt;&gt;"")</f>
        <v>0</v>
      </c>
    </row>
    <row r="1460" spans="1:18" x14ac:dyDescent="0.25">
      <c r="A1460">
        <f>IF(AND(B1460="", D1460&lt;&gt;""), A1459, A1459+1)</f>
        <v>1454</v>
      </c>
      <c r="R1460" t="b">
        <f>AND(ISNUMBER(FIND($E1460,Tables!$I$2)), ISNUMBER(FIND($D1460,Tables!$J$2)), $E1460&lt;&gt;"")</f>
        <v>0</v>
      </c>
    </row>
    <row r="1461" spans="1:18" x14ac:dyDescent="0.25">
      <c r="A1461">
        <f>IF(AND(B1461="", D1461&lt;&gt;""), A1460, A1460+1)</f>
        <v>1455</v>
      </c>
      <c r="R1461" t="b">
        <f>AND(ISNUMBER(FIND($E1461,Tables!$I$2)), ISNUMBER(FIND($D1461,Tables!$J$2)), $E1461&lt;&gt;"")</f>
        <v>0</v>
      </c>
    </row>
    <row r="1462" spans="1:18" x14ac:dyDescent="0.25">
      <c r="A1462">
        <f>IF(AND(B1462="", D1462&lt;&gt;""), A1461, A1461+1)</f>
        <v>1456</v>
      </c>
      <c r="R1462" t="b">
        <f>AND(ISNUMBER(FIND($E1462,Tables!$I$2)), ISNUMBER(FIND($D1462,Tables!$J$2)), $E1462&lt;&gt;"")</f>
        <v>0</v>
      </c>
    </row>
    <row r="1463" spans="1:18" x14ac:dyDescent="0.25">
      <c r="A1463">
        <f>IF(AND(B1463="", D1463&lt;&gt;""), A1462, A1462+1)</f>
        <v>1457</v>
      </c>
      <c r="R1463" t="b">
        <f>AND(ISNUMBER(FIND($E1463,Tables!$I$2)), ISNUMBER(FIND($D1463,Tables!$J$2)), $E1463&lt;&gt;"")</f>
        <v>0</v>
      </c>
    </row>
    <row r="1464" spans="1:18" x14ac:dyDescent="0.25">
      <c r="A1464">
        <f>IF(AND(B1464="", D1464&lt;&gt;""), A1463, A1463+1)</f>
        <v>1458</v>
      </c>
      <c r="R1464" t="b">
        <f>AND(ISNUMBER(FIND($E1464,Tables!$I$2)), ISNUMBER(FIND($D1464,Tables!$J$2)), $E1464&lt;&gt;"")</f>
        <v>0</v>
      </c>
    </row>
    <row r="1465" spans="1:18" x14ac:dyDescent="0.25">
      <c r="A1465">
        <f>IF(AND(B1465="", D1465&lt;&gt;""), A1464, A1464+1)</f>
        <v>1459</v>
      </c>
      <c r="R1465" t="b">
        <f>AND(ISNUMBER(FIND($E1465,Tables!$I$2)), ISNUMBER(FIND($D1465,Tables!$J$2)), $E1465&lt;&gt;"")</f>
        <v>0</v>
      </c>
    </row>
    <row r="1466" spans="1:18" x14ac:dyDescent="0.25">
      <c r="A1466">
        <f>IF(AND(B1466="", D1466&lt;&gt;""), A1465, A1465+1)</f>
        <v>1460</v>
      </c>
      <c r="R1466" t="b">
        <f>AND(ISNUMBER(FIND($E1466,Tables!$I$2)), ISNUMBER(FIND($D1466,Tables!$J$2)), $E1466&lt;&gt;"")</f>
        <v>0</v>
      </c>
    </row>
    <row r="1467" spans="1:18" x14ac:dyDescent="0.25">
      <c r="A1467">
        <f>IF(AND(B1467="", D1467&lt;&gt;""), A1466, A1466+1)</f>
        <v>1461</v>
      </c>
      <c r="R1467" t="b">
        <f>AND(ISNUMBER(FIND($E1467,Tables!$I$2)), ISNUMBER(FIND($D1467,Tables!$J$2)), $E1467&lt;&gt;"")</f>
        <v>0</v>
      </c>
    </row>
    <row r="1468" spans="1:18" x14ac:dyDescent="0.25">
      <c r="A1468">
        <f>IF(AND(B1468="", D1468&lt;&gt;""), A1467, A1467+1)</f>
        <v>1462</v>
      </c>
      <c r="R1468" t="b">
        <f>AND(ISNUMBER(FIND($E1468,Tables!$I$2)), ISNUMBER(FIND($D1468,Tables!$J$2)), $E1468&lt;&gt;"")</f>
        <v>0</v>
      </c>
    </row>
    <row r="1469" spans="1:18" x14ac:dyDescent="0.25">
      <c r="A1469">
        <f>IF(AND(B1469="", D1469&lt;&gt;""), A1468, A1468+1)</f>
        <v>1463</v>
      </c>
      <c r="R1469" t="b">
        <f>AND(ISNUMBER(FIND($E1469,Tables!$I$2)), ISNUMBER(FIND($D1469,Tables!$J$2)), $E1469&lt;&gt;"")</f>
        <v>0</v>
      </c>
    </row>
    <row r="1470" spans="1:18" x14ac:dyDescent="0.25">
      <c r="A1470">
        <f>IF(AND(B1470="", D1470&lt;&gt;""), A1469, A1469+1)</f>
        <v>1464</v>
      </c>
      <c r="R1470" t="b">
        <f>AND(ISNUMBER(FIND($E1470,Tables!$I$2)), ISNUMBER(FIND($D1470,Tables!$J$2)), $E1470&lt;&gt;"")</f>
        <v>0</v>
      </c>
    </row>
    <row r="1471" spans="1:18" x14ac:dyDescent="0.25">
      <c r="A1471">
        <f>IF(AND(B1471="", D1471&lt;&gt;""), A1470, A1470+1)</f>
        <v>1465</v>
      </c>
      <c r="R1471" t="b">
        <f>AND(ISNUMBER(FIND($E1471,Tables!$I$2)), ISNUMBER(FIND($D1471,Tables!$J$2)), $E1471&lt;&gt;"")</f>
        <v>0</v>
      </c>
    </row>
    <row r="1472" spans="1:18" x14ac:dyDescent="0.25">
      <c r="A1472">
        <f>IF(AND(B1472="", D1472&lt;&gt;""), A1471, A1471+1)</f>
        <v>1466</v>
      </c>
      <c r="R1472" t="b">
        <f>AND(ISNUMBER(FIND($E1472,Tables!$I$2)), ISNUMBER(FIND($D1472,Tables!$J$2)), $E1472&lt;&gt;"")</f>
        <v>0</v>
      </c>
    </row>
    <row r="1473" spans="1:18" x14ac:dyDescent="0.25">
      <c r="A1473">
        <f>IF(AND(B1473="", D1473&lt;&gt;""), A1472, A1472+1)</f>
        <v>1467</v>
      </c>
      <c r="R1473" t="b">
        <f>AND(ISNUMBER(FIND($E1473,Tables!$I$2)), ISNUMBER(FIND($D1473,Tables!$J$2)), $E1473&lt;&gt;"")</f>
        <v>0</v>
      </c>
    </row>
    <row r="1474" spans="1:18" x14ac:dyDescent="0.25">
      <c r="A1474">
        <f>IF(AND(B1474="", D1474&lt;&gt;""), A1473, A1473+1)</f>
        <v>1468</v>
      </c>
      <c r="R1474" t="b">
        <f>AND(ISNUMBER(FIND($E1474,Tables!$I$2)), ISNUMBER(FIND($D1474,Tables!$J$2)), $E1474&lt;&gt;"")</f>
        <v>0</v>
      </c>
    </row>
    <row r="1475" spans="1:18" x14ac:dyDescent="0.25">
      <c r="A1475">
        <f>IF(AND(B1475="", D1475&lt;&gt;""), A1474, A1474+1)</f>
        <v>1469</v>
      </c>
      <c r="R1475" t="b">
        <f>AND(ISNUMBER(FIND($E1475,Tables!$I$2)), ISNUMBER(FIND($D1475,Tables!$J$2)), $E1475&lt;&gt;"")</f>
        <v>0</v>
      </c>
    </row>
    <row r="1476" spans="1:18" x14ac:dyDescent="0.25">
      <c r="A1476">
        <f>IF(AND(B1476="", D1476&lt;&gt;""), A1475, A1475+1)</f>
        <v>1470</v>
      </c>
      <c r="R1476" t="b">
        <f>AND(ISNUMBER(FIND($E1476,Tables!$I$2)), ISNUMBER(FIND($D1476,Tables!$J$2)), $E1476&lt;&gt;"")</f>
        <v>0</v>
      </c>
    </row>
    <row r="1477" spans="1:18" x14ac:dyDescent="0.25">
      <c r="A1477">
        <f>IF(AND(B1477="", D1477&lt;&gt;""), A1476, A1476+1)</f>
        <v>1471</v>
      </c>
      <c r="R1477" t="b">
        <f>AND(ISNUMBER(FIND($E1477,Tables!$I$2)), ISNUMBER(FIND($D1477,Tables!$J$2)), $E1477&lt;&gt;"")</f>
        <v>0</v>
      </c>
    </row>
    <row r="1478" spans="1:18" x14ac:dyDescent="0.25">
      <c r="A1478">
        <f>IF(AND(B1478="", D1478&lt;&gt;""), A1477, A1477+1)</f>
        <v>1472</v>
      </c>
      <c r="R1478" t="b">
        <f>AND(ISNUMBER(FIND($E1478,Tables!$I$2)), ISNUMBER(FIND($D1478,Tables!$J$2)), $E1478&lt;&gt;"")</f>
        <v>0</v>
      </c>
    </row>
    <row r="1479" spans="1:18" x14ac:dyDescent="0.25">
      <c r="A1479">
        <f>IF(AND(B1479="", D1479&lt;&gt;""), A1478, A1478+1)</f>
        <v>1473</v>
      </c>
      <c r="R1479" t="b">
        <f>AND(ISNUMBER(FIND($E1479,Tables!$I$2)), ISNUMBER(FIND($D1479,Tables!$J$2)), $E1479&lt;&gt;"")</f>
        <v>0</v>
      </c>
    </row>
    <row r="1480" spans="1:18" x14ac:dyDescent="0.25">
      <c r="A1480">
        <f>IF(AND(B1480="", D1480&lt;&gt;""), A1479, A1479+1)</f>
        <v>1474</v>
      </c>
      <c r="R1480" t="b">
        <f>AND(ISNUMBER(FIND($E1480,Tables!$I$2)), ISNUMBER(FIND($D1480,Tables!$J$2)), $E1480&lt;&gt;"")</f>
        <v>0</v>
      </c>
    </row>
    <row r="1481" spans="1:18" x14ac:dyDescent="0.25">
      <c r="A1481">
        <f>IF(AND(B1481="", D1481&lt;&gt;""), A1480, A1480+1)</f>
        <v>1475</v>
      </c>
      <c r="R1481" t="b">
        <f>AND(ISNUMBER(FIND($E1481,Tables!$I$2)), ISNUMBER(FIND($D1481,Tables!$J$2)), $E1481&lt;&gt;"")</f>
        <v>0</v>
      </c>
    </row>
    <row r="1482" spans="1:18" x14ac:dyDescent="0.25">
      <c r="A1482">
        <f>IF(AND(B1482="", D1482&lt;&gt;""), A1481, A1481+1)</f>
        <v>1476</v>
      </c>
      <c r="R1482" t="b">
        <f>AND(ISNUMBER(FIND($E1482,Tables!$I$2)), ISNUMBER(FIND($D1482,Tables!$J$2)), $E1482&lt;&gt;"")</f>
        <v>0</v>
      </c>
    </row>
    <row r="1483" spans="1:18" x14ac:dyDescent="0.25">
      <c r="A1483">
        <f>IF(AND(B1483="", D1483&lt;&gt;""), A1482, A1482+1)</f>
        <v>1477</v>
      </c>
      <c r="R1483" t="b">
        <f>AND(ISNUMBER(FIND($E1483,Tables!$I$2)), ISNUMBER(FIND($D1483,Tables!$J$2)), $E1483&lt;&gt;"")</f>
        <v>0</v>
      </c>
    </row>
    <row r="1484" spans="1:18" x14ac:dyDescent="0.25">
      <c r="A1484">
        <f>IF(AND(B1484="", D1484&lt;&gt;""), A1483, A1483+1)</f>
        <v>1478</v>
      </c>
      <c r="R1484" t="b">
        <f>AND(ISNUMBER(FIND($E1484,Tables!$I$2)), ISNUMBER(FIND($D1484,Tables!$J$2)), $E1484&lt;&gt;"")</f>
        <v>0</v>
      </c>
    </row>
    <row r="1485" spans="1:18" x14ac:dyDescent="0.25">
      <c r="A1485">
        <f>IF(AND(B1485="", D1485&lt;&gt;""), A1484, A1484+1)</f>
        <v>1479</v>
      </c>
      <c r="R1485" t="b">
        <f>AND(ISNUMBER(FIND($E1485,Tables!$I$2)), ISNUMBER(FIND($D1485,Tables!$J$2)), $E1485&lt;&gt;"")</f>
        <v>0</v>
      </c>
    </row>
    <row r="1486" spans="1:18" x14ac:dyDescent="0.25">
      <c r="A1486">
        <f>IF(AND(B1486="", D1486&lt;&gt;""), A1485, A1485+1)</f>
        <v>1480</v>
      </c>
      <c r="R1486" t="b">
        <f>AND(ISNUMBER(FIND($E1486,Tables!$I$2)), ISNUMBER(FIND($D1486,Tables!$J$2)), $E1486&lt;&gt;"")</f>
        <v>0</v>
      </c>
    </row>
    <row r="1487" spans="1:18" x14ac:dyDescent="0.25">
      <c r="A1487">
        <f>IF(AND(B1487="", D1487&lt;&gt;""), A1486, A1486+1)</f>
        <v>1481</v>
      </c>
      <c r="R1487" t="b">
        <f>AND(ISNUMBER(FIND($E1487,Tables!$I$2)), ISNUMBER(FIND($D1487,Tables!$J$2)), $E1487&lt;&gt;"")</f>
        <v>0</v>
      </c>
    </row>
    <row r="1488" spans="1:18" x14ac:dyDescent="0.25">
      <c r="A1488">
        <f>IF(AND(B1488="", D1488&lt;&gt;""), A1487, A1487+1)</f>
        <v>1482</v>
      </c>
      <c r="R1488" t="b">
        <f>AND(ISNUMBER(FIND($E1488,Tables!$I$2)), ISNUMBER(FIND($D1488,Tables!$J$2)), $E1488&lt;&gt;"")</f>
        <v>0</v>
      </c>
    </row>
    <row r="1489" spans="1:18" x14ac:dyDescent="0.25">
      <c r="A1489">
        <f>IF(AND(B1489="", D1489&lt;&gt;""), A1488, A1488+1)</f>
        <v>1483</v>
      </c>
      <c r="R1489" t="b">
        <f>AND(ISNUMBER(FIND($E1489,Tables!$I$2)), ISNUMBER(FIND($D1489,Tables!$J$2)), $E1489&lt;&gt;"")</f>
        <v>0</v>
      </c>
    </row>
    <row r="1490" spans="1:18" x14ac:dyDescent="0.25">
      <c r="A1490">
        <f>IF(AND(B1490="", D1490&lt;&gt;""), A1489, A1489+1)</f>
        <v>1484</v>
      </c>
      <c r="R1490" t="b">
        <f>AND(ISNUMBER(FIND($E1490,Tables!$I$2)), ISNUMBER(FIND($D1490,Tables!$J$2)), $E1490&lt;&gt;"")</f>
        <v>0</v>
      </c>
    </row>
    <row r="1491" spans="1:18" x14ac:dyDescent="0.25">
      <c r="A1491">
        <f>IF(AND(B1491="", D1491&lt;&gt;""), A1490, A1490+1)</f>
        <v>1485</v>
      </c>
      <c r="R1491" t="b">
        <f>AND(ISNUMBER(FIND($E1491,Tables!$I$2)), ISNUMBER(FIND($D1491,Tables!$J$2)), $E1491&lt;&gt;"")</f>
        <v>0</v>
      </c>
    </row>
    <row r="1492" spans="1:18" x14ac:dyDescent="0.25">
      <c r="A1492">
        <f>IF(AND(B1492="", D1492&lt;&gt;""), A1491, A1491+1)</f>
        <v>1486</v>
      </c>
      <c r="R1492" t="b">
        <f>AND(ISNUMBER(FIND($E1492,Tables!$I$2)), ISNUMBER(FIND($D1492,Tables!$J$2)), $E1492&lt;&gt;"")</f>
        <v>0</v>
      </c>
    </row>
    <row r="1493" spans="1:18" x14ac:dyDescent="0.25">
      <c r="A1493">
        <f>IF(AND(B1493="", D1493&lt;&gt;""), A1492, A1492+1)</f>
        <v>1487</v>
      </c>
      <c r="R1493" t="b">
        <f>AND(ISNUMBER(FIND($E1493,Tables!$I$2)), ISNUMBER(FIND($D1493,Tables!$J$2)), $E1493&lt;&gt;"")</f>
        <v>0</v>
      </c>
    </row>
    <row r="1494" spans="1:18" x14ac:dyDescent="0.25">
      <c r="A1494">
        <f>IF(AND(B1494="", D1494&lt;&gt;""), A1493, A1493+1)</f>
        <v>1488</v>
      </c>
      <c r="R1494" t="b">
        <f>AND(ISNUMBER(FIND($E1494,Tables!$I$2)), ISNUMBER(FIND($D1494,Tables!$J$2)), $E1494&lt;&gt;"")</f>
        <v>0</v>
      </c>
    </row>
    <row r="1495" spans="1:18" x14ac:dyDescent="0.25">
      <c r="A1495">
        <f>IF(AND(B1495="", D1495&lt;&gt;""), A1494, A1494+1)</f>
        <v>1489</v>
      </c>
      <c r="R1495" t="b">
        <f>AND(ISNUMBER(FIND($E1495,Tables!$I$2)), ISNUMBER(FIND($D1495,Tables!$J$2)), $E1495&lt;&gt;"")</f>
        <v>0</v>
      </c>
    </row>
    <row r="1496" spans="1:18" x14ac:dyDescent="0.25">
      <c r="A1496">
        <f>IF(AND(B1496="", D1496&lt;&gt;""), A1495, A1495+1)</f>
        <v>1490</v>
      </c>
      <c r="R1496" t="b">
        <f>AND(ISNUMBER(FIND($E1496,Tables!$I$2)), ISNUMBER(FIND($D1496,Tables!$J$2)), $E1496&lt;&gt;"")</f>
        <v>0</v>
      </c>
    </row>
    <row r="1497" spans="1:18" x14ac:dyDescent="0.25">
      <c r="A1497">
        <f>IF(AND(B1497="", D1497&lt;&gt;""), A1496, A1496+1)</f>
        <v>1491</v>
      </c>
      <c r="R1497" t="b">
        <f>AND(ISNUMBER(FIND($E1497,Tables!$I$2)), ISNUMBER(FIND($D1497,Tables!$J$2)), $E1497&lt;&gt;"")</f>
        <v>0</v>
      </c>
    </row>
    <row r="1498" spans="1:18" x14ac:dyDescent="0.25">
      <c r="A1498">
        <f>IF(AND(B1498="", D1498&lt;&gt;""), A1497, A1497+1)</f>
        <v>1492</v>
      </c>
      <c r="R1498" t="b">
        <f>AND(ISNUMBER(FIND($E1498,Tables!$I$2)), ISNUMBER(FIND($D1498,Tables!$J$2)), $E1498&lt;&gt;"")</f>
        <v>0</v>
      </c>
    </row>
    <row r="1499" spans="1:18" x14ac:dyDescent="0.25">
      <c r="A1499">
        <f>IF(AND(B1499="", D1499&lt;&gt;""), A1498, A1498+1)</f>
        <v>1493</v>
      </c>
      <c r="R1499" t="b">
        <f>AND(ISNUMBER(FIND($E1499,Tables!$I$2)), ISNUMBER(FIND($D1499,Tables!$J$2)), $E1499&lt;&gt;"")</f>
        <v>0</v>
      </c>
    </row>
    <row r="1500" spans="1:18" x14ac:dyDescent="0.25">
      <c r="A1500">
        <f>IF(AND(B1500="", D1500&lt;&gt;""), A1499, A1499+1)</f>
        <v>1494</v>
      </c>
      <c r="R1500" t="b">
        <f>AND(ISNUMBER(FIND($E1500,Tables!$I$2)), ISNUMBER(FIND($D1500,Tables!$J$2)), $E1500&lt;&gt;"")</f>
        <v>0</v>
      </c>
    </row>
    <row r="1501" spans="1:18" x14ac:dyDescent="0.25">
      <c r="A1501">
        <f>IF(AND(B1501="", D1501&lt;&gt;""), A1500, A1500+1)</f>
        <v>1495</v>
      </c>
      <c r="R1501" t="b">
        <f>AND(ISNUMBER(FIND($E1501,Tables!$I$2)), ISNUMBER(FIND($D1501,Tables!$J$2)), $E1501&lt;&gt;"")</f>
        <v>0</v>
      </c>
    </row>
    <row r="1502" spans="1:18" x14ac:dyDescent="0.25">
      <c r="A1502">
        <f>IF(AND(B1502="", D1502&lt;&gt;""), A1501, A1501+1)</f>
        <v>1496</v>
      </c>
      <c r="R1502" t="b">
        <f>AND(ISNUMBER(FIND($E1502,Tables!$I$2)), ISNUMBER(FIND($D1502,Tables!$J$2)), $E1502&lt;&gt;"")</f>
        <v>0</v>
      </c>
    </row>
    <row r="1503" spans="1:18" x14ac:dyDescent="0.25">
      <c r="A1503">
        <f>IF(AND(B1503="", D1503&lt;&gt;""), A1502, A1502+1)</f>
        <v>1497</v>
      </c>
      <c r="R1503" t="b">
        <f>AND(ISNUMBER(FIND($E1503,Tables!$I$2)), ISNUMBER(FIND($D1503,Tables!$J$2)), $E1503&lt;&gt;"")</f>
        <v>0</v>
      </c>
    </row>
    <row r="1504" spans="1:18" x14ac:dyDescent="0.25">
      <c r="A1504">
        <f>IF(AND(B1504="", D1504&lt;&gt;""), A1503, A1503+1)</f>
        <v>1498</v>
      </c>
      <c r="R1504" t="b">
        <f>AND(ISNUMBER(FIND($E1504,Tables!$I$2)), ISNUMBER(FIND($D1504,Tables!$J$2)), $E1504&lt;&gt;"")</f>
        <v>0</v>
      </c>
    </row>
    <row r="1505" spans="1:18" x14ac:dyDescent="0.25">
      <c r="A1505">
        <f>IF(AND(B1505="", D1505&lt;&gt;""), A1504, A1504+1)</f>
        <v>1499</v>
      </c>
      <c r="R1505" t="b">
        <f>AND(ISNUMBER(FIND($E1505,Tables!$I$2)), ISNUMBER(FIND($D1505,Tables!$J$2)), $E1505&lt;&gt;"")</f>
        <v>0</v>
      </c>
    </row>
    <row r="1506" spans="1:18" x14ac:dyDescent="0.25">
      <c r="A1506">
        <f>IF(AND(B1506="", D1506&lt;&gt;""), A1505, A1505+1)</f>
        <v>1500</v>
      </c>
      <c r="R1506" t="b">
        <f>AND(ISNUMBER(FIND($E1506,Tables!$I$2)), ISNUMBER(FIND($D1506,Tables!$J$2)), $E1506&lt;&gt;"")</f>
        <v>0</v>
      </c>
    </row>
    <row r="1507" spans="1:18" x14ac:dyDescent="0.25">
      <c r="A1507">
        <f>IF(AND(B1507="", D1507&lt;&gt;""), A1506, A1506+1)</f>
        <v>1501</v>
      </c>
      <c r="R1507" t="b">
        <f>AND(ISNUMBER(FIND($E1507,Tables!$I$2)), ISNUMBER(FIND($D1507,Tables!$J$2)), $E1507&lt;&gt;"")</f>
        <v>0</v>
      </c>
    </row>
    <row r="1508" spans="1:18" x14ac:dyDescent="0.25">
      <c r="A1508">
        <f>IF(AND(B1508="", D1508&lt;&gt;""), A1507, A1507+1)</f>
        <v>1502</v>
      </c>
      <c r="R1508" t="b">
        <f>AND(ISNUMBER(FIND($E1508,Tables!$I$2)), ISNUMBER(FIND($D1508,Tables!$J$2)), $E1508&lt;&gt;"")</f>
        <v>0</v>
      </c>
    </row>
    <row r="1509" spans="1:18" x14ac:dyDescent="0.25">
      <c r="A1509">
        <f>IF(AND(B1509="", D1509&lt;&gt;""), A1508, A1508+1)</f>
        <v>1503</v>
      </c>
      <c r="R1509" t="b">
        <f>AND(ISNUMBER(FIND($E1509,Tables!$I$2)), ISNUMBER(FIND($D1509,Tables!$J$2)), $E1509&lt;&gt;"")</f>
        <v>0</v>
      </c>
    </row>
    <row r="1510" spans="1:18" x14ac:dyDescent="0.25">
      <c r="A1510">
        <f>IF(AND(B1510="", D1510&lt;&gt;""), A1509, A1509+1)</f>
        <v>1504</v>
      </c>
      <c r="R1510" t="b">
        <f>AND(ISNUMBER(FIND($E1510,Tables!$I$2)), ISNUMBER(FIND($D1510,Tables!$J$2)), $E1510&lt;&gt;"")</f>
        <v>0</v>
      </c>
    </row>
    <row r="1511" spans="1:18" x14ac:dyDescent="0.25">
      <c r="A1511">
        <f>IF(AND(B1511="", D1511&lt;&gt;""), A1510, A1510+1)</f>
        <v>1505</v>
      </c>
      <c r="R1511" t="b">
        <f>AND(ISNUMBER(FIND($E1511,Tables!$I$2)), ISNUMBER(FIND($D1511,Tables!$J$2)), $E1511&lt;&gt;"")</f>
        <v>0</v>
      </c>
    </row>
    <row r="1512" spans="1:18" x14ac:dyDescent="0.25">
      <c r="A1512">
        <f>IF(AND(B1512="", D1512&lt;&gt;""), A1511, A1511+1)</f>
        <v>1506</v>
      </c>
      <c r="R1512" t="b">
        <f>AND(ISNUMBER(FIND($E1512,Tables!$I$2)), ISNUMBER(FIND($D1512,Tables!$J$2)), $E1512&lt;&gt;"")</f>
        <v>0</v>
      </c>
    </row>
    <row r="1513" spans="1:18" x14ac:dyDescent="0.25">
      <c r="A1513">
        <f>IF(AND(B1513="", D1513&lt;&gt;""), A1512, A1512+1)</f>
        <v>1507</v>
      </c>
      <c r="R1513" t="b">
        <f>AND(ISNUMBER(FIND($E1513,Tables!$I$2)), ISNUMBER(FIND($D1513,Tables!$J$2)), $E1513&lt;&gt;"")</f>
        <v>0</v>
      </c>
    </row>
    <row r="1514" spans="1:18" x14ac:dyDescent="0.25">
      <c r="A1514">
        <f>IF(AND(B1514="", D1514&lt;&gt;""), A1513, A1513+1)</f>
        <v>1508</v>
      </c>
      <c r="R1514" t="b">
        <f>AND(ISNUMBER(FIND($E1514,Tables!$I$2)), ISNUMBER(FIND($D1514,Tables!$J$2)), $E1514&lt;&gt;"")</f>
        <v>0</v>
      </c>
    </row>
    <row r="1515" spans="1:18" x14ac:dyDescent="0.25">
      <c r="A1515">
        <f>IF(AND(B1515="", D1515&lt;&gt;""), A1514, A1514+1)</f>
        <v>1509</v>
      </c>
      <c r="R1515" t="b">
        <f>AND(ISNUMBER(FIND($E1515,Tables!$I$2)), ISNUMBER(FIND($D1515,Tables!$J$2)), $E1515&lt;&gt;"")</f>
        <v>0</v>
      </c>
    </row>
    <row r="1516" spans="1:18" x14ac:dyDescent="0.25">
      <c r="A1516">
        <f>IF(AND(B1516="", D1516&lt;&gt;""), A1515, A1515+1)</f>
        <v>1510</v>
      </c>
      <c r="R1516" t="b">
        <f>AND(ISNUMBER(FIND($E1516,Tables!$I$2)), ISNUMBER(FIND($D1516,Tables!$J$2)), $E1516&lt;&gt;"")</f>
        <v>0</v>
      </c>
    </row>
    <row r="1517" spans="1:18" x14ac:dyDescent="0.25">
      <c r="A1517">
        <f>IF(AND(B1517="", D1517&lt;&gt;""), A1516, A1516+1)</f>
        <v>1511</v>
      </c>
      <c r="R1517" t="b">
        <f>AND(ISNUMBER(FIND($E1517,Tables!$I$2)), ISNUMBER(FIND($D1517,Tables!$J$2)), $E1517&lt;&gt;"")</f>
        <v>0</v>
      </c>
    </row>
    <row r="1518" spans="1:18" x14ac:dyDescent="0.25">
      <c r="A1518">
        <f>IF(AND(B1518="", D1518&lt;&gt;""), A1517, A1517+1)</f>
        <v>1512</v>
      </c>
      <c r="R1518" t="b">
        <f>AND(ISNUMBER(FIND($E1518,Tables!$I$2)), ISNUMBER(FIND($D1518,Tables!$J$2)), $E1518&lt;&gt;"")</f>
        <v>0</v>
      </c>
    </row>
    <row r="1519" spans="1:18" x14ac:dyDescent="0.25">
      <c r="A1519">
        <f>IF(AND(B1519="", D1519&lt;&gt;""), A1518, A1518+1)</f>
        <v>1513</v>
      </c>
      <c r="R1519" t="b">
        <f>AND(ISNUMBER(FIND($E1519,Tables!$I$2)), ISNUMBER(FIND($D1519,Tables!$J$2)), $E1519&lt;&gt;"")</f>
        <v>0</v>
      </c>
    </row>
    <row r="1520" spans="1:18" x14ac:dyDescent="0.25">
      <c r="A1520">
        <f>IF(AND(B1520="", D1520&lt;&gt;""), A1519, A1519+1)</f>
        <v>1514</v>
      </c>
      <c r="R1520" t="b">
        <f>AND(ISNUMBER(FIND($E1520,Tables!$I$2)), ISNUMBER(FIND($D1520,Tables!$J$2)), $E1520&lt;&gt;"")</f>
        <v>0</v>
      </c>
    </row>
    <row r="1521" spans="1:18" x14ac:dyDescent="0.25">
      <c r="A1521">
        <f>IF(AND(B1521="", D1521&lt;&gt;""), A1520, A1520+1)</f>
        <v>1515</v>
      </c>
      <c r="R1521" t="b">
        <f>AND(ISNUMBER(FIND($E1521,Tables!$I$2)), ISNUMBER(FIND($D1521,Tables!$J$2)), $E1521&lt;&gt;"")</f>
        <v>0</v>
      </c>
    </row>
    <row r="1522" spans="1:18" x14ac:dyDescent="0.25">
      <c r="A1522">
        <f>IF(AND(B1522="", D1522&lt;&gt;""), A1521, A1521+1)</f>
        <v>1516</v>
      </c>
      <c r="R1522" t="b">
        <f>AND(ISNUMBER(FIND($E1522,Tables!$I$2)), ISNUMBER(FIND($D1522,Tables!$J$2)), $E1522&lt;&gt;"")</f>
        <v>0</v>
      </c>
    </row>
    <row r="1523" spans="1:18" x14ac:dyDescent="0.25">
      <c r="A1523">
        <f>IF(AND(B1523="", D1523&lt;&gt;""), A1522, A1522+1)</f>
        <v>1517</v>
      </c>
      <c r="R1523" t="b">
        <f>AND(ISNUMBER(FIND($E1523,Tables!$I$2)), ISNUMBER(FIND($D1523,Tables!$J$2)), $E1523&lt;&gt;"")</f>
        <v>0</v>
      </c>
    </row>
    <row r="1524" spans="1:18" x14ac:dyDescent="0.25">
      <c r="A1524">
        <f>IF(AND(B1524="", D1524&lt;&gt;""), A1523, A1523+1)</f>
        <v>1518</v>
      </c>
      <c r="R1524" t="b">
        <f>AND(ISNUMBER(FIND($E1524,Tables!$I$2)), ISNUMBER(FIND($D1524,Tables!$J$2)), $E1524&lt;&gt;"")</f>
        <v>0</v>
      </c>
    </row>
    <row r="1525" spans="1:18" x14ac:dyDescent="0.25">
      <c r="A1525">
        <f>IF(AND(B1525="", D1525&lt;&gt;""), A1524, A1524+1)</f>
        <v>1519</v>
      </c>
      <c r="R1525" t="b">
        <f>AND(ISNUMBER(FIND($E1525,Tables!$I$2)), ISNUMBER(FIND($D1525,Tables!$J$2)), $E1525&lt;&gt;"")</f>
        <v>0</v>
      </c>
    </row>
    <row r="1526" spans="1:18" x14ac:dyDescent="0.25">
      <c r="A1526">
        <f>IF(AND(B1526="", D1526&lt;&gt;""), A1525, A1525+1)</f>
        <v>1520</v>
      </c>
      <c r="R1526" t="b">
        <f>AND(ISNUMBER(FIND($E1526,Tables!$I$2)), ISNUMBER(FIND($D1526,Tables!$J$2)), $E1526&lt;&gt;"")</f>
        <v>0</v>
      </c>
    </row>
    <row r="1527" spans="1:18" x14ac:dyDescent="0.25">
      <c r="A1527">
        <f>IF(AND(B1527="", D1527&lt;&gt;""), A1526, A1526+1)</f>
        <v>1521</v>
      </c>
      <c r="R1527" t="b">
        <f>AND(ISNUMBER(FIND($E1527,Tables!$I$2)), ISNUMBER(FIND($D1527,Tables!$J$2)), $E1527&lt;&gt;"")</f>
        <v>0</v>
      </c>
    </row>
    <row r="1528" spans="1:18" x14ac:dyDescent="0.25">
      <c r="A1528">
        <f>IF(AND(B1528="", D1528&lt;&gt;""), A1527, A1527+1)</f>
        <v>1522</v>
      </c>
      <c r="R1528" t="b">
        <f>AND(ISNUMBER(FIND($E1528,Tables!$I$2)), ISNUMBER(FIND($D1528,Tables!$J$2)), $E1528&lt;&gt;"")</f>
        <v>0</v>
      </c>
    </row>
    <row r="1529" spans="1:18" x14ac:dyDescent="0.25">
      <c r="A1529">
        <f>IF(AND(B1529="", D1529&lt;&gt;""), A1528, A1528+1)</f>
        <v>1523</v>
      </c>
      <c r="R1529" t="b">
        <f>AND(ISNUMBER(FIND($E1529,Tables!$I$2)), ISNUMBER(FIND($D1529,Tables!$J$2)), $E1529&lt;&gt;"")</f>
        <v>0</v>
      </c>
    </row>
    <row r="1530" spans="1:18" x14ac:dyDescent="0.25">
      <c r="A1530">
        <f>IF(AND(B1530="", D1530&lt;&gt;""), A1529, A1529+1)</f>
        <v>1524</v>
      </c>
      <c r="R1530" t="b">
        <f>AND(ISNUMBER(FIND($E1530,Tables!$I$2)), ISNUMBER(FIND($D1530,Tables!$J$2)), $E1530&lt;&gt;"")</f>
        <v>0</v>
      </c>
    </row>
    <row r="1531" spans="1:18" x14ac:dyDescent="0.25">
      <c r="A1531">
        <f>IF(AND(B1531="", D1531&lt;&gt;""), A1530, A1530+1)</f>
        <v>1525</v>
      </c>
      <c r="R1531" t="b">
        <f>AND(ISNUMBER(FIND($E1531,Tables!$I$2)), ISNUMBER(FIND($D1531,Tables!$J$2)), $E1531&lt;&gt;"")</f>
        <v>0</v>
      </c>
    </row>
    <row r="1532" spans="1:18" x14ac:dyDescent="0.25">
      <c r="A1532">
        <f>IF(AND(B1532="", D1532&lt;&gt;""), A1531, A1531+1)</f>
        <v>1526</v>
      </c>
      <c r="R1532" t="b">
        <f>AND(ISNUMBER(FIND($E1532,Tables!$I$2)), ISNUMBER(FIND($D1532,Tables!$J$2)), $E1532&lt;&gt;"")</f>
        <v>0</v>
      </c>
    </row>
    <row r="1533" spans="1:18" x14ac:dyDescent="0.25">
      <c r="A1533">
        <f>IF(AND(B1533="", D1533&lt;&gt;""), A1532, A1532+1)</f>
        <v>1527</v>
      </c>
      <c r="R1533" t="b">
        <f>AND(ISNUMBER(FIND($E1533,Tables!$I$2)), ISNUMBER(FIND($D1533,Tables!$J$2)), $E1533&lt;&gt;"")</f>
        <v>0</v>
      </c>
    </row>
    <row r="1534" spans="1:18" x14ac:dyDescent="0.25">
      <c r="A1534">
        <f>IF(AND(B1534="", D1534&lt;&gt;""), A1533, A1533+1)</f>
        <v>1528</v>
      </c>
      <c r="R1534" t="b">
        <f>AND(ISNUMBER(FIND($E1534,Tables!$I$2)), ISNUMBER(FIND($D1534,Tables!$J$2)), $E1534&lt;&gt;"")</f>
        <v>0</v>
      </c>
    </row>
    <row r="1535" spans="1:18" x14ac:dyDescent="0.25">
      <c r="A1535">
        <f>IF(AND(B1535="", D1535&lt;&gt;""), A1534, A1534+1)</f>
        <v>1529</v>
      </c>
      <c r="R1535" t="b">
        <f>AND(ISNUMBER(FIND($E1535,Tables!$I$2)), ISNUMBER(FIND($D1535,Tables!$J$2)), $E1535&lt;&gt;"")</f>
        <v>0</v>
      </c>
    </row>
    <row r="1536" spans="1:18" x14ac:dyDescent="0.25">
      <c r="A1536">
        <f>IF(AND(B1536="", D1536&lt;&gt;""), A1535, A1535+1)</f>
        <v>1530</v>
      </c>
      <c r="R1536" t="b">
        <f>AND(ISNUMBER(FIND($E1536,Tables!$I$2)), ISNUMBER(FIND($D1536,Tables!$J$2)), $E1536&lt;&gt;"")</f>
        <v>0</v>
      </c>
    </row>
    <row r="1537" spans="1:18" x14ac:dyDescent="0.25">
      <c r="A1537">
        <f>IF(AND(B1537="", D1537&lt;&gt;""), A1536, A1536+1)</f>
        <v>1531</v>
      </c>
      <c r="R1537" t="b">
        <f>AND(ISNUMBER(FIND($E1537,Tables!$I$2)), ISNUMBER(FIND($D1537,Tables!$J$2)), $E1537&lt;&gt;"")</f>
        <v>0</v>
      </c>
    </row>
    <row r="1538" spans="1:18" x14ac:dyDescent="0.25">
      <c r="A1538">
        <f>IF(AND(B1538="", D1538&lt;&gt;""), A1537, A1537+1)</f>
        <v>1532</v>
      </c>
      <c r="R1538" t="b">
        <f>AND(ISNUMBER(FIND($E1538,Tables!$I$2)), ISNUMBER(FIND($D1538,Tables!$J$2)), $E1538&lt;&gt;"")</f>
        <v>0</v>
      </c>
    </row>
    <row r="1539" spans="1:18" x14ac:dyDescent="0.25">
      <c r="A1539">
        <f>IF(AND(B1539="", D1539&lt;&gt;""), A1538, A1538+1)</f>
        <v>1533</v>
      </c>
      <c r="R1539" t="b">
        <f>AND(ISNUMBER(FIND($E1539,Tables!$I$2)), ISNUMBER(FIND($D1539,Tables!$J$2)), $E1539&lt;&gt;"")</f>
        <v>0</v>
      </c>
    </row>
    <row r="1540" spans="1:18" x14ac:dyDescent="0.25">
      <c r="A1540">
        <f>IF(AND(B1540="", D1540&lt;&gt;""), A1539, A1539+1)</f>
        <v>1534</v>
      </c>
      <c r="R1540" t="b">
        <f>AND(ISNUMBER(FIND($E1540,Tables!$I$2)), ISNUMBER(FIND($D1540,Tables!$J$2)), $E1540&lt;&gt;"")</f>
        <v>0</v>
      </c>
    </row>
    <row r="1541" spans="1:18" x14ac:dyDescent="0.25">
      <c r="A1541">
        <f>IF(AND(B1541="", D1541&lt;&gt;""), A1540, A1540+1)</f>
        <v>1535</v>
      </c>
      <c r="R1541" t="b">
        <f>AND(ISNUMBER(FIND($E1541,Tables!$I$2)), ISNUMBER(FIND($D1541,Tables!$J$2)), $E1541&lt;&gt;"")</f>
        <v>0</v>
      </c>
    </row>
    <row r="1542" spans="1:18" x14ac:dyDescent="0.25">
      <c r="A1542">
        <f>IF(AND(B1542="", D1542&lt;&gt;""), A1541, A1541+1)</f>
        <v>1536</v>
      </c>
      <c r="R1542" t="b">
        <f>AND(ISNUMBER(FIND($E1542,Tables!$I$2)), ISNUMBER(FIND($D1542,Tables!$J$2)), $E1542&lt;&gt;"")</f>
        <v>0</v>
      </c>
    </row>
    <row r="1543" spans="1:18" x14ac:dyDescent="0.25">
      <c r="A1543">
        <f>IF(AND(B1543="", D1543&lt;&gt;""), A1542, A1542+1)</f>
        <v>1537</v>
      </c>
      <c r="R1543" t="b">
        <f>AND(ISNUMBER(FIND($E1543,Tables!$I$2)), ISNUMBER(FIND($D1543,Tables!$J$2)), $E1543&lt;&gt;"")</f>
        <v>0</v>
      </c>
    </row>
    <row r="1544" spans="1:18" x14ac:dyDescent="0.25">
      <c r="A1544">
        <f>IF(AND(B1544="", D1544&lt;&gt;""), A1543, A1543+1)</f>
        <v>1538</v>
      </c>
      <c r="R1544" t="b">
        <f>AND(ISNUMBER(FIND($E1544,Tables!$I$2)), ISNUMBER(FIND($D1544,Tables!$J$2)), $E1544&lt;&gt;"")</f>
        <v>0</v>
      </c>
    </row>
    <row r="1545" spans="1:18" x14ac:dyDescent="0.25">
      <c r="A1545">
        <f>IF(AND(B1545="", D1545&lt;&gt;""), A1544, A1544+1)</f>
        <v>1539</v>
      </c>
      <c r="R1545" t="b">
        <f>AND(ISNUMBER(FIND($E1545,Tables!$I$2)), ISNUMBER(FIND($D1545,Tables!$J$2)), $E1545&lt;&gt;"")</f>
        <v>0</v>
      </c>
    </row>
    <row r="1546" spans="1:18" x14ac:dyDescent="0.25">
      <c r="A1546">
        <f>IF(AND(B1546="", D1546&lt;&gt;""), A1545, A1545+1)</f>
        <v>1540</v>
      </c>
      <c r="R1546" t="b">
        <f>AND(ISNUMBER(FIND($E1546,Tables!$I$2)), ISNUMBER(FIND($D1546,Tables!$J$2)), $E1546&lt;&gt;"")</f>
        <v>0</v>
      </c>
    </row>
    <row r="1547" spans="1:18" x14ac:dyDescent="0.25">
      <c r="A1547">
        <f>IF(AND(B1547="", D1547&lt;&gt;""), A1546, A1546+1)</f>
        <v>1541</v>
      </c>
      <c r="R1547" t="b">
        <f>AND(ISNUMBER(FIND($E1547,Tables!$I$2)), ISNUMBER(FIND($D1547,Tables!$J$2)), $E1547&lt;&gt;"")</f>
        <v>0</v>
      </c>
    </row>
    <row r="1548" spans="1:18" x14ac:dyDescent="0.25">
      <c r="A1548">
        <f>IF(AND(B1548="", D1548&lt;&gt;""), A1547, A1547+1)</f>
        <v>1542</v>
      </c>
      <c r="R1548" t="b">
        <f>AND(ISNUMBER(FIND($E1548,Tables!$I$2)), ISNUMBER(FIND($D1548,Tables!$J$2)), $E1548&lt;&gt;"")</f>
        <v>0</v>
      </c>
    </row>
    <row r="1549" spans="1:18" x14ac:dyDescent="0.25">
      <c r="A1549">
        <f>IF(AND(B1549="", D1549&lt;&gt;""), A1548, A1548+1)</f>
        <v>1543</v>
      </c>
      <c r="R1549" t="b">
        <f>AND(ISNUMBER(FIND($E1549,Tables!$I$2)), ISNUMBER(FIND($D1549,Tables!$J$2)), $E1549&lt;&gt;"")</f>
        <v>0</v>
      </c>
    </row>
    <row r="1550" spans="1:18" x14ac:dyDescent="0.25">
      <c r="A1550">
        <f>IF(AND(B1550="", D1550&lt;&gt;""), A1549, A1549+1)</f>
        <v>1544</v>
      </c>
      <c r="R1550" t="b">
        <f>AND(ISNUMBER(FIND($E1550,Tables!$I$2)), ISNUMBER(FIND($D1550,Tables!$J$2)), $E1550&lt;&gt;"")</f>
        <v>0</v>
      </c>
    </row>
    <row r="1551" spans="1:18" x14ac:dyDescent="0.25">
      <c r="A1551">
        <f>IF(AND(B1551="", D1551&lt;&gt;""), A1550, A1550+1)</f>
        <v>1545</v>
      </c>
      <c r="R1551" t="b">
        <f>AND(ISNUMBER(FIND($E1551,Tables!$I$2)), ISNUMBER(FIND($D1551,Tables!$J$2)), $E1551&lt;&gt;"")</f>
        <v>0</v>
      </c>
    </row>
    <row r="1552" spans="1:18" x14ac:dyDescent="0.25">
      <c r="A1552">
        <f>IF(AND(B1552="", D1552&lt;&gt;""), A1551, A1551+1)</f>
        <v>1546</v>
      </c>
      <c r="R1552" t="b">
        <f>AND(ISNUMBER(FIND($E1552,Tables!$I$2)), ISNUMBER(FIND($D1552,Tables!$J$2)), $E1552&lt;&gt;"")</f>
        <v>0</v>
      </c>
    </row>
    <row r="1553" spans="1:18" x14ac:dyDescent="0.25">
      <c r="A1553">
        <f>IF(AND(B1553="", D1553&lt;&gt;""), A1552, A1552+1)</f>
        <v>1547</v>
      </c>
      <c r="R1553" t="b">
        <f>AND(ISNUMBER(FIND($E1553,Tables!$I$2)), ISNUMBER(FIND($D1553,Tables!$J$2)), $E1553&lt;&gt;"")</f>
        <v>0</v>
      </c>
    </row>
    <row r="1554" spans="1:18" x14ac:dyDescent="0.25">
      <c r="A1554">
        <f>IF(AND(B1554="", D1554&lt;&gt;""), A1553, A1553+1)</f>
        <v>1548</v>
      </c>
      <c r="R1554" t="b">
        <f>AND(ISNUMBER(FIND($E1554,Tables!$I$2)), ISNUMBER(FIND($D1554,Tables!$J$2)), $E1554&lt;&gt;"")</f>
        <v>0</v>
      </c>
    </row>
    <row r="1555" spans="1:18" x14ac:dyDescent="0.25">
      <c r="A1555">
        <f>IF(AND(B1555="", D1555&lt;&gt;""), A1554, A1554+1)</f>
        <v>1549</v>
      </c>
      <c r="R1555" t="b">
        <f>AND(ISNUMBER(FIND($E1555,Tables!$I$2)), ISNUMBER(FIND($D1555,Tables!$J$2)), $E1555&lt;&gt;"")</f>
        <v>0</v>
      </c>
    </row>
    <row r="1556" spans="1:18" x14ac:dyDescent="0.25">
      <c r="A1556">
        <f>IF(AND(B1556="", D1556&lt;&gt;""), A1555, A1555+1)</f>
        <v>1550</v>
      </c>
      <c r="R1556" t="b">
        <f>AND(ISNUMBER(FIND($E1556,Tables!$I$2)), ISNUMBER(FIND($D1556,Tables!$J$2)), $E1556&lt;&gt;"")</f>
        <v>0</v>
      </c>
    </row>
    <row r="1557" spans="1:18" x14ac:dyDescent="0.25">
      <c r="A1557">
        <f>IF(AND(B1557="", D1557&lt;&gt;""), A1556, A1556+1)</f>
        <v>1551</v>
      </c>
      <c r="R1557" t="b">
        <f>AND(ISNUMBER(FIND($E1557,Tables!$I$2)), ISNUMBER(FIND($D1557,Tables!$J$2)), $E1557&lt;&gt;"")</f>
        <v>0</v>
      </c>
    </row>
    <row r="1558" spans="1:18" x14ac:dyDescent="0.25">
      <c r="A1558">
        <f>IF(AND(B1558="", D1558&lt;&gt;""), A1557, A1557+1)</f>
        <v>1552</v>
      </c>
      <c r="R1558" t="b">
        <f>AND(ISNUMBER(FIND($E1558,Tables!$I$2)), ISNUMBER(FIND($D1558,Tables!$J$2)), $E1558&lt;&gt;"")</f>
        <v>0</v>
      </c>
    </row>
    <row r="1559" spans="1:18" x14ac:dyDescent="0.25">
      <c r="A1559">
        <f>IF(AND(B1559="", D1559&lt;&gt;""), A1558, A1558+1)</f>
        <v>1553</v>
      </c>
      <c r="R1559" t="b">
        <f>AND(ISNUMBER(FIND($E1559,Tables!$I$2)), ISNUMBER(FIND($D1559,Tables!$J$2)), $E1559&lt;&gt;"")</f>
        <v>0</v>
      </c>
    </row>
    <row r="1560" spans="1:18" x14ac:dyDescent="0.25">
      <c r="A1560">
        <f>IF(AND(B1560="", D1560&lt;&gt;""), A1559, A1559+1)</f>
        <v>1554</v>
      </c>
      <c r="R1560" t="b">
        <f>AND(ISNUMBER(FIND($E1560,Tables!$I$2)), ISNUMBER(FIND($D1560,Tables!$J$2)), $E1560&lt;&gt;"")</f>
        <v>0</v>
      </c>
    </row>
    <row r="1561" spans="1:18" x14ac:dyDescent="0.25">
      <c r="A1561">
        <f>IF(AND(B1561="", D1561&lt;&gt;""), A1560, A1560+1)</f>
        <v>1555</v>
      </c>
      <c r="R1561" t="b">
        <f>AND(ISNUMBER(FIND($E1561,Tables!$I$2)), ISNUMBER(FIND($D1561,Tables!$J$2)), $E1561&lt;&gt;"")</f>
        <v>0</v>
      </c>
    </row>
    <row r="1562" spans="1:18" x14ac:dyDescent="0.25">
      <c r="A1562">
        <f>IF(AND(B1562="", D1562&lt;&gt;""), A1561, A1561+1)</f>
        <v>1556</v>
      </c>
      <c r="R1562" t="b">
        <f>AND(ISNUMBER(FIND($E1562,Tables!$I$2)), ISNUMBER(FIND($D1562,Tables!$J$2)), $E1562&lt;&gt;"")</f>
        <v>0</v>
      </c>
    </row>
    <row r="1563" spans="1:18" x14ac:dyDescent="0.25">
      <c r="A1563">
        <f>IF(AND(B1563="", D1563&lt;&gt;""), A1562, A1562+1)</f>
        <v>1557</v>
      </c>
      <c r="R1563" t="b">
        <f>AND(ISNUMBER(FIND($E1563,Tables!$I$2)), ISNUMBER(FIND($D1563,Tables!$J$2)), $E1563&lt;&gt;"")</f>
        <v>0</v>
      </c>
    </row>
    <row r="1564" spans="1:18" x14ac:dyDescent="0.25">
      <c r="A1564">
        <f>IF(AND(B1564="", D1564&lt;&gt;""), A1563, A1563+1)</f>
        <v>1558</v>
      </c>
      <c r="R1564" t="b">
        <f>AND(ISNUMBER(FIND($E1564,Tables!$I$2)), ISNUMBER(FIND($D1564,Tables!$J$2)), $E1564&lt;&gt;"")</f>
        <v>0</v>
      </c>
    </row>
    <row r="1565" spans="1:18" x14ac:dyDescent="0.25">
      <c r="A1565">
        <f>IF(AND(B1565="", D1565&lt;&gt;""), A1564, A1564+1)</f>
        <v>1559</v>
      </c>
      <c r="R1565" t="b">
        <f>AND(ISNUMBER(FIND($E1565,Tables!$I$2)), ISNUMBER(FIND($D1565,Tables!$J$2)), $E1565&lt;&gt;"")</f>
        <v>0</v>
      </c>
    </row>
    <row r="1566" spans="1:18" x14ac:dyDescent="0.25">
      <c r="A1566">
        <f>IF(AND(B1566="", D1566&lt;&gt;""), A1565, A1565+1)</f>
        <v>1560</v>
      </c>
      <c r="R1566" t="b">
        <f>AND(ISNUMBER(FIND($E1566,Tables!$I$2)), ISNUMBER(FIND($D1566,Tables!$J$2)), $E1566&lt;&gt;"")</f>
        <v>0</v>
      </c>
    </row>
    <row r="1567" spans="1:18" x14ac:dyDescent="0.25">
      <c r="A1567">
        <f>IF(AND(B1567="", D1567&lt;&gt;""), A1566, A1566+1)</f>
        <v>1561</v>
      </c>
      <c r="R1567" t="b">
        <f>AND(ISNUMBER(FIND($E1567,Tables!$I$2)), ISNUMBER(FIND($D1567,Tables!$J$2)), $E1567&lt;&gt;"")</f>
        <v>0</v>
      </c>
    </row>
    <row r="1568" spans="1:18" x14ac:dyDescent="0.25">
      <c r="A1568">
        <f>IF(AND(B1568="", D1568&lt;&gt;""), A1567, A1567+1)</f>
        <v>1562</v>
      </c>
      <c r="R1568" t="b">
        <f>AND(ISNUMBER(FIND($E1568,Tables!$I$2)), ISNUMBER(FIND($D1568,Tables!$J$2)), $E1568&lt;&gt;"")</f>
        <v>0</v>
      </c>
    </row>
    <row r="1569" spans="1:18" x14ac:dyDescent="0.25">
      <c r="A1569">
        <f>IF(AND(B1569="", D1569&lt;&gt;""), A1568, A1568+1)</f>
        <v>1563</v>
      </c>
      <c r="R1569" t="b">
        <f>AND(ISNUMBER(FIND($E1569,Tables!$I$2)), ISNUMBER(FIND($D1569,Tables!$J$2)), $E1569&lt;&gt;"")</f>
        <v>0</v>
      </c>
    </row>
    <row r="1570" spans="1:18" x14ac:dyDescent="0.25">
      <c r="A1570">
        <f>IF(AND(B1570="", D1570&lt;&gt;""), A1569, A1569+1)</f>
        <v>1564</v>
      </c>
      <c r="R1570" t="b">
        <f>AND(ISNUMBER(FIND($E1570,Tables!$I$2)), ISNUMBER(FIND($D1570,Tables!$J$2)), $E1570&lt;&gt;"")</f>
        <v>0</v>
      </c>
    </row>
    <row r="1571" spans="1:18" x14ac:dyDescent="0.25">
      <c r="A1571">
        <f>IF(AND(B1571="", D1571&lt;&gt;""), A1570, A1570+1)</f>
        <v>1565</v>
      </c>
      <c r="R1571" t="b">
        <f>AND(ISNUMBER(FIND($E1571,Tables!$I$2)), ISNUMBER(FIND($D1571,Tables!$J$2)), $E1571&lt;&gt;"")</f>
        <v>0</v>
      </c>
    </row>
    <row r="1572" spans="1:18" x14ac:dyDescent="0.25">
      <c r="A1572">
        <f>IF(AND(B1572="", D1572&lt;&gt;""), A1571, A1571+1)</f>
        <v>1566</v>
      </c>
      <c r="R1572" t="b">
        <f>AND(ISNUMBER(FIND($E1572,Tables!$I$2)), ISNUMBER(FIND($D1572,Tables!$J$2)), $E1572&lt;&gt;"")</f>
        <v>0</v>
      </c>
    </row>
    <row r="1573" spans="1:18" x14ac:dyDescent="0.25">
      <c r="A1573">
        <f>IF(AND(B1573="", D1573&lt;&gt;""), A1572, A1572+1)</f>
        <v>1567</v>
      </c>
      <c r="R1573" t="b">
        <f>AND(ISNUMBER(FIND($E1573,Tables!$I$2)), ISNUMBER(FIND($D1573,Tables!$J$2)), $E1573&lt;&gt;"")</f>
        <v>0</v>
      </c>
    </row>
    <row r="1574" spans="1:18" x14ac:dyDescent="0.25">
      <c r="A1574">
        <f>IF(AND(B1574="", D1574&lt;&gt;""), A1573, A1573+1)</f>
        <v>1568</v>
      </c>
      <c r="R1574" t="b">
        <f>AND(ISNUMBER(FIND($E1574,Tables!$I$2)), ISNUMBER(FIND($D1574,Tables!$J$2)), $E1574&lt;&gt;"")</f>
        <v>0</v>
      </c>
    </row>
    <row r="1575" spans="1:18" x14ac:dyDescent="0.25">
      <c r="A1575">
        <f>IF(AND(B1575="", D1575&lt;&gt;""), A1574, A1574+1)</f>
        <v>1569</v>
      </c>
      <c r="R1575" t="b">
        <f>AND(ISNUMBER(FIND($E1575,Tables!$I$2)), ISNUMBER(FIND($D1575,Tables!$J$2)), $E1575&lt;&gt;"")</f>
        <v>0</v>
      </c>
    </row>
    <row r="1576" spans="1:18" x14ac:dyDescent="0.25">
      <c r="A1576">
        <f>IF(AND(B1576="", D1576&lt;&gt;""), A1575, A1575+1)</f>
        <v>1570</v>
      </c>
      <c r="R1576" t="b">
        <f>AND(ISNUMBER(FIND($E1576,Tables!$I$2)), ISNUMBER(FIND($D1576,Tables!$J$2)), $E1576&lt;&gt;"")</f>
        <v>0</v>
      </c>
    </row>
    <row r="1577" spans="1:18" x14ac:dyDescent="0.25">
      <c r="A1577">
        <f>IF(AND(B1577="", D1577&lt;&gt;""), A1576, A1576+1)</f>
        <v>1571</v>
      </c>
      <c r="R1577" t="b">
        <f>AND(ISNUMBER(FIND($E1577,Tables!$I$2)), ISNUMBER(FIND($D1577,Tables!$J$2)), $E1577&lt;&gt;"")</f>
        <v>0</v>
      </c>
    </row>
    <row r="1578" spans="1:18" x14ac:dyDescent="0.25">
      <c r="A1578">
        <f>IF(AND(B1578="", D1578&lt;&gt;""), A1577, A1577+1)</f>
        <v>1572</v>
      </c>
      <c r="R1578" t="b">
        <f>AND(ISNUMBER(FIND($E1578,Tables!$I$2)), ISNUMBER(FIND($D1578,Tables!$J$2)), $E1578&lt;&gt;"")</f>
        <v>0</v>
      </c>
    </row>
    <row r="1579" spans="1:18" x14ac:dyDescent="0.25">
      <c r="A1579">
        <f>IF(AND(B1579="", D1579&lt;&gt;""), A1578, A1578+1)</f>
        <v>1573</v>
      </c>
      <c r="R1579" t="b">
        <f>AND(ISNUMBER(FIND($E1579,Tables!$I$2)), ISNUMBER(FIND($D1579,Tables!$J$2)), $E1579&lt;&gt;"")</f>
        <v>0</v>
      </c>
    </row>
    <row r="1580" spans="1:18" x14ac:dyDescent="0.25">
      <c r="A1580">
        <f>IF(AND(B1580="", D1580&lt;&gt;""), A1579, A1579+1)</f>
        <v>1574</v>
      </c>
      <c r="R1580" t="b">
        <f>AND(ISNUMBER(FIND($E1580,Tables!$I$2)), ISNUMBER(FIND($D1580,Tables!$J$2)), $E1580&lt;&gt;"")</f>
        <v>0</v>
      </c>
    </row>
    <row r="1581" spans="1:18" x14ac:dyDescent="0.25">
      <c r="A1581">
        <f>IF(AND(B1581="", D1581&lt;&gt;""), A1580, A1580+1)</f>
        <v>1575</v>
      </c>
      <c r="R1581" t="b">
        <f>AND(ISNUMBER(FIND($E1581,Tables!$I$2)), ISNUMBER(FIND($D1581,Tables!$J$2)), $E1581&lt;&gt;"")</f>
        <v>0</v>
      </c>
    </row>
    <row r="1582" spans="1:18" x14ac:dyDescent="0.25">
      <c r="A1582">
        <f>IF(AND(B1582="", D1582&lt;&gt;""), A1581, A1581+1)</f>
        <v>1576</v>
      </c>
      <c r="R1582" t="b">
        <f>AND(ISNUMBER(FIND($E1582,Tables!$I$2)), ISNUMBER(FIND($D1582,Tables!$J$2)), $E1582&lt;&gt;"")</f>
        <v>0</v>
      </c>
    </row>
    <row r="1583" spans="1:18" x14ac:dyDescent="0.25">
      <c r="A1583">
        <f>IF(AND(B1583="", D1583&lt;&gt;""), A1582, A1582+1)</f>
        <v>1577</v>
      </c>
      <c r="R1583" t="b">
        <f>AND(ISNUMBER(FIND($E1583,Tables!$I$2)), ISNUMBER(FIND($D1583,Tables!$J$2)), $E1583&lt;&gt;"")</f>
        <v>0</v>
      </c>
    </row>
    <row r="1584" spans="1:18" x14ac:dyDescent="0.25">
      <c r="A1584">
        <f>IF(AND(B1584="", D1584&lt;&gt;""), A1583, A1583+1)</f>
        <v>1578</v>
      </c>
      <c r="R1584" t="b">
        <f>AND(ISNUMBER(FIND($E1584,Tables!$I$2)), ISNUMBER(FIND($D1584,Tables!$J$2)), $E1584&lt;&gt;"")</f>
        <v>0</v>
      </c>
    </row>
    <row r="1585" spans="1:18" x14ac:dyDescent="0.25">
      <c r="A1585">
        <f>IF(AND(B1585="", D1585&lt;&gt;""), A1584, A1584+1)</f>
        <v>1579</v>
      </c>
      <c r="R1585" t="b">
        <f>AND(ISNUMBER(FIND($E1585,Tables!$I$2)), ISNUMBER(FIND($D1585,Tables!$J$2)), $E1585&lt;&gt;"")</f>
        <v>0</v>
      </c>
    </row>
    <row r="1586" spans="1:18" x14ac:dyDescent="0.25">
      <c r="A1586">
        <f>IF(AND(B1586="", D1586&lt;&gt;""), A1585, A1585+1)</f>
        <v>1580</v>
      </c>
      <c r="R1586" t="b">
        <f>AND(ISNUMBER(FIND($E1586,Tables!$I$2)), ISNUMBER(FIND($D1586,Tables!$J$2)), $E1586&lt;&gt;"")</f>
        <v>0</v>
      </c>
    </row>
    <row r="1587" spans="1:18" x14ac:dyDescent="0.25">
      <c r="A1587">
        <f>IF(AND(B1587="", D1587&lt;&gt;""), A1586, A1586+1)</f>
        <v>1581</v>
      </c>
      <c r="R1587" t="b">
        <f>AND(ISNUMBER(FIND($E1587,Tables!$I$2)), ISNUMBER(FIND($D1587,Tables!$J$2)), $E1587&lt;&gt;"")</f>
        <v>0</v>
      </c>
    </row>
    <row r="1588" spans="1:18" x14ac:dyDescent="0.25">
      <c r="A1588">
        <f>IF(AND(B1588="", D1588&lt;&gt;""), A1587, A1587+1)</f>
        <v>1582</v>
      </c>
      <c r="R1588" t="b">
        <f>AND(ISNUMBER(FIND($E1588,Tables!$I$2)), ISNUMBER(FIND($D1588,Tables!$J$2)), $E1588&lt;&gt;"")</f>
        <v>0</v>
      </c>
    </row>
    <row r="1589" spans="1:18" x14ac:dyDescent="0.25">
      <c r="A1589">
        <f>IF(AND(B1589="", D1589&lt;&gt;""), A1588, A1588+1)</f>
        <v>1583</v>
      </c>
      <c r="R1589" t="b">
        <f>AND(ISNUMBER(FIND($E1589,Tables!$I$2)), ISNUMBER(FIND($D1589,Tables!$J$2)), $E1589&lt;&gt;"")</f>
        <v>0</v>
      </c>
    </row>
    <row r="1590" spans="1:18" x14ac:dyDescent="0.25">
      <c r="A1590">
        <f>IF(AND(B1590="", D1590&lt;&gt;""), A1589, A1589+1)</f>
        <v>1584</v>
      </c>
      <c r="R1590" t="b">
        <f>AND(ISNUMBER(FIND($E1590,Tables!$I$2)), ISNUMBER(FIND($D1590,Tables!$J$2)), $E1590&lt;&gt;"")</f>
        <v>0</v>
      </c>
    </row>
    <row r="1591" spans="1:18" x14ac:dyDescent="0.25">
      <c r="A1591">
        <f>IF(AND(B1591="", D1591&lt;&gt;""), A1590, A1590+1)</f>
        <v>1585</v>
      </c>
      <c r="R1591" t="b">
        <f>AND(ISNUMBER(FIND($E1591,Tables!$I$2)), ISNUMBER(FIND($D1591,Tables!$J$2)), $E1591&lt;&gt;"")</f>
        <v>0</v>
      </c>
    </row>
    <row r="1592" spans="1:18" x14ac:dyDescent="0.25">
      <c r="A1592">
        <f>IF(AND(B1592="", D1592&lt;&gt;""), A1591, A1591+1)</f>
        <v>1586</v>
      </c>
      <c r="R1592" t="b">
        <f>AND(ISNUMBER(FIND($E1592,Tables!$I$2)), ISNUMBER(FIND($D1592,Tables!$J$2)), $E1592&lt;&gt;"")</f>
        <v>0</v>
      </c>
    </row>
    <row r="1593" spans="1:18" x14ac:dyDescent="0.25">
      <c r="A1593">
        <f>IF(AND(B1593="", D1593&lt;&gt;""), A1592, A1592+1)</f>
        <v>1587</v>
      </c>
      <c r="R1593" t="b">
        <f>AND(ISNUMBER(FIND($E1593,Tables!$I$2)), ISNUMBER(FIND($D1593,Tables!$J$2)), $E1593&lt;&gt;"")</f>
        <v>0</v>
      </c>
    </row>
    <row r="1594" spans="1:18" x14ac:dyDescent="0.25">
      <c r="A1594">
        <f>IF(AND(B1594="", D1594&lt;&gt;""), A1593, A1593+1)</f>
        <v>1588</v>
      </c>
      <c r="R1594" t="b">
        <f>AND(ISNUMBER(FIND($E1594,Tables!$I$2)), ISNUMBER(FIND($D1594,Tables!$J$2)), $E1594&lt;&gt;"")</f>
        <v>0</v>
      </c>
    </row>
    <row r="1595" spans="1:18" x14ac:dyDescent="0.25">
      <c r="A1595">
        <f>IF(AND(B1595="", D1595&lt;&gt;""), A1594, A1594+1)</f>
        <v>1589</v>
      </c>
      <c r="R1595" t="b">
        <f>AND(ISNUMBER(FIND($E1595,Tables!$I$2)), ISNUMBER(FIND($D1595,Tables!$J$2)), $E1595&lt;&gt;"")</f>
        <v>0</v>
      </c>
    </row>
    <row r="1596" spans="1:18" x14ac:dyDescent="0.25">
      <c r="A1596">
        <f>IF(AND(B1596="", D1596&lt;&gt;""), A1595, A1595+1)</f>
        <v>1590</v>
      </c>
      <c r="R1596" t="b">
        <f>AND(ISNUMBER(FIND($E1596,Tables!$I$2)), ISNUMBER(FIND($D1596,Tables!$J$2)), $E1596&lt;&gt;"")</f>
        <v>0</v>
      </c>
    </row>
    <row r="1597" spans="1:18" x14ac:dyDescent="0.25">
      <c r="A1597">
        <f>IF(AND(B1597="", D1597&lt;&gt;""), A1596, A1596+1)</f>
        <v>1591</v>
      </c>
      <c r="R1597" t="b">
        <f>AND(ISNUMBER(FIND($E1597,Tables!$I$2)), ISNUMBER(FIND($D1597,Tables!$J$2)), $E1597&lt;&gt;"")</f>
        <v>0</v>
      </c>
    </row>
    <row r="1598" spans="1:18" x14ac:dyDescent="0.25">
      <c r="A1598">
        <f>IF(AND(B1598="", D1598&lt;&gt;""), A1597, A1597+1)</f>
        <v>1592</v>
      </c>
      <c r="R1598" t="b">
        <f>AND(ISNUMBER(FIND($E1598,Tables!$I$2)), ISNUMBER(FIND($D1598,Tables!$J$2)), $E1598&lt;&gt;"")</f>
        <v>0</v>
      </c>
    </row>
    <row r="1599" spans="1:18" x14ac:dyDescent="0.25">
      <c r="A1599">
        <f>IF(AND(B1599="", D1599&lt;&gt;""), A1598, A1598+1)</f>
        <v>1593</v>
      </c>
      <c r="R1599" t="b">
        <f>AND(ISNUMBER(FIND($E1599,Tables!$I$2)), ISNUMBER(FIND($D1599,Tables!$J$2)), $E1599&lt;&gt;"")</f>
        <v>0</v>
      </c>
    </row>
    <row r="1600" spans="1:18" x14ac:dyDescent="0.25">
      <c r="A1600">
        <f>IF(AND(B1600="", D1600&lt;&gt;""), A1599, A1599+1)</f>
        <v>1594</v>
      </c>
      <c r="R1600" t="b">
        <f>AND(ISNUMBER(FIND($E1600,Tables!$I$2)), ISNUMBER(FIND($D1600,Tables!$J$2)), $E1600&lt;&gt;"")</f>
        <v>0</v>
      </c>
    </row>
    <row r="1601" spans="1:18" x14ac:dyDescent="0.25">
      <c r="A1601">
        <f>IF(AND(B1601="", D1601&lt;&gt;""), A1600, A1600+1)</f>
        <v>1595</v>
      </c>
      <c r="R1601" t="b">
        <f>AND(ISNUMBER(FIND($E1601,Tables!$I$2)), ISNUMBER(FIND($D1601,Tables!$J$2)), $E1601&lt;&gt;"")</f>
        <v>0</v>
      </c>
    </row>
    <row r="1602" spans="1:18" x14ac:dyDescent="0.25">
      <c r="A1602">
        <f>IF(AND(B1602="", D1602&lt;&gt;""), A1601, A1601+1)</f>
        <v>1596</v>
      </c>
      <c r="R1602" t="b">
        <f>AND(ISNUMBER(FIND($E1602,Tables!$I$2)), ISNUMBER(FIND($D1602,Tables!$J$2)), $E1602&lt;&gt;"")</f>
        <v>0</v>
      </c>
    </row>
    <row r="1603" spans="1:18" x14ac:dyDescent="0.25">
      <c r="A1603">
        <f>IF(AND(B1603="", D1603&lt;&gt;""), A1602, A1602+1)</f>
        <v>1597</v>
      </c>
      <c r="R1603" t="b">
        <f>AND(ISNUMBER(FIND($E1603,Tables!$I$2)), ISNUMBER(FIND($D1603,Tables!$J$2)), $E1603&lt;&gt;"")</f>
        <v>0</v>
      </c>
    </row>
    <row r="1604" spans="1:18" x14ac:dyDescent="0.25">
      <c r="A1604">
        <f>IF(AND(B1604="", D1604&lt;&gt;""), A1603, A1603+1)</f>
        <v>1598</v>
      </c>
      <c r="R1604" t="b">
        <f>AND(ISNUMBER(FIND($E1604,Tables!$I$2)), ISNUMBER(FIND($D1604,Tables!$J$2)), $E1604&lt;&gt;"")</f>
        <v>0</v>
      </c>
    </row>
    <row r="1605" spans="1:18" x14ac:dyDescent="0.25">
      <c r="A1605">
        <f>IF(AND(B1605="", D1605&lt;&gt;""), A1604, A1604+1)</f>
        <v>1599</v>
      </c>
      <c r="R1605" t="b">
        <f>AND(ISNUMBER(FIND($E1605,Tables!$I$2)), ISNUMBER(FIND($D1605,Tables!$J$2)), $E1605&lt;&gt;"")</f>
        <v>0</v>
      </c>
    </row>
    <row r="1606" spans="1:18" x14ac:dyDescent="0.25">
      <c r="A1606">
        <f>IF(AND(B1606="", D1606&lt;&gt;""), A1605, A1605+1)</f>
        <v>1600</v>
      </c>
      <c r="R1606" t="b">
        <f>AND(ISNUMBER(FIND($E1606,Tables!$I$2)), ISNUMBER(FIND($D1606,Tables!$J$2)), $E1606&lt;&gt;"")</f>
        <v>0</v>
      </c>
    </row>
    <row r="1607" spans="1:18" x14ac:dyDescent="0.25">
      <c r="A1607">
        <f>IF(AND(B1607="", D1607&lt;&gt;""), A1606, A1606+1)</f>
        <v>1601</v>
      </c>
      <c r="R1607" t="b">
        <f>AND(ISNUMBER(FIND($E1607,Tables!$I$2)), ISNUMBER(FIND($D1607,Tables!$J$2)), $E1607&lt;&gt;"")</f>
        <v>0</v>
      </c>
    </row>
    <row r="1608" spans="1:18" x14ac:dyDescent="0.25">
      <c r="A1608">
        <f>IF(AND(B1608="", D1608&lt;&gt;""), A1607, A1607+1)</f>
        <v>1602</v>
      </c>
      <c r="R1608" t="b">
        <f>AND(ISNUMBER(FIND($E1608,Tables!$I$2)), ISNUMBER(FIND($D1608,Tables!$J$2)), $E1608&lt;&gt;"")</f>
        <v>0</v>
      </c>
    </row>
    <row r="1609" spans="1:18" x14ac:dyDescent="0.25">
      <c r="A1609">
        <f>IF(AND(B1609="", D1609&lt;&gt;""), A1608, A1608+1)</f>
        <v>1603</v>
      </c>
      <c r="R1609" t="b">
        <f>AND(ISNUMBER(FIND($E1609,Tables!$I$2)), ISNUMBER(FIND($D1609,Tables!$J$2)), $E1609&lt;&gt;"")</f>
        <v>0</v>
      </c>
    </row>
    <row r="1610" spans="1:18" x14ac:dyDescent="0.25">
      <c r="A1610">
        <f>IF(AND(B1610="", D1610&lt;&gt;""), A1609, A1609+1)</f>
        <v>1604</v>
      </c>
      <c r="R1610" t="b">
        <f>AND(ISNUMBER(FIND($E1610,Tables!$I$2)), ISNUMBER(FIND($D1610,Tables!$J$2)), $E1610&lt;&gt;"")</f>
        <v>0</v>
      </c>
    </row>
    <row r="1611" spans="1:18" x14ac:dyDescent="0.25">
      <c r="A1611">
        <f>IF(AND(B1611="", D1611&lt;&gt;""), A1610, A1610+1)</f>
        <v>1605</v>
      </c>
      <c r="R1611" t="b">
        <f>AND(ISNUMBER(FIND($E1611,Tables!$I$2)), ISNUMBER(FIND($D1611,Tables!$J$2)), $E1611&lt;&gt;"")</f>
        <v>0</v>
      </c>
    </row>
    <row r="1612" spans="1:18" x14ac:dyDescent="0.25">
      <c r="A1612">
        <f>IF(AND(B1612="", D1612&lt;&gt;""), A1611, A1611+1)</f>
        <v>1606</v>
      </c>
      <c r="R1612" t="b">
        <f>AND(ISNUMBER(FIND($E1612,Tables!$I$2)), ISNUMBER(FIND($D1612,Tables!$J$2)), $E1612&lt;&gt;"")</f>
        <v>0</v>
      </c>
    </row>
    <row r="1613" spans="1:18" x14ac:dyDescent="0.25">
      <c r="A1613">
        <f>IF(AND(B1613="", D1613&lt;&gt;""), A1612, A1612+1)</f>
        <v>1607</v>
      </c>
      <c r="R1613" t="b">
        <f>AND(ISNUMBER(FIND($E1613,Tables!$I$2)), ISNUMBER(FIND($D1613,Tables!$J$2)), $E1613&lt;&gt;"")</f>
        <v>0</v>
      </c>
    </row>
    <row r="1614" spans="1:18" x14ac:dyDescent="0.25">
      <c r="A1614">
        <f>IF(AND(B1614="", D1614&lt;&gt;""), A1613, A1613+1)</f>
        <v>1608</v>
      </c>
      <c r="R1614" t="b">
        <f>AND(ISNUMBER(FIND($E1614,Tables!$I$2)), ISNUMBER(FIND($D1614,Tables!$J$2)), $E1614&lt;&gt;"")</f>
        <v>0</v>
      </c>
    </row>
    <row r="1615" spans="1:18" x14ac:dyDescent="0.25">
      <c r="A1615">
        <f>IF(AND(B1615="", D1615&lt;&gt;""), A1614, A1614+1)</f>
        <v>1609</v>
      </c>
      <c r="R1615" t="b">
        <f>AND(ISNUMBER(FIND($E1615,Tables!$I$2)), ISNUMBER(FIND($D1615,Tables!$J$2)), $E1615&lt;&gt;"")</f>
        <v>0</v>
      </c>
    </row>
    <row r="1616" spans="1:18" x14ac:dyDescent="0.25">
      <c r="A1616">
        <f>IF(AND(B1616="", D1616&lt;&gt;""), A1615, A1615+1)</f>
        <v>1610</v>
      </c>
      <c r="R1616" t="b">
        <f>AND(ISNUMBER(FIND($E1616,Tables!$I$2)), ISNUMBER(FIND($D1616,Tables!$J$2)), $E1616&lt;&gt;"")</f>
        <v>0</v>
      </c>
    </row>
    <row r="1617" spans="1:18" x14ac:dyDescent="0.25">
      <c r="A1617">
        <f>IF(AND(B1617="", D1617&lt;&gt;""), A1616, A1616+1)</f>
        <v>1611</v>
      </c>
      <c r="R1617" t="b">
        <f>AND(ISNUMBER(FIND($E1617,Tables!$I$2)), ISNUMBER(FIND($D1617,Tables!$J$2)), $E1617&lt;&gt;"")</f>
        <v>0</v>
      </c>
    </row>
    <row r="1618" spans="1:18" x14ac:dyDescent="0.25">
      <c r="A1618">
        <f>IF(AND(B1618="", D1618&lt;&gt;""), A1617, A1617+1)</f>
        <v>1612</v>
      </c>
      <c r="R1618" t="b">
        <f>AND(ISNUMBER(FIND($E1618,Tables!$I$2)), ISNUMBER(FIND($D1618,Tables!$J$2)), $E1618&lt;&gt;"")</f>
        <v>0</v>
      </c>
    </row>
    <row r="1619" spans="1:18" x14ac:dyDescent="0.25">
      <c r="A1619">
        <f>IF(AND(B1619="", D1619&lt;&gt;""), A1618, A1618+1)</f>
        <v>1613</v>
      </c>
      <c r="R1619" t="b">
        <f>AND(ISNUMBER(FIND($E1619,Tables!$I$2)), ISNUMBER(FIND($D1619,Tables!$J$2)), $E1619&lt;&gt;"")</f>
        <v>0</v>
      </c>
    </row>
    <row r="1620" spans="1:18" x14ac:dyDescent="0.25">
      <c r="A1620">
        <f>IF(AND(B1620="", D1620&lt;&gt;""), A1619, A1619+1)</f>
        <v>1614</v>
      </c>
      <c r="R1620" t="b">
        <f>AND(ISNUMBER(FIND($E1620,Tables!$I$2)), ISNUMBER(FIND($D1620,Tables!$J$2)), $E1620&lt;&gt;"")</f>
        <v>0</v>
      </c>
    </row>
    <row r="1621" spans="1:18" x14ac:dyDescent="0.25">
      <c r="A1621">
        <f>IF(AND(B1621="", D1621&lt;&gt;""), A1620, A1620+1)</f>
        <v>1615</v>
      </c>
      <c r="R1621" t="b">
        <f>AND(ISNUMBER(FIND($E1621,Tables!$I$2)), ISNUMBER(FIND($D1621,Tables!$J$2)), $E1621&lt;&gt;"")</f>
        <v>0</v>
      </c>
    </row>
    <row r="1622" spans="1:18" x14ac:dyDescent="0.25">
      <c r="A1622">
        <f>IF(AND(B1622="", D1622&lt;&gt;""), A1621, A1621+1)</f>
        <v>1616</v>
      </c>
      <c r="R1622" t="b">
        <f>AND(ISNUMBER(FIND($E1622,Tables!$I$2)), ISNUMBER(FIND($D1622,Tables!$J$2)), $E1622&lt;&gt;"")</f>
        <v>0</v>
      </c>
    </row>
    <row r="1623" spans="1:18" x14ac:dyDescent="0.25">
      <c r="A1623">
        <f>IF(AND(B1623="", D1623&lt;&gt;""), A1622, A1622+1)</f>
        <v>1617</v>
      </c>
      <c r="R1623" t="b">
        <f>AND(ISNUMBER(FIND($E1623,Tables!$I$2)), ISNUMBER(FIND($D1623,Tables!$J$2)), $E1623&lt;&gt;"")</f>
        <v>0</v>
      </c>
    </row>
    <row r="1624" spans="1:18" x14ac:dyDescent="0.25">
      <c r="A1624">
        <f>IF(AND(B1624="", D1624&lt;&gt;""), A1623, A1623+1)</f>
        <v>1618</v>
      </c>
      <c r="R1624" t="b">
        <f>AND(ISNUMBER(FIND($E1624,Tables!$I$2)), ISNUMBER(FIND($D1624,Tables!$J$2)), $E1624&lt;&gt;"")</f>
        <v>0</v>
      </c>
    </row>
    <row r="1625" spans="1:18" x14ac:dyDescent="0.25">
      <c r="A1625">
        <f>IF(AND(B1625="", D1625&lt;&gt;""), A1624, A1624+1)</f>
        <v>1619</v>
      </c>
      <c r="R1625" t="b">
        <f>AND(ISNUMBER(FIND($E1625,Tables!$I$2)), ISNUMBER(FIND($D1625,Tables!$J$2)), $E1625&lt;&gt;"")</f>
        <v>0</v>
      </c>
    </row>
    <row r="1626" spans="1:18" x14ac:dyDescent="0.25">
      <c r="A1626">
        <f>IF(AND(B1626="", D1626&lt;&gt;""), A1625, A1625+1)</f>
        <v>1620</v>
      </c>
      <c r="R1626" t="b">
        <f>AND(ISNUMBER(FIND($E1626,Tables!$I$2)), ISNUMBER(FIND($D1626,Tables!$J$2)), $E1626&lt;&gt;"")</f>
        <v>0</v>
      </c>
    </row>
    <row r="1627" spans="1:18" x14ac:dyDescent="0.25">
      <c r="A1627">
        <f>IF(AND(B1627="", D1627&lt;&gt;""), A1626, A1626+1)</f>
        <v>1621</v>
      </c>
      <c r="R1627" t="b">
        <f>AND(ISNUMBER(FIND($E1627,Tables!$I$2)), ISNUMBER(FIND($D1627,Tables!$J$2)), $E1627&lt;&gt;"")</f>
        <v>0</v>
      </c>
    </row>
    <row r="1628" spans="1:18" x14ac:dyDescent="0.25">
      <c r="A1628">
        <f>IF(AND(B1628="", D1628&lt;&gt;""), A1627, A1627+1)</f>
        <v>1622</v>
      </c>
      <c r="R1628" t="b">
        <f>AND(ISNUMBER(FIND($E1628,Tables!$I$2)), ISNUMBER(FIND($D1628,Tables!$J$2)), $E1628&lt;&gt;"")</f>
        <v>0</v>
      </c>
    </row>
    <row r="1629" spans="1:18" x14ac:dyDescent="0.25">
      <c r="A1629">
        <f>IF(AND(B1629="", D1629&lt;&gt;""), A1628, A1628+1)</f>
        <v>1623</v>
      </c>
      <c r="R1629" t="b">
        <f>AND(ISNUMBER(FIND($E1629,Tables!$I$2)), ISNUMBER(FIND($D1629,Tables!$J$2)), $E1629&lt;&gt;"")</f>
        <v>0</v>
      </c>
    </row>
    <row r="1630" spans="1:18" x14ac:dyDescent="0.25">
      <c r="A1630">
        <f>IF(AND(B1630="", D1630&lt;&gt;""), A1629, A1629+1)</f>
        <v>1624</v>
      </c>
      <c r="R1630" t="b">
        <f>AND(ISNUMBER(FIND($E1630,Tables!$I$2)), ISNUMBER(FIND($D1630,Tables!$J$2)), $E1630&lt;&gt;"")</f>
        <v>0</v>
      </c>
    </row>
    <row r="1631" spans="1:18" x14ac:dyDescent="0.25">
      <c r="A1631">
        <f>IF(AND(B1631="", D1631&lt;&gt;""), A1630, A1630+1)</f>
        <v>1625</v>
      </c>
      <c r="R1631" t="b">
        <f>AND(ISNUMBER(FIND($E1631,Tables!$I$2)), ISNUMBER(FIND($D1631,Tables!$J$2)), $E1631&lt;&gt;"")</f>
        <v>0</v>
      </c>
    </row>
    <row r="1632" spans="1:18" x14ac:dyDescent="0.25">
      <c r="A1632">
        <f>IF(AND(B1632="", D1632&lt;&gt;""), A1631, A1631+1)</f>
        <v>1626</v>
      </c>
      <c r="R1632" t="b">
        <f>AND(ISNUMBER(FIND($E1632,Tables!$I$2)), ISNUMBER(FIND($D1632,Tables!$J$2)), $E1632&lt;&gt;"")</f>
        <v>0</v>
      </c>
    </row>
    <row r="1633" spans="1:18" x14ac:dyDescent="0.25">
      <c r="A1633">
        <f>IF(AND(B1633="", D1633&lt;&gt;""), A1632, A1632+1)</f>
        <v>1627</v>
      </c>
      <c r="R1633" t="b">
        <f>AND(ISNUMBER(FIND($E1633,Tables!$I$2)), ISNUMBER(FIND($D1633,Tables!$J$2)), $E1633&lt;&gt;"")</f>
        <v>0</v>
      </c>
    </row>
    <row r="1634" spans="1:18" x14ac:dyDescent="0.25">
      <c r="A1634">
        <f>IF(AND(B1634="", D1634&lt;&gt;""), A1633, A1633+1)</f>
        <v>1628</v>
      </c>
      <c r="R1634" t="b">
        <f>AND(ISNUMBER(FIND($E1634,Tables!$I$2)), ISNUMBER(FIND($D1634,Tables!$J$2)), $E1634&lt;&gt;"")</f>
        <v>0</v>
      </c>
    </row>
    <row r="1635" spans="1:18" x14ac:dyDescent="0.25">
      <c r="A1635">
        <f>IF(AND(B1635="", D1635&lt;&gt;""), A1634, A1634+1)</f>
        <v>1629</v>
      </c>
      <c r="R1635" t="b">
        <f>AND(ISNUMBER(FIND($E1635,Tables!$I$2)), ISNUMBER(FIND($D1635,Tables!$J$2)), $E1635&lt;&gt;"")</f>
        <v>0</v>
      </c>
    </row>
    <row r="1636" spans="1:18" x14ac:dyDescent="0.25">
      <c r="A1636">
        <f>IF(AND(B1636="", D1636&lt;&gt;""), A1635, A1635+1)</f>
        <v>1630</v>
      </c>
      <c r="R1636" t="b">
        <f>AND(ISNUMBER(FIND($E1636,Tables!$I$2)), ISNUMBER(FIND($D1636,Tables!$J$2)), $E1636&lt;&gt;"")</f>
        <v>0</v>
      </c>
    </row>
    <row r="1637" spans="1:18" x14ac:dyDescent="0.25">
      <c r="A1637">
        <f>IF(AND(B1637="", D1637&lt;&gt;""), A1636, A1636+1)</f>
        <v>1631</v>
      </c>
      <c r="R1637" t="b">
        <f>AND(ISNUMBER(FIND($E1637,Tables!$I$2)), ISNUMBER(FIND($D1637,Tables!$J$2)), $E1637&lt;&gt;"")</f>
        <v>0</v>
      </c>
    </row>
    <row r="1638" spans="1:18" x14ac:dyDescent="0.25">
      <c r="A1638">
        <f>IF(AND(B1638="", D1638&lt;&gt;""), A1637, A1637+1)</f>
        <v>1632</v>
      </c>
      <c r="R1638" t="b">
        <f>AND(ISNUMBER(FIND($E1638,Tables!$I$2)), ISNUMBER(FIND($D1638,Tables!$J$2)), $E1638&lt;&gt;"")</f>
        <v>0</v>
      </c>
    </row>
    <row r="1639" spans="1:18" x14ac:dyDescent="0.25">
      <c r="A1639">
        <f>IF(AND(B1639="", D1639&lt;&gt;""), A1638, A1638+1)</f>
        <v>1633</v>
      </c>
      <c r="R1639" t="b">
        <f>AND(ISNUMBER(FIND($E1639,Tables!$I$2)), ISNUMBER(FIND($D1639,Tables!$J$2)), $E1639&lt;&gt;"")</f>
        <v>0</v>
      </c>
    </row>
    <row r="1640" spans="1:18" x14ac:dyDescent="0.25">
      <c r="A1640">
        <f>IF(AND(B1640="", D1640&lt;&gt;""), A1639, A1639+1)</f>
        <v>1634</v>
      </c>
      <c r="R1640" t="b">
        <f>AND(ISNUMBER(FIND($E1640,Tables!$I$2)), ISNUMBER(FIND($D1640,Tables!$J$2)), $E1640&lt;&gt;"")</f>
        <v>0</v>
      </c>
    </row>
    <row r="1641" spans="1:18" x14ac:dyDescent="0.25">
      <c r="A1641">
        <f>IF(AND(B1641="", D1641&lt;&gt;""), A1640, A1640+1)</f>
        <v>1635</v>
      </c>
      <c r="R1641" t="b">
        <f>AND(ISNUMBER(FIND($E1641,Tables!$I$2)), ISNUMBER(FIND($D1641,Tables!$J$2)), $E1641&lt;&gt;"")</f>
        <v>0</v>
      </c>
    </row>
    <row r="1642" spans="1:18" x14ac:dyDescent="0.25">
      <c r="A1642">
        <f>IF(AND(B1642="", D1642&lt;&gt;""), A1641, A1641+1)</f>
        <v>1636</v>
      </c>
      <c r="R1642" t="b">
        <f>AND(ISNUMBER(FIND($E1642,Tables!$I$2)), ISNUMBER(FIND($D1642,Tables!$J$2)), $E1642&lt;&gt;"")</f>
        <v>0</v>
      </c>
    </row>
    <row r="1643" spans="1:18" x14ac:dyDescent="0.25">
      <c r="A1643">
        <f>IF(AND(B1643="", D1643&lt;&gt;""), A1642, A1642+1)</f>
        <v>1637</v>
      </c>
      <c r="R1643" t="b">
        <f>AND(ISNUMBER(FIND($E1643,Tables!$I$2)), ISNUMBER(FIND($D1643,Tables!$J$2)), $E1643&lt;&gt;"")</f>
        <v>0</v>
      </c>
    </row>
    <row r="1644" spans="1:18" x14ac:dyDescent="0.25">
      <c r="A1644">
        <f>IF(AND(B1644="", D1644&lt;&gt;""), A1643, A1643+1)</f>
        <v>1638</v>
      </c>
      <c r="R1644" t="b">
        <f>AND(ISNUMBER(FIND($E1644,Tables!$I$2)), ISNUMBER(FIND($D1644,Tables!$J$2)), $E1644&lt;&gt;"")</f>
        <v>0</v>
      </c>
    </row>
    <row r="1645" spans="1:18" x14ac:dyDescent="0.25">
      <c r="A1645">
        <f>IF(AND(B1645="", D1645&lt;&gt;""), A1644, A1644+1)</f>
        <v>1639</v>
      </c>
      <c r="R1645" t="b">
        <f>AND(ISNUMBER(FIND($E1645,Tables!$I$2)), ISNUMBER(FIND($D1645,Tables!$J$2)), $E1645&lt;&gt;"")</f>
        <v>0</v>
      </c>
    </row>
    <row r="1646" spans="1:18" x14ac:dyDescent="0.25">
      <c r="A1646">
        <f>IF(AND(B1646="", D1646&lt;&gt;""), A1645, A1645+1)</f>
        <v>1640</v>
      </c>
      <c r="R1646" t="b">
        <f>AND(ISNUMBER(FIND($E1646,Tables!$I$2)), ISNUMBER(FIND($D1646,Tables!$J$2)), $E1646&lt;&gt;"")</f>
        <v>0</v>
      </c>
    </row>
    <row r="1647" spans="1:18" x14ac:dyDescent="0.25">
      <c r="A1647">
        <f>IF(AND(B1647="", D1647&lt;&gt;""), A1646, A1646+1)</f>
        <v>1641</v>
      </c>
      <c r="R1647" t="b">
        <f>AND(ISNUMBER(FIND($E1647,Tables!$I$2)), ISNUMBER(FIND($D1647,Tables!$J$2)), $E1647&lt;&gt;"")</f>
        <v>0</v>
      </c>
    </row>
    <row r="1648" spans="1:18" x14ac:dyDescent="0.25">
      <c r="A1648">
        <f>IF(AND(B1648="", D1648&lt;&gt;""), A1647, A1647+1)</f>
        <v>1642</v>
      </c>
      <c r="R1648" t="b">
        <f>AND(ISNUMBER(FIND($E1648,Tables!$I$2)), ISNUMBER(FIND($D1648,Tables!$J$2)), $E1648&lt;&gt;"")</f>
        <v>0</v>
      </c>
    </row>
    <row r="1649" spans="1:18" x14ac:dyDescent="0.25">
      <c r="A1649">
        <f>IF(AND(B1649="", D1649&lt;&gt;""), A1648, A1648+1)</f>
        <v>1643</v>
      </c>
      <c r="R1649" t="b">
        <f>AND(ISNUMBER(FIND($E1649,Tables!$I$2)), ISNUMBER(FIND($D1649,Tables!$J$2)), $E1649&lt;&gt;"")</f>
        <v>0</v>
      </c>
    </row>
    <row r="1650" spans="1:18" x14ac:dyDescent="0.25">
      <c r="A1650">
        <f>IF(AND(B1650="", D1650&lt;&gt;""), A1649, A1649+1)</f>
        <v>1644</v>
      </c>
      <c r="R1650" t="b">
        <f>AND(ISNUMBER(FIND($E1650,Tables!$I$2)), ISNUMBER(FIND($D1650,Tables!$J$2)), $E1650&lt;&gt;"")</f>
        <v>0</v>
      </c>
    </row>
    <row r="1651" spans="1:18" x14ac:dyDescent="0.25">
      <c r="A1651">
        <f>IF(AND(B1651="", D1651&lt;&gt;""), A1650, A1650+1)</f>
        <v>1645</v>
      </c>
      <c r="R1651" t="b">
        <f>AND(ISNUMBER(FIND($E1651,Tables!$I$2)), ISNUMBER(FIND($D1651,Tables!$J$2)), $E1651&lt;&gt;"")</f>
        <v>0</v>
      </c>
    </row>
    <row r="1652" spans="1:18" x14ac:dyDescent="0.25">
      <c r="A1652">
        <f>IF(AND(B1652="", D1652&lt;&gt;""), A1651, A1651+1)</f>
        <v>1646</v>
      </c>
      <c r="R1652" t="b">
        <f>AND(ISNUMBER(FIND($E1652,Tables!$I$2)), ISNUMBER(FIND($D1652,Tables!$J$2)), $E1652&lt;&gt;"")</f>
        <v>0</v>
      </c>
    </row>
    <row r="1653" spans="1:18" x14ac:dyDescent="0.25">
      <c r="A1653">
        <f>IF(AND(B1653="", D1653&lt;&gt;""), A1652, A1652+1)</f>
        <v>1647</v>
      </c>
      <c r="R1653" t="b">
        <f>AND(ISNUMBER(FIND($E1653,Tables!$I$2)), ISNUMBER(FIND($D1653,Tables!$J$2)), $E1653&lt;&gt;"")</f>
        <v>0</v>
      </c>
    </row>
    <row r="1654" spans="1:18" x14ac:dyDescent="0.25">
      <c r="A1654">
        <f>IF(AND(B1654="", D1654&lt;&gt;""), A1653, A1653+1)</f>
        <v>1648</v>
      </c>
      <c r="R1654" t="b">
        <f>AND(ISNUMBER(FIND($E1654,Tables!$I$2)), ISNUMBER(FIND($D1654,Tables!$J$2)), $E1654&lt;&gt;"")</f>
        <v>0</v>
      </c>
    </row>
    <row r="1655" spans="1:18" x14ac:dyDescent="0.25">
      <c r="A1655">
        <f>IF(AND(B1655="", D1655&lt;&gt;""), A1654, A1654+1)</f>
        <v>1649</v>
      </c>
      <c r="R1655" t="b">
        <f>AND(ISNUMBER(FIND($E1655,Tables!$I$2)), ISNUMBER(FIND($D1655,Tables!$J$2)), $E1655&lt;&gt;"")</f>
        <v>0</v>
      </c>
    </row>
    <row r="1656" spans="1:18" x14ac:dyDescent="0.25">
      <c r="A1656">
        <f>IF(AND(B1656="", D1656&lt;&gt;""), A1655, A1655+1)</f>
        <v>1650</v>
      </c>
      <c r="R1656" t="b">
        <f>AND(ISNUMBER(FIND($E1656,Tables!$I$2)), ISNUMBER(FIND($D1656,Tables!$J$2)), $E1656&lt;&gt;"")</f>
        <v>0</v>
      </c>
    </row>
    <row r="1657" spans="1:18" x14ac:dyDescent="0.25">
      <c r="A1657">
        <f>IF(AND(B1657="", D1657&lt;&gt;""), A1656, A1656+1)</f>
        <v>1651</v>
      </c>
      <c r="R1657" t="b">
        <f>AND(ISNUMBER(FIND($E1657,Tables!$I$2)), ISNUMBER(FIND($D1657,Tables!$J$2)), $E1657&lt;&gt;"")</f>
        <v>0</v>
      </c>
    </row>
    <row r="1658" spans="1:18" x14ac:dyDescent="0.25">
      <c r="A1658">
        <f>IF(AND(B1658="", D1658&lt;&gt;""), A1657, A1657+1)</f>
        <v>1652</v>
      </c>
      <c r="R1658" t="b">
        <f>AND(ISNUMBER(FIND($E1658,Tables!$I$2)), ISNUMBER(FIND($D1658,Tables!$J$2)), $E1658&lt;&gt;"")</f>
        <v>0</v>
      </c>
    </row>
    <row r="1659" spans="1:18" x14ac:dyDescent="0.25">
      <c r="A1659">
        <f>IF(AND(B1659="", D1659&lt;&gt;""), A1658, A1658+1)</f>
        <v>1653</v>
      </c>
      <c r="R1659" t="b">
        <f>AND(ISNUMBER(FIND($E1659,Tables!$I$2)), ISNUMBER(FIND($D1659,Tables!$J$2)), $E1659&lt;&gt;"")</f>
        <v>0</v>
      </c>
    </row>
    <row r="1660" spans="1:18" x14ac:dyDescent="0.25">
      <c r="A1660">
        <f>IF(AND(B1660="", D1660&lt;&gt;""), A1659, A1659+1)</f>
        <v>1654</v>
      </c>
      <c r="R1660" t="b">
        <f>AND(ISNUMBER(FIND($E1660,Tables!$I$2)), ISNUMBER(FIND($D1660,Tables!$J$2)), $E1660&lt;&gt;"")</f>
        <v>0</v>
      </c>
    </row>
    <row r="1661" spans="1:18" x14ac:dyDescent="0.25">
      <c r="A1661">
        <f>IF(AND(B1661="", D1661&lt;&gt;""), A1660, A1660+1)</f>
        <v>1655</v>
      </c>
      <c r="R1661" t="b">
        <f>AND(ISNUMBER(FIND($E1661,Tables!$I$2)), ISNUMBER(FIND($D1661,Tables!$J$2)), $E1661&lt;&gt;"")</f>
        <v>0</v>
      </c>
    </row>
    <row r="1662" spans="1:18" x14ac:dyDescent="0.25">
      <c r="A1662">
        <f>IF(AND(B1662="", D1662&lt;&gt;""), A1661, A1661+1)</f>
        <v>1656</v>
      </c>
      <c r="R1662" t="b">
        <f>AND(ISNUMBER(FIND($E1662,Tables!$I$2)), ISNUMBER(FIND($D1662,Tables!$J$2)), $E1662&lt;&gt;"")</f>
        <v>0</v>
      </c>
    </row>
    <row r="1663" spans="1:18" x14ac:dyDescent="0.25">
      <c r="A1663">
        <f>IF(AND(B1663="", D1663&lt;&gt;""), A1662, A1662+1)</f>
        <v>1657</v>
      </c>
      <c r="R1663" t="b">
        <f>AND(ISNUMBER(FIND($E1663,Tables!$I$2)), ISNUMBER(FIND($D1663,Tables!$J$2)), $E1663&lt;&gt;"")</f>
        <v>0</v>
      </c>
    </row>
    <row r="1664" spans="1:18" x14ac:dyDescent="0.25">
      <c r="A1664">
        <f>IF(AND(B1664="", D1664&lt;&gt;""), A1663, A1663+1)</f>
        <v>1658</v>
      </c>
      <c r="R1664" t="b">
        <f>AND(ISNUMBER(FIND($E1664,Tables!$I$2)), ISNUMBER(FIND($D1664,Tables!$J$2)), $E1664&lt;&gt;"")</f>
        <v>0</v>
      </c>
    </row>
    <row r="1665" spans="1:18" x14ac:dyDescent="0.25">
      <c r="A1665">
        <f>IF(AND(B1665="", D1665&lt;&gt;""), A1664, A1664+1)</f>
        <v>1659</v>
      </c>
      <c r="R1665" t="b">
        <f>AND(ISNUMBER(FIND($E1665,Tables!$I$2)), ISNUMBER(FIND($D1665,Tables!$J$2)), $E1665&lt;&gt;"")</f>
        <v>0</v>
      </c>
    </row>
    <row r="1666" spans="1:18" x14ac:dyDescent="0.25">
      <c r="A1666">
        <f>IF(AND(B1666="", D1666&lt;&gt;""), A1665, A1665+1)</f>
        <v>1660</v>
      </c>
      <c r="R1666" t="b">
        <f>AND(ISNUMBER(FIND($E1666,Tables!$I$2)), ISNUMBER(FIND($D1666,Tables!$J$2)), $E1666&lt;&gt;"")</f>
        <v>0</v>
      </c>
    </row>
    <row r="1667" spans="1:18" x14ac:dyDescent="0.25">
      <c r="A1667">
        <f>IF(AND(B1667="", D1667&lt;&gt;""), A1666, A1666+1)</f>
        <v>1661</v>
      </c>
      <c r="R1667" t="b">
        <f>AND(ISNUMBER(FIND($E1667,Tables!$I$2)), ISNUMBER(FIND($D1667,Tables!$J$2)), $E1667&lt;&gt;"")</f>
        <v>0</v>
      </c>
    </row>
    <row r="1668" spans="1:18" x14ac:dyDescent="0.25">
      <c r="A1668">
        <f>IF(AND(B1668="", D1668&lt;&gt;""), A1667, A1667+1)</f>
        <v>1662</v>
      </c>
      <c r="R1668" t="b">
        <f>AND(ISNUMBER(FIND($E1668,Tables!$I$2)), ISNUMBER(FIND($D1668,Tables!$J$2)), $E1668&lt;&gt;"")</f>
        <v>0</v>
      </c>
    </row>
    <row r="1669" spans="1:18" x14ac:dyDescent="0.25">
      <c r="A1669">
        <f>IF(AND(B1669="", D1669&lt;&gt;""), A1668, A1668+1)</f>
        <v>1663</v>
      </c>
      <c r="R1669" t="b">
        <f>AND(ISNUMBER(FIND($E1669,Tables!$I$2)), ISNUMBER(FIND($D1669,Tables!$J$2)), $E1669&lt;&gt;"")</f>
        <v>0</v>
      </c>
    </row>
    <row r="1670" spans="1:18" x14ac:dyDescent="0.25">
      <c r="A1670">
        <f>IF(AND(B1670="", D1670&lt;&gt;""), A1669, A1669+1)</f>
        <v>1664</v>
      </c>
      <c r="R1670" t="b">
        <f>AND(ISNUMBER(FIND($E1670,Tables!$I$2)), ISNUMBER(FIND($D1670,Tables!$J$2)), $E1670&lt;&gt;"")</f>
        <v>0</v>
      </c>
    </row>
    <row r="1671" spans="1:18" x14ac:dyDescent="0.25">
      <c r="A1671">
        <f>IF(AND(B1671="", D1671&lt;&gt;""), A1670, A1670+1)</f>
        <v>1665</v>
      </c>
      <c r="R1671" t="b">
        <f>AND(ISNUMBER(FIND($E1671,Tables!$I$2)), ISNUMBER(FIND($D1671,Tables!$J$2)), $E1671&lt;&gt;"")</f>
        <v>0</v>
      </c>
    </row>
    <row r="1672" spans="1:18" x14ac:dyDescent="0.25">
      <c r="A1672">
        <f>IF(AND(B1672="", D1672&lt;&gt;""), A1671, A1671+1)</f>
        <v>1666</v>
      </c>
      <c r="R1672" t="b">
        <f>AND(ISNUMBER(FIND($E1672,Tables!$I$2)), ISNUMBER(FIND($D1672,Tables!$J$2)), $E1672&lt;&gt;"")</f>
        <v>0</v>
      </c>
    </row>
    <row r="1673" spans="1:18" x14ac:dyDescent="0.25">
      <c r="A1673">
        <f>IF(AND(B1673="", D1673&lt;&gt;""), A1672, A1672+1)</f>
        <v>1667</v>
      </c>
      <c r="R1673" t="b">
        <f>AND(ISNUMBER(FIND($E1673,Tables!$I$2)), ISNUMBER(FIND($D1673,Tables!$J$2)), $E1673&lt;&gt;"")</f>
        <v>0</v>
      </c>
    </row>
    <row r="1674" spans="1:18" x14ac:dyDescent="0.25">
      <c r="A1674">
        <f>IF(AND(B1674="", D1674&lt;&gt;""), A1673, A1673+1)</f>
        <v>1668</v>
      </c>
      <c r="R1674" t="b">
        <f>AND(ISNUMBER(FIND($E1674,Tables!$I$2)), ISNUMBER(FIND($D1674,Tables!$J$2)), $E1674&lt;&gt;"")</f>
        <v>0</v>
      </c>
    </row>
    <row r="1675" spans="1:18" x14ac:dyDescent="0.25">
      <c r="A1675">
        <f>IF(AND(B1675="", D1675&lt;&gt;""), A1674, A1674+1)</f>
        <v>1669</v>
      </c>
      <c r="R1675" t="b">
        <f>AND(ISNUMBER(FIND($E1675,Tables!$I$2)), ISNUMBER(FIND($D1675,Tables!$J$2)), $E1675&lt;&gt;"")</f>
        <v>0</v>
      </c>
    </row>
    <row r="1676" spans="1:18" x14ac:dyDescent="0.25">
      <c r="A1676">
        <f>IF(AND(B1676="", D1676&lt;&gt;""), A1675, A1675+1)</f>
        <v>1670</v>
      </c>
      <c r="R1676" t="b">
        <f>AND(ISNUMBER(FIND($E1676,Tables!$I$2)), ISNUMBER(FIND($D1676,Tables!$J$2)), $E1676&lt;&gt;"")</f>
        <v>0</v>
      </c>
    </row>
    <row r="1677" spans="1:18" x14ac:dyDescent="0.25">
      <c r="A1677">
        <f>IF(AND(B1677="", D1677&lt;&gt;""), A1676, A1676+1)</f>
        <v>1671</v>
      </c>
      <c r="R1677" t="b">
        <f>AND(ISNUMBER(FIND($E1677,Tables!$I$2)), ISNUMBER(FIND($D1677,Tables!$J$2)), $E1677&lt;&gt;"")</f>
        <v>0</v>
      </c>
    </row>
    <row r="1678" spans="1:18" x14ac:dyDescent="0.25">
      <c r="A1678">
        <f>IF(AND(B1678="", D1678&lt;&gt;""), A1677, A1677+1)</f>
        <v>1672</v>
      </c>
      <c r="R1678" t="b">
        <f>AND(ISNUMBER(FIND($E1678,Tables!$I$2)), ISNUMBER(FIND($D1678,Tables!$J$2)), $E1678&lt;&gt;"")</f>
        <v>0</v>
      </c>
    </row>
    <row r="1679" spans="1:18" x14ac:dyDescent="0.25">
      <c r="A1679">
        <f>IF(AND(B1679="", D1679&lt;&gt;""), A1678, A1678+1)</f>
        <v>1673</v>
      </c>
      <c r="R1679" t="b">
        <f>AND(ISNUMBER(FIND($E1679,Tables!$I$2)), ISNUMBER(FIND($D1679,Tables!$J$2)), $E1679&lt;&gt;"")</f>
        <v>0</v>
      </c>
    </row>
    <row r="1680" spans="1:18" x14ac:dyDescent="0.25">
      <c r="A1680">
        <f>IF(AND(B1680="", D1680&lt;&gt;""), A1679, A1679+1)</f>
        <v>1674</v>
      </c>
      <c r="R1680" t="b">
        <f>AND(ISNUMBER(FIND($E1680,Tables!$I$2)), ISNUMBER(FIND($D1680,Tables!$J$2)), $E1680&lt;&gt;"")</f>
        <v>0</v>
      </c>
    </row>
    <row r="1681" spans="1:18" x14ac:dyDescent="0.25">
      <c r="A1681">
        <f>IF(AND(B1681="", D1681&lt;&gt;""), A1680, A1680+1)</f>
        <v>1675</v>
      </c>
      <c r="R1681" t="b">
        <f>AND(ISNUMBER(FIND($E1681,Tables!$I$2)), ISNUMBER(FIND($D1681,Tables!$J$2)), $E1681&lt;&gt;"")</f>
        <v>0</v>
      </c>
    </row>
    <row r="1682" spans="1:18" x14ac:dyDescent="0.25">
      <c r="A1682">
        <f>IF(AND(B1682="", D1682&lt;&gt;""), A1681, A1681+1)</f>
        <v>1676</v>
      </c>
      <c r="R1682" t="b">
        <f>AND(ISNUMBER(FIND($E1682,Tables!$I$2)), ISNUMBER(FIND($D1682,Tables!$J$2)), $E1682&lt;&gt;"")</f>
        <v>0</v>
      </c>
    </row>
    <row r="1683" spans="1:18" x14ac:dyDescent="0.25">
      <c r="A1683">
        <f>IF(AND(B1683="", D1683&lt;&gt;""), A1682, A1682+1)</f>
        <v>1677</v>
      </c>
      <c r="R1683" t="b">
        <f>AND(ISNUMBER(FIND($E1683,Tables!$I$2)), ISNUMBER(FIND($D1683,Tables!$J$2)), $E1683&lt;&gt;"")</f>
        <v>0</v>
      </c>
    </row>
    <row r="1684" spans="1:18" x14ac:dyDescent="0.25">
      <c r="A1684">
        <f>IF(AND(B1684="", D1684&lt;&gt;""), A1683, A1683+1)</f>
        <v>1678</v>
      </c>
      <c r="R1684" t="b">
        <f>AND(ISNUMBER(FIND($E1684,Tables!$I$2)), ISNUMBER(FIND($D1684,Tables!$J$2)), $E1684&lt;&gt;"")</f>
        <v>0</v>
      </c>
    </row>
    <row r="1685" spans="1:18" x14ac:dyDescent="0.25">
      <c r="A1685">
        <f>IF(AND(B1685="", D1685&lt;&gt;""), A1684, A1684+1)</f>
        <v>1679</v>
      </c>
      <c r="R1685" t="b">
        <f>AND(ISNUMBER(FIND($E1685,Tables!$I$2)), ISNUMBER(FIND($D1685,Tables!$J$2)), $E1685&lt;&gt;"")</f>
        <v>0</v>
      </c>
    </row>
    <row r="1686" spans="1:18" x14ac:dyDescent="0.25">
      <c r="A1686">
        <f>IF(AND(B1686="", D1686&lt;&gt;""), A1685, A1685+1)</f>
        <v>1680</v>
      </c>
      <c r="R1686" t="b">
        <f>AND(ISNUMBER(FIND($E1686,Tables!$I$2)), ISNUMBER(FIND($D1686,Tables!$J$2)), $E1686&lt;&gt;"")</f>
        <v>0</v>
      </c>
    </row>
    <row r="1687" spans="1:18" x14ac:dyDescent="0.25">
      <c r="A1687">
        <f>IF(AND(B1687="", D1687&lt;&gt;""), A1686, A1686+1)</f>
        <v>1681</v>
      </c>
      <c r="R1687" t="b">
        <f>AND(ISNUMBER(FIND($E1687,Tables!$I$2)), ISNUMBER(FIND($D1687,Tables!$J$2)), $E1687&lt;&gt;"")</f>
        <v>0</v>
      </c>
    </row>
    <row r="1688" spans="1:18" x14ac:dyDescent="0.25">
      <c r="A1688">
        <f>IF(AND(B1688="", D1688&lt;&gt;""), A1687, A1687+1)</f>
        <v>1682</v>
      </c>
      <c r="R1688" t="b">
        <f>AND(ISNUMBER(FIND($E1688,Tables!$I$2)), ISNUMBER(FIND($D1688,Tables!$J$2)), $E1688&lt;&gt;"")</f>
        <v>0</v>
      </c>
    </row>
    <row r="1689" spans="1:18" x14ac:dyDescent="0.25">
      <c r="A1689">
        <f>IF(AND(B1689="", D1689&lt;&gt;""), A1688, A1688+1)</f>
        <v>1683</v>
      </c>
      <c r="R1689" t="b">
        <f>AND(ISNUMBER(FIND($E1689,Tables!$I$2)), ISNUMBER(FIND($D1689,Tables!$J$2)), $E1689&lt;&gt;"")</f>
        <v>0</v>
      </c>
    </row>
    <row r="1690" spans="1:18" x14ac:dyDescent="0.25">
      <c r="A1690">
        <f>IF(AND(B1690="", D1690&lt;&gt;""), A1689, A1689+1)</f>
        <v>1684</v>
      </c>
      <c r="R1690" t="b">
        <f>AND(ISNUMBER(FIND($E1690,Tables!$I$2)), ISNUMBER(FIND($D1690,Tables!$J$2)), $E1690&lt;&gt;"")</f>
        <v>0</v>
      </c>
    </row>
    <row r="1691" spans="1:18" x14ac:dyDescent="0.25">
      <c r="A1691">
        <f>IF(AND(B1691="", D1691&lt;&gt;""), A1690, A1690+1)</f>
        <v>1685</v>
      </c>
      <c r="R1691" t="b">
        <f>AND(ISNUMBER(FIND($E1691,Tables!$I$2)), ISNUMBER(FIND($D1691,Tables!$J$2)), $E1691&lt;&gt;"")</f>
        <v>0</v>
      </c>
    </row>
    <row r="1692" spans="1:18" x14ac:dyDescent="0.25">
      <c r="A1692">
        <f>IF(AND(B1692="", D1692&lt;&gt;""), A1691, A1691+1)</f>
        <v>1686</v>
      </c>
      <c r="R1692" t="b">
        <f>AND(ISNUMBER(FIND($E1692,Tables!$I$2)), ISNUMBER(FIND($D1692,Tables!$J$2)), $E1692&lt;&gt;"")</f>
        <v>0</v>
      </c>
    </row>
    <row r="1693" spans="1:18" x14ac:dyDescent="0.25">
      <c r="A1693">
        <f>IF(AND(B1693="", D1693&lt;&gt;""), A1692, A1692+1)</f>
        <v>1687</v>
      </c>
      <c r="R1693" t="b">
        <f>AND(ISNUMBER(FIND($E1693,Tables!$I$2)), ISNUMBER(FIND($D1693,Tables!$J$2)), $E1693&lt;&gt;"")</f>
        <v>0</v>
      </c>
    </row>
    <row r="1694" spans="1:18" x14ac:dyDescent="0.25">
      <c r="A1694">
        <f>IF(AND(B1694="", D1694&lt;&gt;""), A1693, A1693+1)</f>
        <v>1688</v>
      </c>
      <c r="R1694" t="b">
        <f>AND(ISNUMBER(FIND($E1694,Tables!$I$2)), ISNUMBER(FIND($D1694,Tables!$J$2)), $E1694&lt;&gt;"")</f>
        <v>0</v>
      </c>
    </row>
    <row r="1695" spans="1:18" x14ac:dyDescent="0.25">
      <c r="A1695">
        <f>IF(AND(B1695="", D1695&lt;&gt;""), A1694, A1694+1)</f>
        <v>1689</v>
      </c>
      <c r="R1695" t="b">
        <f>AND(ISNUMBER(FIND($E1695,Tables!$I$2)), ISNUMBER(FIND($D1695,Tables!$J$2)), $E1695&lt;&gt;"")</f>
        <v>0</v>
      </c>
    </row>
    <row r="1696" spans="1:18" x14ac:dyDescent="0.25">
      <c r="A1696">
        <f>IF(AND(B1696="", D1696&lt;&gt;""), A1695, A1695+1)</f>
        <v>1690</v>
      </c>
      <c r="R1696" t="b">
        <f>AND(ISNUMBER(FIND($E1696,Tables!$I$2)), ISNUMBER(FIND($D1696,Tables!$J$2)), $E1696&lt;&gt;"")</f>
        <v>0</v>
      </c>
    </row>
    <row r="1697" spans="1:18" x14ac:dyDescent="0.25">
      <c r="A1697">
        <f>IF(AND(B1697="", D1697&lt;&gt;""), A1696, A1696+1)</f>
        <v>1691</v>
      </c>
      <c r="R1697" t="b">
        <f>AND(ISNUMBER(FIND($E1697,Tables!$I$2)), ISNUMBER(FIND($D1697,Tables!$J$2)), $E1697&lt;&gt;"")</f>
        <v>0</v>
      </c>
    </row>
    <row r="1698" spans="1:18" x14ac:dyDescent="0.25">
      <c r="A1698">
        <f>IF(AND(B1698="", D1698&lt;&gt;""), A1697, A1697+1)</f>
        <v>1692</v>
      </c>
      <c r="R1698" t="b">
        <f>AND(ISNUMBER(FIND($E1698,Tables!$I$2)), ISNUMBER(FIND($D1698,Tables!$J$2)), $E1698&lt;&gt;"")</f>
        <v>0</v>
      </c>
    </row>
    <row r="1699" spans="1:18" x14ac:dyDescent="0.25">
      <c r="A1699">
        <f>IF(AND(B1699="", D1699&lt;&gt;""), A1698, A1698+1)</f>
        <v>1693</v>
      </c>
      <c r="R1699" t="b">
        <f>AND(ISNUMBER(FIND($E1699,Tables!$I$2)), ISNUMBER(FIND($D1699,Tables!$J$2)), $E1699&lt;&gt;"")</f>
        <v>0</v>
      </c>
    </row>
    <row r="1700" spans="1:18" x14ac:dyDescent="0.25">
      <c r="A1700">
        <f>IF(AND(B1700="", D1700&lt;&gt;""), A1699, A1699+1)</f>
        <v>1694</v>
      </c>
      <c r="R1700" t="b">
        <f>AND(ISNUMBER(FIND($E1700,Tables!$I$2)), ISNUMBER(FIND($D1700,Tables!$J$2)), $E1700&lt;&gt;"")</f>
        <v>0</v>
      </c>
    </row>
    <row r="1701" spans="1:18" x14ac:dyDescent="0.25">
      <c r="A1701">
        <f>IF(AND(B1701="", D1701&lt;&gt;""), A1700, A1700+1)</f>
        <v>1695</v>
      </c>
      <c r="R1701" t="b">
        <f>AND(ISNUMBER(FIND($E1701,Tables!$I$2)), ISNUMBER(FIND($D1701,Tables!$J$2)), $E1701&lt;&gt;"")</f>
        <v>0</v>
      </c>
    </row>
    <row r="1702" spans="1:18" x14ac:dyDescent="0.25">
      <c r="A1702">
        <f>IF(AND(B1702="", D1702&lt;&gt;""), A1701, A1701+1)</f>
        <v>1696</v>
      </c>
      <c r="R1702" t="b">
        <f>AND(ISNUMBER(FIND($E1702,Tables!$I$2)), ISNUMBER(FIND($D1702,Tables!$J$2)), $E1702&lt;&gt;"")</f>
        <v>0</v>
      </c>
    </row>
    <row r="1703" spans="1:18" x14ac:dyDescent="0.25">
      <c r="A1703">
        <f>IF(AND(B1703="", D1703&lt;&gt;""), A1702, A1702+1)</f>
        <v>1697</v>
      </c>
      <c r="R1703" t="b">
        <f>AND(ISNUMBER(FIND($E1703,Tables!$I$2)), ISNUMBER(FIND($D1703,Tables!$J$2)), $E1703&lt;&gt;"")</f>
        <v>0</v>
      </c>
    </row>
    <row r="1704" spans="1:18" x14ac:dyDescent="0.25">
      <c r="A1704">
        <f>IF(AND(B1704="", D1704&lt;&gt;""), A1703, A1703+1)</f>
        <v>1698</v>
      </c>
      <c r="R1704" t="b">
        <f>AND(ISNUMBER(FIND($E1704,Tables!$I$2)), ISNUMBER(FIND($D1704,Tables!$J$2)), $E1704&lt;&gt;"")</f>
        <v>0</v>
      </c>
    </row>
    <row r="1705" spans="1:18" x14ac:dyDescent="0.25">
      <c r="A1705">
        <f>IF(AND(B1705="", D1705&lt;&gt;""), A1704, A1704+1)</f>
        <v>1699</v>
      </c>
      <c r="R1705" t="b">
        <f>AND(ISNUMBER(FIND($E1705,Tables!$I$2)), ISNUMBER(FIND($D1705,Tables!$J$2)), $E1705&lt;&gt;"")</f>
        <v>0</v>
      </c>
    </row>
    <row r="1706" spans="1:18" x14ac:dyDescent="0.25">
      <c r="A1706">
        <f>IF(AND(B1706="", D1706&lt;&gt;""), A1705, A1705+1)</f>
        <v>1700</v>
      </c>
      <c r="R1706" t="b">
        <f>AND(ISNUMBER(FIND($E1706,Tables!$I$2)), ISNUMBER(FIND($D1706,Tables!$J$2)), $E1706&lt;&gt;"")</f>
        <v>0</v>
      </c>
    </row>
    <row r="1707" spans="1:18" x14ac:dyDescent="0.25">
      <c r="A1707">
        <f>IF(AND(B1707="", D1707&lt;&gt;""), A1706, A1706+1)</f>
        <v>1701</v>
      </c>
      <c r="R1707" t="b">
        <f>AND(ISNUMBER(FIND($E1707,Tables!$I$2)), ISNUMBER(FIND($D1707,Tables!$J$2)), $E1707&lt;&gt;"")</f>
        <v>0</v>
      </c>
    </row>
    <row r="1708" spans="1:18" x14ac:dyDescent="0.25">
      <c r="A1708">
        <f>IF(AND(B1708="", D1708&lt;&gt;""), A1707, A1707+1)</f>
        <v>1702</v>
      </c>
      <c r="R1708" t="b">
        <f>AND(ISNUMBER(FIND($E1708,Tables!$I$2)), ISNUMBER(FIND($D1708,Tables!$J$2)), $E1708&lt;&gt;"")</f>
        <v>0</v>
      </c>
    </row>
    <row r="1709" spans="1:18" x14ac:dyDescent="0.25">
      <c r="A1709">
        <f>IF(AND(B1709="", D1709&lt;&gt;""), A1708, A1708+1)</f>
        <v>1703</v>
      </c>
      <c r="R1709" t="b">
        <f>AND(ISNUMBER(FIND($E1709,Tables!$I$2)), ISNUMBER(FIND($D1709,Tables!$J$2)), $E1709&lt;&gt;"")</f>
        <v>0</v>
      </c>
    </row>
    <row r="1710" spans="1:18" x14ac:dyDescent="0.25">
      <c r="A1710">
        <f>IF(AND(B1710="", D1710&lt;&gt;""), A1709, A1709+1)</f>
        <v>1704</v>
      </c>
      <c r="R1710" t="b">
        <f>AND(ISNUMBER(FIND($E1710,Tables!$I$2)), ISNUMBER(FIND($D1710,Tables!$J$2)), $E1710&lt;&gt;"")</f>
        <v>0</v>
      </c>
    </row>
    <row r="1711" spans="1:18" x14ac:dyDescent="0.25">
      <c r="A1711">
        <f>IF(AND(B1711="", D1711&lt;&gt;""), A1710, A1710+1)</f>
        <v>1705</v>
      </c>
      <c r="R1711" t="b">
        <f>AND(ISNUMBER(FIND($E1711,Tables!$I$2)), ISNUMBER(FIND($D1711,Tables!$J$2)), $E1711&lt;&gt;"")</f>
        <v>0</v>
      </c>
    </row>
    <row r="1712" spans="1:18" x14ac:dyDescent="0.25">
      <c r="A1712">
        <f>IF(AND(B1712="", D1712&lt;&gt;""), A1711, A1711+1)</f>
        <v>1706</v>
      </c>
      <c r="R1712" t="b">
        <f>AND(ISNUMBER(FIND($E1712,Tables!$I$2)), ISNUMBER(FIND($D1712,Tables!$J$2)), $E1712&lt;&gt;"")</f>
        <v>0</v>
      </c>
    </row>
    <row r="1713" spans="1:18" x14ac:dyDescent="0.25">
      <c r="A1713">
        <f>IF(AND(B1713="", D1713&lt;&gt;""), A1712, A1712+1)</f>
        <v>1707</v>
      </c>
      <c r="R1713" t="b">
        <f>AND(ISNUMBER(FIND($E1713,Tables!$I$2)), ISNUMBER(FIND($D1713,Tables!$J$2)), $E1713&lt;&gt;"")</f>
        <v>0</v>
      </c>
    </row>
    <row r="1714" spans="1:18" x14ac:dyDescent="0.25">
      <c r="A1714">
        <f>IF(AND(B1714="", D1714&lt;&gt;""), A1713, A1713+1)</f>
        <v>1708</v>
      </c>
      <c r="R1714" t="b">
        <f>AND(ISNUMBER(FIND($E1714,Tables!$I$2)), ISNUMBER(FIND($D1714,Tables!$J$2)), $E1714&lt;&gt;"")</f>
        <v>0</v>
      </c>
    </row>
    <row r="1715" spans="1:18" x14ac:dyDescent="0.25">
      <c r="A1715">
        <f>IF(AND(B1715="", D1715&lt;&gt;""), A1714, A1714+1)</f>
        <v>1709</v>
      </c>
      <c r="R1715" t="b">
        <f>AND(ISNUMBER(FIND($E1715,Tables!$I$2)), ISNUMBER(FIND($D1715,Tables!$J$2)), $E1715&lt;&gt;"")</f>
        <v>0</v>
      </c>
    </row>
    <row r="1716" spans="1:18" x14ac:dyDescent="0.25">
      <c r="A1716">
        <f>IF(AND(B1716="", D1716&lt;&gt;""), A1715, A1715+1)</f>
        <v>1710</v>
      </c>
      <c r="R1716" t="b">
        <f>AND(ISNUMBER(FIND($E1716,Tables!$I$2)), ISNUMBER(FIND($D1716,Tables!$J$2)), $E1716&lt;&gt;"")</f>
        <v>0</v>
      </c>
    </row>
    <row r="1717" spans="1:18" x14ac:dyDescent="0.25">
      <c r="A1717">
        <f>IF(AND(B1717="", D1717&lt;&gt;""), A1716, A1716+1)</f>
        <v>1711</v>
      </c>
      <c r="R1717" t="b">
        <f>AND(ISNUMBER(FIND($E1717,Tables!$I$2)), ISNUMBER(FIND($D1717,Tables!$J$2)), $E1717&lt;&gt;"")</f>
        <v>0</v>
      </c>
    </row>
    <row r="1718" spans="1:18" x14ac:dyDescent="0.25">
      <c r="A1718">
        <f>IF(AND(B1718="", D1718&lt;&gt;""), A1717, A1717+1)</f>
        <v>1712</v>
      </c>
      <c r="R1718" t="b">
        <f>AND(ISNUMBER(FIND($E1718,Tables!$I$2)), ISNUMBER(FIND($D1718,Tables!$J$2)), $E1718&lt;&gt;"")</f>
        <v>0</v>
      </c>
    </row>
    <row r="1719" spans="1:18" x14ac:dyDescent="0.25">
      <c r="A1719">
        <f>IF(AND(B1719="", D1719&lt;&gt;""), A1718, A1718+1)</f>
        <v>1713</v>
      </c>
      <c r="R1719" t="b">
        <f>AND(ISNUMBER(FIND($E1719,Tables!$I$2)), ISNUMBER(FIND($D1719,Tables!$J$2)), $E1719&lt;&gt;"")</f>
        <v>0</v>
      </c>
    </row>
    <row r="1720" spans="1:18" x14ac:dyDescent="0.25">
      <c r="A1720">
        <f>IF(AND(B1720="", D1720&lt;&gt;""), A1719, A1719+1)</f>
        <v>1714</v>
      </c>
      <c r="R1720" t="b">
        <f>AND(ISNUMBER(FIND($E1720,Tables!$I$2)), ISNUMBER(FIND($D1720,Tables!$J$2)), $E1720&lt;&gt;"")</f>
        <v>0</v>
      </c>
    </row>
    <row r="1721" spans="1:18" x14ac:dyDescent="0.25">
      <c r="A1721">
        <f>IF(AND(B1721="", D1721&lt;&gt;""), A1720, A1720+1)</f>
        <v>1715</v>
      </c>
      <c r="R1721" t="b">
        <f>AND(ISNUMBER(FIND($E1721,Tables!$I$2)), ISNUMBER(FIND($D1721,Tables!$J$2)), $E1721&lt;&gt;"")</f>
        <v>0</v>
      </c>
    </row>
    <row r="1722" spans="1:18" x14ac:dyDescent="0.25">
      <c r="A1722">
        <f>IF(AND(B1722="", D1722&lt;&gt;""), A1721, A1721+1)</f>
        <v>1716</v>
      </c>
      <c r="R1722" t="b">
        <f>AND(ISNUMBER(FIND($E1722,Tables!$I$2)), ISNUMBER(FIND($D1722,Tables!$J$2)), $E1722&lt;&gt;"")</f>
        <v>0</v>
      </c>
    </row>
    <row r="1723" spans="1:18" x14ac:dyDescent="0.25">
      <c r="A1723">
        <f>IF(AND(B1723="", D1723&lt;&gt;""), A1722, A1722+1)</f>
        <v>1717</v>
      </c>
      <c r="R1723" t="b">
        <f>AND(ISNUMBER(FIND($E1723,Tables!$I$2)), ISNUMBER(FIND($D1723,Tables!$J$2)), $E1723&lt;&gt;"")</f>
        <v>0</v>
      </c>
    </row>
    <row r="1724" spans="1:18" x14ac:dyDescent="0.25">
      <c r="A1724">
        <f>IF(AND(B1724="", D1724&lt;&gt;""), A1723, A1723+1)</f>
        <v>1718</v>
      </c>
      <c r="R1724" t="b">
        <f>AND(ISNUMBER(FIND($E1724,Tables!$I$2)), ISNUMBER(FIND($D1724,Tables!$J$2)), $E1724&lt;&gt;"")</f>
        <v>0</v>
      </c>
    </row>
    <row r="1725" spans="1:18" x14ac:dyDescent="0.25">
      <c r="A1725">
        <f>IF(AND(B1725="", D1725&lt;&gt;""), A1724, A1724+1)</f>
        <v>1719</v>
      </c>
      <c r="R1725" t="b">
        <f>AND(ISNUMBER(FIND($E1725,Tables!$I$2)), ISNUMBER(FIND($D1725,Tables!$J$2)), $E1725&lt;&gt;"")</f>
        <v>0</v>
      </c>
    </row>
    <row r="1726" spans="1:18" x14ac:dyDescent="0.25">
      <c r="A1726">
        <f>IF(AND(B1726="", D1726&lt;&gt;""), A1725, A1725+1)</f>
        <v>1720</v>
      </c>
      <c r="R1726" t="b">
        <f>AND(ISNUMBER(FIND($E1726,Tables!$I$2)), ISNUMBER(FIND($D1726,Tables!$J$2)), $E1726&lt;&gt;"")</f>
        <v>0</v>
      </c>
    </row>
    <row r="1727" spans="1:18" x14ac:dyDescent="0.25">
      <c r="A1727">
        <f>IF(AND(B1727="", D1727&lt;&gt;""), A1726, A1726+1)</f>
        <v>1721</v>
      </c>
      <c r="R1727" t="b">
        <f>AND(ISNUMBER(FIND($E1727,Tables!$I$2)), ISNUMBER(FIND($D1727,Tables!$J$2)), $E1727&lt;&gt;"")</f>
        <v>0</v>
      </c>
    </row>
    <row r="1728" spans="1:18" x14ac:dyDescent="0.25">
      <c r="A1728">
        <f>IF(AND(B1728="", D1728&lt;&gt;""), A1727, A1727+1)</f>
        <v>1722</v>
      </c>
      <c r="R1728" t="b">
        <f>AND(ISNUMBER(FIND($E1728,Tables!$I$2)), ISNUMBER(FIND($D1728,Tables!$J$2)), $E1728&lt;&gt;"")</f>
        <v>0</v>
      </c>
    </row>
    <row r="1729" spans="1:18" x14ac:dyDescent="0.25">
      <c r="A1729">
        <f>IF(AND(B1729="", D1729&lt;&gt;""), A1728, A1728+1)</f>
        <v>1723</v>
      </c>
      <c r="R1729" t="b">
        <f>AND(ISNUMBER(FIND($E1729,Tables!$I$2)), ISNUMBER(FIND($D1729,Tables!$J$2)), $E1729&lt;&gt;"")</f>
        <v>0</v>
      </c>
    </row>
    <row r="1730" spans="1:18" x14ac:dyDescent="0.25">
      <c r="A1730">
        <f>IF(AND(B1730="", D1730&lt;&gt;""), A1729, A1729+1)</f>
        <v>1724</v>
      </c>
      <c r="R1730" t="b">
        <f>AND(ISNUMBER(FIND($E1730,Tables!$I$2)), ISNUMBER(FIND($D1730,Tables!$J$2)), $E1730&lt;&gt;"")</f>
        <v>0</v>
      </c>
    </row>
    <row r="1731" spans="1:18" x14ac:dyDescent="0.25">
      <c r="A1731">
        <f>IF(AND(B1731="", D1731&lt;&gt;""), A1730, A1730+1)</f>
        <v>1725</v>
      </c>
      <c r="R1731" t="b">
        <f>AND(ISNUMBER(FIND($E1731,Tables!$I$2)), ISNUMBER(FIND($D1731,Tables!$J$2)), $E1731&lt;&gt;"")</f>
        <v>0</v>
      </c>
    </row>
    <row r="1732" spans="1:18" x14ac:dyDescent="0.25">
      <c r="A1732">
        <f>IF(AND(B1732="", D1732&lt;&gt;""), A1731, A1731+1)</f>
        <v>1726</v>
      </c>
      <c r="R1732" t="b">
        <f>AND(ISNUMBER(FIND($E1732,Tables!$I$2)), ISNUMBER(FIND($D1732,Tables!$J$2)), $E1732&lt;&gt;"")</f>
        <v>0</v>
      </c>
    </row>
    <row r="1733" spans="1:18" x14ac:dyDescent="0.25">
      <c r="A1733">
        <f>IF(AND(B1733="", D1733&lt;&gt;""), A1732, A1732+1)</f>
        <v>1727</v>
      </c>
      <c r="R1733" t="b">
        <f>AND(ISNUMBER(FIND($E1733,Tables!$I$2)), ISNUMBER(FIND($D1733,Tables!$J$2)), $E1733&lt;&gt;"")</f>
        <v>0</v>
      </c>
    </row>
    <row r="1734" spans="1:18" x14ac:dyDescent="0.25">
      <c r="A1734">
        <f>IF(AND(B1734="", D1734&lt;&gt;""), A1733, A1733+1)</f>
        <v>1728</v>
      </c>
      <c r="R1734" t="b">
        <f>AND(ISNUMBER(FIND($E1734,Tables!$I$2)), ISNUMBER(FIND($D1734,Tables!$J$2)), $E1734&lt;&gt;"")</f>
        <v>0</v>
      </c>
    </row>
    <row r="1735" spans="1:18" x14ac:dyDescent="0.25">
      <c r="A1735">
        <f>IF(AND(B1735="", D1735&lt;&gt;""), A1734, A1734+1)</f>
        <v>1729</v>
      </c>
      <c r="R1735" t="b">
        <f>AND(ISNUMBER(FIND($E1735,Tables!$I$2)), ISNUMBER(FIND($D1735,Tables!$J$2)), $E1735&lt;&gt;"")</f>
        <v>0</v>
      </c>
    </row>
    <row r="1736" spans="1:18" x14ac:dyDescent="0.25">
      <c r="A1736">
        <f>IF(AND(B1736="", D1736&lt;&gt;""), A1735, A1735+1)</f>
        <v>1730</v>
      </c>
      <c r="R1736" t="b">
        <f>AND(ISNUMBER(FIND($E1736,Tables!$I$2)), ISNUMBER(FIND($D1736,Tables!$J$2)), $E1736&lt;&gt;"")</f>
        <v>0</v>
      </c>
    </row>
    <row r="1737" spans="1:18" x14ac:dyDescent="0.25">
      <c r="A1737">
        <f>IF(AND(B1737="", D1737&lt;&gt;""), A1736, A1736+1)</f>
        <v>1731</v>
      </c>
      <c r="R1737" t="b">
        <f>AND(ISNUMBER(FIND($E1737,Tables!$I$2)), ISNUMBER(FIND($D1737,Tables!$J$2)), $E1737&lt;&gt;"")</f>
        <v>0</v>
      </c>
    </row>
    <row r="1738" spans="1:18" x14ac:dyDescent="0.25">
      <c r="A1738">
        <f>IF(AND(B1738="", D1738&lt;&gt;""), A1737, A1737+1)</f>
        <v>1732</v>
      </c>
      <c r="R1738" t="b">
        <f>AND(ISNUMBER(FIND($E1738,Tables!$I$2)), ISNUMBER(FIND($D1738,Tables!$J$2)), $E1738&lt;&gt;"")</f>
        <v>0</v>
      </c>
    </row>
    <row r="1739" spans="1:18" x14ac:dyDescent="0.25">
      <c r="A1739">
        <f>IF(AND(B1739="", D1739&lt;&gt;""), A1738, A1738+1)</f>
        <v>1733</v>
      </c>
      <c r="R1739" t="b">
        <f>AND(ISNUMBER(FIND($E1739,Tables!$I$2)), ISNUMBER(FIND($D1739,Tables!$J$2)), $E1739&lt;&gt;"")</f>
        <v>0</v>
      </c>
    </row>
    <row r="1740" spans="1:18" x14ac:dyDescent="0.25">
      <c r="A1740">
        <f>IF(AND(B1740="", D1740&lt;&gt;""), A1739, A1739+1)</f>
        <v>1734</v>
      </c>
      <c r="R1740" t="b">
        <f>AND(ISNUMBER(FIND($E1740,Tables!$I$2)), ISNUMBER(FIND($D1740,Tables!$J$2)), $E1740&lt;&gt;"")</f>
        <v>0</v>
      </c>
    </row>
    <row r="1741" spans="1:18" x14ac:dyDescent="0.25">
      <c r="A1741">
        <f>IF(AND(B1741="", D1741&lt;&gt;""), A1740, A1740+1)</f>
        <v>1735</v>
      </c>
      <c r="R1741" t="b">
        <f>AND(ISNUMBER(FIND($E1741,Tables!$I$2)), ISNUMBER(FIND($D1741,Tables!$J$2)), $E1741&lt;&gt;"")</f>
        <v>0</v>
      </c>
    </row>
    <row r="1742" spans="1:18" x14ac:dyDescent="0.25">
      <c r="A1742">
        <f>IF(AND(B1742="", D1742&lt;&gt;""), A1741, A1741+1)</f>
        <v>1736</v>
      </c>
      <c r="R1742" t="b">
        <f>AND(ISNUMBER(FIND($E1742,Tables!$I$2)), ISNUMBER(FIND($D1742,Tables!$J$2)), $E1742&lt;&gt;"")</f>
        <v>0</v>
      </c>
    </row>
    <row r="1743" spans="1:18" x14ac:dyDescent="0.25">
      <c r="A1743">
        <f>IF(AND(B1743="", D1743&lt;&gt;""), A1742, A1742+1)</f>
        <v>1737</v>
      </c>
      <c r="R1743" t="b">
        <f>AND(ISNUMBER(FIND($E1743,Tables!$I$2)), ISNUMBER(FIND($D1743,Tables!$J$2)), $E1743&lt;&gt;"")</f>
        <v>0</v>
      </c>
    </row>
    <row r="1744" spans="1:18" x14ac:dyDescent="0.25">
      <c r="A1744">
        <f>IF(AND(B1744="", D1744&lt;&gt;""), A1743, A1743+1)</f>
        <v>1738</v>
      </c>
      <c r="R1744" t="b">
        <f>AND(ISNUMBER(FIND($E1744,Tables!$I$2)), ISNUMBER(FIND($D1744,Tables!$J$2)), $E1744&lt;&gt;"")</f>
        <v>0</v>
      </c>
    </row>
    <row r="1745" spans="1:18" x14ac:dyDescent="0.25">
      <c r="A1745">
        <f>IF(AND(B1745="", D1745&lt;&gt;""), A1744, A1744+1)</f>
        <v>1739</v>
      </c>
      <c r="R1745" t="b">
        <f>AND(ISNUMBER(FIND($E1745,Tables!$I$2)), ISNUMBER(FIND($D1745,Tables!$J$2)), $E1745&lt;&gt;"")</f>
        <v>0</v>
      </c>
    </row>
    <row r="1746" spans="1:18" x14ac:dyDescent="0.25">
      <c r="A1746">
        <f>IF(AND(B1746="", D1746&lt;&gt;""), A1745, A1745+1)</f>
        <v>1740</v>
      </c>
      <c r="R1746" t="b">
        <f>AND(ISNUMBER(FIND($E1746,Tables!$I$2)), ISNUMBER(FIND($D1746,Tables!$J$2)), $E1746&lt;&gt;"")</f>
        <v>0</v>
      </c>
    </row>
    <row r="1747" spans="1:18" x14ac:dyDescent="0.25">
      <c r="A1747">
        <f>IF(AND(B1747="", D1747&lt;&gt;""), A1746, A1746+1)</f>
        <v>1741</v>
      </c>
      <c r="R1747" t="b">
        <f>AND(ISNUMBER(FIND($E1747,Tables!$I$2)), ISNUMBER(FIND($D1747,Tables!$J$2)), $E1747&lt;&gt;"")</f>
        <v>0</v>
      </c>
    </row>
    <row r="1748" spans="1:18" x14ac:dyDescent="0.25">
      <c r="A1748">
        <f>IF(AND(B1748="", D1748&lt;&gt;""), A1747, A1747+1)</f>
        <v>1742</v>
      </c>
      <c r="R1748" t="b">
        <f>AND(ISNUMBER(FIND($E1748,Tables!$I$2)), ISNUMBER(FIND($D1748,Tables!$J$2)), $E1748&lt;&gt;"")</f>
        <v>0</v>
      </c>
    </row>
    <row r="1749" spans="1:18" x14ac:dyDescent="0.25">
      <c r="A1749">
        <f>IF(AND(B1749="", D1749&lt;&gt;""), A1748, A1748+1)</f>
        <v>1743</v>
      </c>
      <c r="R1749" t="b">
        <f>AND(ISNUMBER(FIND($E1749,Tables!$I$2)), ISNUMBER(FIND($D1749,Tables!$J$2)), $E1749&lt;&gt;"")</f>
        <v>0</v>
      </c>
    </row>
    <row r="1750" spans="1:18" x14ac:dyDescent="0.25">
      <c r="A1750">
        <f>IF(AND(B1750="", D1750&lt;&gt;""), A1749, A1749+1)</f>
        <v>1744</v>
      </c>
      <c r="R1750" t="b">
        <f>AND(ISNUMBER(FIND($E1750,Tables!$I$2)), ISNUMBER(FIND($D1750,Tables!$J$2)), $E1750&lt;&gt;"")</f>
        <v>0</v>
      </c>
    </row>
    <row r="1751" spans="1:18" x14ac:dyDescent="0.25">
      <c r="A1751">
        <f>IF(AND(B1751="", D1751&lt;&gt;""), A1750, A1750+1)</f>
        <v>1745</v>
      </c>
      <c r="R1751" t="b">
        <f>AND(ISNUMBER(FIND($E1751,Tables!$I$2)), ISNUMBER(FIND($D1751,Tables!$J$2)), $E1751&lt;&gt;"")</f>
        <v>0</v>
      </c>
    </row>
    <row r="1752" spans="1:18" x14ac:dyDescent="0.25">
      <c r="A1752">
        <f>IF(AND(B1752="", D1752&lt;&gt;""), A1751, A1751+1)</f>
        <v>1746</v>
      </c>
      <c r="R1752" t="b">
        <f>AND(ISNUMBER(FIND($E1752,Tables!$I$2)), ISNUMBER(FIND($D1752,Tables!$J$2)), $E1752&lt;&gt;"")</f>
        <v>0</v>
      </c>
    </row>
    <row r="1753" spans="1:18" x14ac:dyDescent="0.25">
      <c r="A1753">
        <f>IF(AND(B1753="", D1753&lt;&gt;""), A1752, A1752+1)</f>
        <v>1747</v>
      </c>
      <c r="R1753" t="b">
        <f>AND(ISNUMBER(FIND($E1753,Tables!$I$2)), ISNUMBER(FIND($D1753,Tables!$J$2)), $E1753&lt;&gt;"")</f>
        <v>0</v>
      </c>
    </row>
    <row r="1754" spans="1:18" x14ac:dyDescent="0.25">
      <c r="A1754">
        <f>IF(AND(B1754="", D1754&lt;&gt;""), A1753, A1753+1)</f>
        <v>1748</v>
      </c>
      <c r="R1754" t="b">
        <f>AND(ISNUMBER(FIND($E1754,Tables!$I$2)), ISNUMBER(FIND($D1754,Tables!$J$2)), $E1754&lt;&gt;"")</f>
        <v>0</v>
      </c>
    </row>
    <row r="1755" spans="1:18" x14ac:dyDescent="0.25">
      <c r="A1755">
        <f>IF(AND(B1755="", D1755&lt;&gt;""), A1754, A1754+1)</f>
        <v>1749</v>
      </c>
      <c r="R1755" t="b">
        <f>AND(ISNUMBER(FIND($E1755,Tables!$I$2)), ISNUMBER(FIND($D1755,Tables!$J$2)), $E1755&lt;&gt;"")</f>
        <v>0</v>
      </c>
    </row>
    <row r="1756" spans="1:18" x14ac:dyDescent="0.25">
      <c r="A1756">
        <f>IF(AND(B1756="", D1756&lt;&gt;""), A1755, A1755+1)</f>
        <v>1750</v>
      </c>
      <c r="R1756" t="b">
        <f>AND(ISNUMBER(FIND($E1756,Tables!$I$2)), ISNUMBER(FIND($D1756,Tables!$J$2)), $E1756&lt;&gt;"")</f>
        <v>0</v>
      </c>
    </row>
    <row r="1757" spans="1:18" x14ac:dyDescent="0.25">
      <c r="A1757">
        <f>IF(AND(B1757="", D1757&lt;&gt;""), A1756, A1756+1)</f>
        <v>1751</v>
      </c>
      <c r="R1757" t="b">
        <f>AND(ISNUMBER(FIND($E1757,Tables!$I$2)), ISNUMBER(FIND($D1757,Tables!$J$2)), $E1757&lt;&gt;"")</f>
        <v>0</v>
      </c>
    </row>
    <row r="1758" spans="1:18" x14ac:dyDescent="0.25">
      <c r="A1758">
        <f>IF(AND(B1758="", D1758&lt;&gt;""), A1757, A1757+1)</f>
        <v>1752</v>
      </c>
      <c r="R1758" t="b">
        <f>AND(ISNUMBER(FIND($E1758,Tables!$I$2)), ISNUMBER(FIND($D1758,Tables!$J$2)), $E1758&lt;&gt;"")</f>
        <v>0</v>
      </c>
    </row>
    <row r="1759" spans="1:18" x14ac:dyDescent="0.25">
      <c r="A1759">
        <f>IF(AND(B1759="", D1759&lt;&gt;""), A1758, A1758+1)</f>
        <v>1753</v>
      </c>
      <c r="R1759" t="b">
        <f>AND(ISNUMBER(FIND($E1759,Tables!$I$2)), ISNUMBER(FIND($D1759,Tables!$J$2)), $E1759&lt;&gt;"")</f>
        <v>0</v>
      </c>
    </row>
    <row r="1760" spans="1:18" x14ac:dyDescent="0.25">
      <c r="A1760">
        <f>IF(AND(B1760="", D1760&lt;&gt;""), A1759, A1759+1)</f>
        <v>1754</v>
      </c>
      <c r="R1760" t="b">
        <f>AND(ISNUMBER(FIND($E1760,Tables!$I$2)), ISNUMBER(FIND($D1760,Tables!$J$2)), $E1760&lt;&gt;"")</f>
        <v>0</v>
      </c>
    </row>
    <row r="1761" spans="1:18" x14ac:dyDescent="0.25">
      <c r="A1761">
        <f>IF(AND(B1761="", D1761&lt;&gt;""), A1760, A1760+1)</f>
        <v>1755</v>
      </c>
      <c r="R1761" t="b">
        <f>AND(ISNUMBER(FIND($E1761,Tables!$I$2)), ISNUMBER(FIND($D1761,Tables!$J$2)), $E1761&lt;&gt;"")</f>
        <v>0</v>
      </c>
    </row>
    <row r="1762" spans="1:18" x14ac:dyDescent="0.25">
      <c r="A1762">
        <f>IF(AND(B1762="", D1762&lt;&gt;""), A1761, A1761+1)</f>
        <v>1756</v>
      </c>
      <c r="R1762" t="b">
        <f>AND(ISNUMBER(FIND($E1762,Tables!$I$2)), ISNUMBER(FIND($D1762,Tables!$J$2)), $E1762&lt;&gt;"")</f>
        <v>0</v>
      </c>
    </row>
    <row r="1763" spans="1:18" x14ac:dyDescent="0.25">
      <c r="A1763">
        <f>IF(AND(B1763="", D1763&lt;&gt;""), A1762, A1762+1)</f>
        <v>1757</v>
      </c>
      <c r="R1763" t="b">
        <f>AND(ISNUMBER(FIND($E1763,Tables!$I$2)), ISNUMBER(FIND($D1763,Tables!$J$2)), $E1763&lt;&gt;"")</f>
        <v>0</v>
      </c>
    </row>
    <row r="1764" spans="1:18" x14ac:dyDescent="0.25">
      <c r="A1764">
        <f>IF(AND(B1764="", D1764&lt;&gt;""), A1763, A1763+1)</f>
        <v>1758</v>
      </c>
      <c r="R1764" t="b">
        <f>AND(ISNUMBER(FIND($E1764,Tables!$I$2)), ISNUMBER(FIND($D1764,Tables!$J$2)), $E1764&lt;&gt;"")</f>
        <v>0</v>
      </c>
    </row>
    <row r="1765" spans="1:18" x14ac:dyDescent="0.25">
      <c r="A1765">
        <f>IF(AND(B1765="", D1765&lt;&gt;""), A1764, A1764+1)</f>
        <v>1759</v>
      </c>
      <c r="R1765" t="b">
        <f>AND(ISNUMBER(FIND($E1765,Tables!$I$2)), ISNUMBER(FIND($D1765,Tables!$J$2)), $E1765&lt;&gt;"")</f>
        <v>0</v>
      </c>
    </row>
    <row r="1766" spans="1:18" x14ac:dyDescent="0.25">
      <c r="A1766">
        <f>IF(AND(B1766="", D1766&lt;&gt;""), A1765, A1765+1)</f>
        <v>1760</v>
      </c>
      <c r="R1766" t="b">
        <f>AND(ISNUMBER(FIND($E1766,Tables!$I$2)), ISNUMBER(FIND($D1766,Tables!$J$2)), $E1766&lt;&gt;"")</f>
        <v>0</v>
      </c>
    </row>
    <row r="1767" spans="1:18" x14ac:dyDescent="0.25">
      <c r="A1767">
        <f>IF(AND(B1767="", D1767&lt;&gt;""), A1766, A1766+1)</f>
        <v>1761</v>
      </c>
      <c r="R1767" t="b">
        <f>AND(ISNUMBER(FIND($E1767,Tables!$I$2)), ISNUMBER(FIND($D1767,Tables!$J$2)), $E1767&lt;&gt;"")</f>
        <v>0</v>
      </c>
    </row>
    <row r="1768" spans="1:18" x14ac:dyDescent="0.25">
      <c r="A1768">
        <f>IF(AND(B1768="", D1768&lt;&gt;""), A1767, A1767+1)</f>
        <v>1762</v>
      </c>
      <c r="R1768" t="b">
        <f>AND(ISNUMBER(FIND($E1768,Tables!$I$2)), ISNUMBER(FIND($D1768,Tables!$J$2)), $E1768&lt;&gt;"")</f>
        <v>0</v>
      </c>
    </row>
    <row r="1769" spans="1:18" x14ac:dyDescent="0.25">
      <c r="A1769">
        <f>IF(AND(B1769="", D1769&lt;&gt;""), A1768, A1768+1)</f>
        <v>1763</v>
      </c>
      <c r="R1769" t="b">
        <f>AND(ISNUMBER(FIND($E1769,Tables!$I$2)), ISNUMBER(FIND($D1769,Tables!$J$2)), $E1769&lt;&gt;"")</f>
        <v>0</v>
      </c>
    </row>
    <row r="1770" spans="1:18" x14ac:dyDescent="0.25">
      <c r="A1770">
        <f>IF(AND(B1770="", D1770&lt;&gt;""), A1769, A1769+1)</f>
        <v>1764</v>
      </c>
      <c r="R1770" t="b">
        <f>AND(ISNUMBER(FIND($E1770,Tables!$I$2)), ISNUMBER(FIND($D1770,Tables!$J$2)), $E1770&lt;&gt;"")</f>
        <v>0</v>
      </c>
    </row>
    <row r="1771" spans="1:18" x14ac:dyDescent="0.25">
      <c r="A1771">
        <f>IF(AND(B1771="", D1771&lt;&gt;""), A1770, A1770+1)</f>
        <v>1765</v>
      </c>
      <c r="R1771" t="b">
        <f>AND(ISNUMBER(FIND($E1771,Tables!$I$2)), ISNUMBER(FIND($D1771,Tables!$J$2)), $E1771&lt;&gt;"")</f>
        <v>0</v>
      </c>
    </row>
    <row r="1772" spans="1:18" x14ac:dyDescent="0.25">
      <c r="A1772">
        <f>IF(AND(B1772="", D1772&lt;&gt;""), A1771, A1771+1)</f>
        <v>1766</v>
      </c>
      <c r="R1772" t="b">
        <f>AND(ISNUMBER(FIND($E1772,Tables!$I$2)), ISNUMBER(FIND($D1772,Tables!$J$2)), $E1772&lt;&gt;"")</f>
        <v>0</v>
      </c>
    </row>
    <row r="1773" spans="1:18" x14ac:dyDescent="0.25">
      <c r="A1773">
        <f>IF(AND(B1773="", D1773&lt;&gt;""), A1772, A1772+1)</f>
        <v>1767</v>
      </c>
      <c r="R1773" t="b">
        <f>AND(ISNUMBER(FIND($E1773,Tables!$I$2)), ISNUMBER(FIND($D1773,Tables!$J$2)), $E1773&lt;&gt;"")</f>
        <v>0</v>
      </c>
    </row>
    <row r="1774" spans="1:18" x14ac:dyDescent="0.25">
      <c r="A1774">
        <f>IF(AND(B1774="", D1774&lt;&gt;""), A1773, A1773+1)</f>
        <v>1768</v>
      </c>
      <c r="R1774" t="b">
        <f>AND(ISNUMBER(FIND($E1774,Tables!$I$2)), ISNUMBER(FIND($D1774,Tables!$J$2)), $E1774&lt;&gt;"")</f>
        <v>0</v>
      </c>
    </row>
    <row r="1775" spans="1:18" x14ac:dyDescent="0.25">
      <c r="A1775">
        <f>IF(AND(B1775="", D1775&lt;&gt;""), A1774, A1774+1)</f>
        <v>1769</v>
      </c>
      <c r="R1775" t="b">
        <f>AND(ISNUMBER(FIND($E1775,Tables!$I$2)), ISNUMBER(FIND($D1775,Tables!$J$2)), $E1775&lt;&gt;"")</f>
        <v>0</v>
      </c>
    </row>
    <row r="1776" spans="1:18" x14ac:dyDescent="0.25">
      <c r="A1776">
        <f>IF(AND(B1776="", D1776&lt;&gt;""), A1775, A1775+1)</f>
        <v>1770</v>
      </c>
      <c r="R1776" t="b">
        <f>AND(ISNUMBER(FIND($E1776,Tables!$I$2)), ISNUMBER(FIND($D1776,Tables!$J$2)), $E1776&lt;&gt;"")</f>
        <v>0</v>
      </c>
    </row>
    <row r="1777" spans="1:18" x14ac:dyDescent="0.25">
      <c r="A1777">
        <f>IF(AND(B1777="", D1777&lt;&gt;""), A1776, A1776+1)</f>
        <v>1771</v>
      </c>
      <c r="R1777" t="b">
        <f>AND(ISNUMBER(FIND($E1777,Tables!$I$2)), ISNUMBER(FIND($D1777,Tables!$J$2)), $E1777&lt;&gt;"")</f>
        <v>0</v>
      </c>
    </row>
    <row r="1778" spans="1:18" x14ac:dyDescent="0.25">
      <c r="A1778">
        <f>IF(AND(B1778="", D1778&lt;&gt;""), A1777, A1777+1)</f>
        <v>1772</v>
      </c>
      <c r="R1778" t="b">
        <f>AND(ISNUMBER(FIND($E1778,Tables!$I$2)), ISNUMBER(FIND($D1778,Tables!$J$2)), $E1778&lt;&gt;"")</f>
        <v>0</v>
      </c>
    </row>
    <row r="1779" spans="1:18" x14ac:dyDescent="0.25">
      <c r="A1779">
        <f>IF(AND(B1779="", D1779&lt;&gt;""), A1778, A1778+1)</f>
        <v>1773</v>
      </c>
      <c r="R1779" t="b">
        <f>AND(ISNUMBER(FIND($E1779,Tables!$I$2)), ISNUMBER(FIND($D1779,Tables!$J$2)), $E1779&lt;&gt;"")</f>
        <v>0</v>
      </c>
    </row>
    <row r="1780" spans="1:18" x14ac:dyDescent="0.25">
      <c r="A1780">
        <f>IF(AND(B1780="", D1780&lt;&gt;""), A1779, A1779+1)</f>
        <v>1774</v>
      </c>
      <c r="R1780" t="b">
        <f>AND(ISNUMBER(FIND($E1780,Tables!$I$2)), ISNUMBER(FIND($D1780,Tables!$J$2)), $E1780&lt;&gt;"")</f>
        <v>0</v>
      </c>
    </row>
    <row r="1781" spans="1:18" x14ac:dyDescent="0.25">
      <c r="A1781">
        <f>IF(AND(B1781="", D1781&lt;&gt;""), A1780, A1780+1)</f>
        <v>1775</v>
      </c>
      <c r="R1781" t="b">
        <f>AND(ISNUMBER(FIND($E1781,Tables!$I$2)), ISNUMBER(FIND($D1781,Tables!$J$2)), $E1781&lt;&gt;"")</f>
        <v>0</v>
      </c>
    </row>
    <row r="1782" spans="1:18" x14ac:dyDescent="0.25">
      <c r="A1782">
        <f>IF(AND(B1782="", D1782&lt;&gt;""), A1781, A1781+1)</f>
        <v>1776</v>
      </c>
      <c r="R1782" t="b">
        <f>AND(ISNUMBER(FIND($E1782,Tables!$I$2)), ISNUMBER(FIND($D1782,Tables!$J$2)), $E1782&lt;&gt;"")</f>
        <v>0</v>
      </c>
    </row>
    <row r="1783" spans="1:18" x14ac:dyDescent="0.25">
      <c r="A1783">
        <f>IF(AND(B1783="", D1783&lt;&gt;""), A1782, A1782+1)</f>
        <v>1777</v>
      </c>
      <c r="R1783" t="b">
        <f>AND(ISNUMBER(FIND($E1783,Tables!$I$2)), ISNUMBER(FIND($D1783,Tables!$J$2)), $E1783&lt;&gt;"")</f>
        <v>0</v>
      </c>
    </row>
    <row r="1784" spans="1:18" x14ac:dyDescent="0.25">
      <c r="A1784">
        <f>IF(AND(B1784="", D1784&lt;&gt;""), A1783, A1783+1)</f>
        <v>1778</v>
      </c>
      <c r="R1784" t="b">
        <f>AND(ISNUMBER(FIND($E1784,Tables!$I$2)), ISNUMBER(FIND($D1784,Tables!$J$2)), $E1784&lt;&gt;"")</f>
        <v>0</v>
      </c>
    </row>
    <row r="1785" spans="1:18" x14ac:dyDescent="0.25">
      <c r="A1785">
        <f>IF(AND(B1785="", D1785&lt;&gt;""), A1784, A1784+1)</f>
        <v>1779</v>
      </c>
      <c r="R1785" t="b">
        <f>AND(ISNUMBER(FIND($E1785,Tables!$I$2)), ISNUMBER(FIND($D1785,Tables!$J$2)), $E1785&lt;&gt;"")</f>
        <v>0</v>
      </c>
    </row>
    <row r="1786" spans="1:18" x14ac:dyDescent="0.25">
      <c r="A1786">
        <f>IF(AND(B1786="", D1786&lt;&gt;""), A1785, A1785+1)</f>
        <v>1780</v>
      </c>
      <c r="R1786" t="b">
        <f>AND(ISNUMBER(FIND($E1786,Tables!$I$2)), ISNUMBER(FIND($D1786,Tables!$J$2)), $E1786&lt;&gt;"")</f>
        <v>0</v>
      </c>
    </row>
    <row r="1787" spans="1:18" x14ac:dyDescent="0.25">
      <c r="A1787">
        <f>IF(AND(B1787="", D1787&lt;&gt;""), A1786, A1786+1)</f>
        <v>1781</v>
      </c>
      <c r="R1787" t="b">
        <f>AND(ISNUMBER(FIND($E1787,Tables!$I$2)), ISNUMBER(FIND($D1787,Tables!$J$2)), $E1787&lt;&gt;"")</f>
        <v>0</v>
      </c>
    </row>
    <row r="1788" spans="1:18" x14ac:dyDescent="0.25">
      <c r="A1788">
        <f>IF(AND(B1788="", D1788&lt;&gt;""), A1787, A1787+1)</f>
        <v>1782</v>
      </c>
      <c r="R1788" t="b">
        <f>AND(ISNUMBER(FIND($E1788,Tables!$I$2)), ISNUMBER(FIND($D1788,Tables!$J$2)), $E1788&lt;&gt;"")</f>
        <v>0</v>
      </c>
    </row>
    <row r="1789" spans="1:18" x14ac:dyDescent="0.25">
      <c r="A1789">
        <f>IF(AND(B1789="", D1789&lt;&gt;""), A1788, A1788+1)</f>
        <v>1783</v>
      </c>
      <c r="R1789" t="b">
        <f>AND(ISNUMBER(FIND($E1789,Tables!$I$2)), ISNUMBER(FIND($D1789,Tables!$J$2)), $E1789&lt;&gt;"")</f>
        <v>0</v>
      </c>
    </row>
    <row r="1790" spans="1:18" x14ac:dyDescent="0.25">
      <c r="A1790">
        <f>IF(AND(B1790="", D1790&lt;&gt;""), A1789, A1789+1)</f>
        <v>1784</v>
      </c>
      <c r="R1790" t="b">
        <f>AND(ISNUMBER(FIND($E1790,Tables!$I$2)), ISNUMBER(FIND($D1790,Tables!$J$2)), $E1790&lt;&gt;"")</f>
        <v>0</v>
      </c>
    </row>
    <row r="1791" spans="1:18" x14ac:dyDescent="0.25">
      <c r="A1791">
        <f>IF(AND(B1791="", D1791&lt;&gt;""), A1790, A1790+1)</f>
        <v>1785</v>
      </c>
      <c r="R1791" t="b">
        <f>AND(ISNUMBER(FIND($E1791,Tables!$I$2)), ISNUMBER(FIND($D1791,Tables!$J$2)), $E1791&lt;&gt;"")</f>
        <v>0</v>
      </c>
    </row>
    <row r="1792" spans="1:18" x14ac:dyDescent="0.25">
      <c r="A1792">
        <f>IF(AND(B1792="", D1792&lt;&gt;""), A1791, A1791+1)</f>
        <v>1786</v>
      </c>
      <c r="R1792" t="b">
        <f>AND(ISNUMBER(FIND($E1792,Tables!$I$2)), ISNUMBER(FIND($D1792,Tables!$J$2)), $E1792&lt;&gt;"")</f>
        <v>0</v>
      </c>
    </row>
    <row r="1793" spans="1:18" x14ac:dyDescent="0.25">
      <c r="A1793">
        <f>IF(AND(B1793="", D1793&lt;&gt;""), A1792, A1792+1)</f>
        <v>1787</v>
      </c>
      <c r="R1793" t="b">
        <f>AND(ISNUMBER(FIND($E1793,Tables!$I$2)), ISNUMBER(FIND($D1793,Tables!$J$2)), $E1793&lt;&gt;"")</f>
        <v>0</v>
      </c>
    </row>
    <row r="1794" spans="1:18" x14ac:dyDescent="0.25">
      <c r="A1794">
        <f>IF(AND(B1794="", D1794&lt;&gt;""), A1793, A1793+1)</f>
        <v>1788</v>
      </c>
      <c r="R1794" t="b">
        <f>AND(ISNUMBER(FIND($E1794,Tables!$I$2)), ISNUMBER(FIND($D1794,Tables!$J$2)), $E1794&lt;&gt;"")</f>
        <v>0</v>
      </c>
    </row>
    <row r="1795" spans="1:18" x14ac:dyDescent="0.25">
      <c r="A1795">
        <f>IF(AND(B1795="", D1795&lt;&gt;""), A1794, A1794+1)</f>
        <v>1789</v>
      </c>
      <c r="R1795" t="b">
        <f>AND(ISNUMBER(FIND($E1795,Tables!$I$2)), ISNUMBER(FIND($D1795,Tables!$J$2)), $E1795&lt;&gt;"")</f>
        <v>0</v>
      </c>
    </row>
    <row r="1796" spans="1:18" x14ac:dyDescent="0.25">
      <c r="A1796">
        <f>IF(AND(B1796="", D1796&lt;&gt;""), A1795, A1795+1)</f>
        <v>1790</v>
      </c>
      <c r="R1796" t="b">
        <f>AND(ISNUMBER(FIND($E1796,Tables!$I$2)), ISNUMBER(FIND($D1796,Tables!$J$2)), $E1796&lt;&gt;"")</f>
        <v>0</v>
      </c>
    </row>
    <row r="1797" spans="1:18" x14ac:dyDescent="0.25">
      <c r="A1797">
        <f>IF(AND(B1797="", D1797&lt;&gt;""), A1796, A1796+1)</f>
        <v>1791</v>
      </c>
      <c r="R1797" t="b">
        <f>AND(ISNUMBER(FIND($E1797,Tables!$I$2)), ISNUMBER(FIND($D1797,Tables!$J$2)), $E1797&lt;&gt;"")</f>
        <v>0</v>
      </c>
    </row>
    <row r="1798" spans="1:18" x14ac:dyDescent="0.25">
      <c r="A1798">
        <f>IF(AND(B1798="", D1798&lt;&gt;""), A1797, A1797+1)</f>
        <v>1792</v>
      </c>
      <c r="R1798" t="b">
        <f>AND(ISNUMBER(FIND($E1798,Tables!$I$2)), ISNUMBER(FIND($D1798,Tables!$J$2)), $E1798&lt;&gt;"")</f>
        <v>0</v>
      </c>
    </row>
    <row r="1799" spans="1:18" x14ac:dyDescent="0.25">
      <c r="A1799">
        <f>IF(AND(B1799="", D1799&lt;&gt;""), A1798, A1798+1)</f>
        <v>1793</v>
      </c>
      <c r="R1799" t="b">
        <f>AND(ISNUMBER(FIND($E1799,Tables!$I$2)), ISNUMBER(FIND($D1799,Tables!$J$2)), $E1799&lt;&gt;"")</f>
        <v>0</v>
      </c>
    </row>
    <row r="1800" spans="1:18" x14ac:dyDescent="0.25">
      <c r="A1800">
        <f>IF(AND(B1800="", D1800&lt;&gt;""), A1799, A1799+1)</f>
        <v>1794</v>
      </c>
      <c r="R1800" t="b">
        <f>AND(ISNUMBER(FIND($E1800,Tables!$I$2)), ISNUMBER(FIND($D1800,Tables!$J$2)), $E1800&lt;&gt;"")</f>
        <v>0</v>
      </c>
    </row>
    <row r="1801" spans="1:18" x14ac:dyDescent="0.25">
      <c r="A1801">
        <f>IF(AND(B1801="", D1801&lt;&gt;""), A1800, A1800+1)</f>
        <v>1795</v>
      </c>
      <c r="R1801" t="b">
        <f>AND(ISNUMBER(FIND($E1801,Tables!$I$2)), ISNUMBER(FIND($D1801,Tables!$J$2)), $E1801&lt;&gt;"")</f>
        <v>0</v>
      </c>
    </row>
    <row r="1802" spans="1:18" x14ac:dyDescent="0.25">
      <c r="A1802">
        <f>IF(AND(B1802="", D1802&lt;&gt;""), A1801, A1801+1)</f>
        <v>1796</v>
      </c>
      <c r="R1802" t="b">
        <f>AND(ISNUMBER(FIND($E1802,Tables!$I$2)), ISNUMBER(FIND($D1802,Tables!$J$2)), $E1802&lt;&gt;"")</f>
        <v>0</v>
      </c>
    </row>
    <row r="1803" spans="1:18" x14ac:dyDescent="0.25">
      <c r="A1803">
        <f>IF(AND(B1803="", D1803&lt;&gt;""), A1802, A1802+1)</f>
        <v>1797</v>
      </c>
      <c r="R1803" t="b">
        <f>AND(ISNUMBER(FIND($E1803,Tables!$I$2)), ISNUMBER(FIND($D1803,Tables!$J$2)), $E1803&lt;&gt;"")</f>
        <v>0</v>
      </c>
    </row>
    <row r="1804" spans="1:18" x14ac:dyDescent="0.25">
      <c r="A1804">
        <f>IF(AND(B1804="", D1804&lt;&gt;""), A1803, A1803+1)</f>
        <v>1798</v>
      </c>
      <c r="R1804" t="b">
        <f>AND(ISNUMBER(FIND($E1804,Tables!$I$2)), ISNUMBER(FIND($D1804,Tables!$J$2)), $E1804&lt;&gt;"")</f>
        <v>0</v>
      </c>
    </row>
    <row r="1805" spans="1:18" x14ac:dyDescent="0.25">
      <c r="A1805">
        <f>IF(AND(B1805="", D1805&lt;&gt;""), A1804, A1804+1)</f>
        <v>1799</v>
      </c>
      <c r="R1805" t="b">
        <f>AND(ISNUMBER(FIND($E1805,Tables!$I$2)), ISNUMBER(FIND($D1805,Tables!$J$2)), $E1805&lt;&gt;"")</f>
        <v>0</v>
      </c>
    </row>
    <row r="1806" spans="1:18" x14ac:dyDescent="0.25">
      <c r="A1806">
        <f>IF(AND(B1806="", D1806&lt;&gt;""), A1805, A1805+1)</f>
        <v>1800</v>
      </c>
      <c r="R1806" t="b">
        <f>AND(ISNUMBER(FIND($E1806,Tables!$I$2)), ISNUMBER(FIND($D1806,Tables!$J$2)), $E1806&lt;&gt;"")</f>
        <v>0</v>
      </c>
    </row>
    <row r="1807" spans="1:18" x14ac:dyDescent="0.25">
      <c r="A1807">
        <f>IF(AND(B1807="", D1807&lt;&gt;""), A1806, A1806+1)</f>
        <v>1801</v>
      </c>
      <c r="R1807" t="b">
        <f>AND(ISNUMBER(FIND($E1807,Tables!$I$2)), ISNUMBER(FIND($D1807,Tables!$J$2)), $E1807&lt;&gt;"")</f>
        <v>0</v>
      </c>
    </row>
    <row r="1808" spans="1:18" x14ac:dyDescent="0.25">
      <c r="A1808">
        <f>IF(AND(B1808="", D1808&lt;&gt;""), A1807, A1807+1)</f>
        <v>1802</v>
      </c>
      <c r="R1808" t="b">
        <f>AND(ISNUMBER(FIND($E1808,Tables!$I$2)), ISNUMBER(FIND($D1808,Tables!$J$2)), $E1808&lt;&gt;"")</f>
        <v>0</v>
      </c>
    </row>
    <row r="1809" spans="1:18" x14ac:dyDescent="0.25">
      <c r="A1809">
        <f>IF(AND(B1809="", D1809&lt;&gt;""), A1808, A1808+1)</f>
        <v>1803</v>
      </c>
      <c r="R1809" t="b">
        <f>AND(ISNUMBER(FIND($E1809,Tables!$I$2)), ISNUMBER(FIND($D1809,Tables!$J$2)), $E1809&lt;&gt;"")</f>
        <v>0</v>
      </c>
    </row>
    <row r="1810" spans="1:18" x14ac:dyDescent="0.25">
      <c r="A1810">
        <f>IF(AND(B1810="", D1810&lt;&gt;""), A1809, A1809+1)</f>
        <v>1804</v>
      </c>
      <c r="R1810" t="b">
        <f>AND(ISNUMBER(FIND($E1810,Tables!$I$2)), ISNUMBER(FIND($D1810,Tables!$J$2)), $E1810&lt;&gt;"")</f>
        <v>0</v>
      </c>
    </row>
    <row r="1811" spans="1:18" x14ac:dyDescent="0.25">
      <c r="A1811">
        <f>IF(AND(B1811="", D1811&lt;&gt;""), A1810, A1810+1)</f>
        <v>1805</v>
      </c>
      <c r="R1811" t="b">
        <f>AND(ISNUMBER(FIND($E1811,Tables!$I$2)), ISNUMBER(FIND($D1811,Tables!$J$2)), $E1811&lt;&gt;"")</f>
        <v>0</v>
      </c>
    </row>
    <row r="1812" spans="1:18" x14ac:dyDescent="0.25">
      <c r="A1812">
        <f>IF(AND(B1812="", D1812&lt;&gt;""), A1811, A1811+1)</f>
        <v>1806</v>
      </c>
      <c r="R1812" t="b">
        <f>AND(ISNUMBER(FIND($E1812,Tables!$I$2)), ISNUMBER(FIND($D1812,Tables!$J$2)), $E1812&lt;&gt;"")</f>
        <v>0</v>
      </c>
    </row>
    <row r="1813" spans="1:18" x14ac:dyDescent="0.25">
      <c r="A1813">
        <f>IF(AND(B1813="", D1813&lt;&gt;""), A1812, A1812+1)</f>
        <v>1807</v>
      </c>
      <c r="R1813" t="b">
        <f>AND(ISNUMBER(FIND($E1813,Tables!$I$2)), ISNUMBER(FIND($D1813,Tables!$J$2)), $E1813&lt;&gt;"")</f>
        <v>0</v>
      </c>
    </row>
    <row r="1814" spans="1:18" x14ac:dyDescent="0.25">
      <c r="A1814">
        <f>IF(AND(B1814="", D1814&lt;&gt;""), A1813, A1813+1)</f>
        <v>1808</v>
      </c>
      <c r="R1814" t="b">
        <f>AND(ISNUMBER(FIND($E1814,Tables!$I$2)), ISNUMBER(FIND($D1814,Tables!$J$2)), $E1814&lt;&gt;"")</f>
        <v>0</v>
      </c>
    </row>
    <row r="1815" spans="1:18" x14ac:dyDescent="0.25">
      <c r="A1815">
        <f>IF(AND(B1815="", D1815&lt;&gt;""), A1814, A1814+1)</f>
        <v>1809</v>
      </c>
      <c r="R1815" t="b">
        <f>AND(ISNUMBER(FIND($E1815,Tables!$I$2)), ISNUMBER(FIND($D1815,Tables!$J$2)), $E1815&lt;&gt;"")</f>
        <v>0</v>
      </c>
    </row>
    <row r="1816" spans="1:18" x14ac:dyDescent="0.25">
      <c r="A1816">
        <f>IF(AND(B1816="", D1816&lt;&gt;""), A1815, A1815+1)</f>
        <v>1810</v>
      </c>
      <c r="R1816" t="b">
        <f>AND(ISNUMBER(FIND($E1816,Tables!$I$2)), ISNUMBER(FIND($D1816,Tables!$J$2)), $E1816&lt;&gt;"")</f>
        <v>0</v>
      </c>
    </row>
    <row r="1817" spans="1:18" x14ac:dyDescent="0.25">
      <c r="A1817">
        <f>IF(AND(B1817="", D1817&lt;&gt;""), A1816, A1816+1)</f>
        <v>1811</v>
      </c>
      <c r="R1817" t="b">
        <f>AND(ISNUMBER(FIND($E1817,Tables!$I$2)), ISNUMBER(FIND($D1817,Tables!$J$2)), $E1817&lt;&gt;"")</f>
        <v>0</v>
      </c>
    </row>
    <row r="1818" spans="1:18" x14ac:dyDescent="0.25">
      <c r="A1818">
        <f>IF(AND(B1818="", D1818&lt;&gt;""), A1817, A1817+1)</f>
        <v>1812</v>
      </c>
      <c r="R1818" t="b">
        <f>AND(ISNUMBER(FIND($E1818,Tables!$I$2)), ISNUMBER(FIND($D1818,Tables!$J$2)), $E1818&lt;&gt;"")</f>
        <v>0</v>
      </c>
    </row>
    <row r="1819" spans="1:18" x14ac:dyDescent="0.25">
      <c r="A1819">
        <f>IF(AND(B1819="", D1819&lt;&gt;""), A1818, A1818+1)</f>
        <v>1813</v>
      </c>
      <c r="R1819" t="b">
        <f>AND(ISNUMBER(FIND($E1819,Tables!$I$2)), ISNUMBER(FIND($D1819,Tables!$J$2)), $E1819&lt;&gt;"")</f>
        <v>0</v>
      </c>
    </row>
    <row r="1820" spans="1:18" x14ac:dyDescent="0.25">
      <c r="A1820">
        <f>IF(AND(B1820="", D1820&lt;&gt;""), A1819, A1819+1)</f>
        <v>1814</v>
      </c>
      <c r="R1820" t="b">
        <f>AND(ISNUMBER(FIND($E1820,Tables!$I$2)), ISNUMBER(FIND($D1820,Tables!$J$2)), $E1820&lt;&gt;"")</f>
        <v>0</v>
      </c>
    </row>
    <row r="1821" spans="1:18" x14ac:dyDescent="0.25">
      <c r="A1821">
        <f>IF(AND(B1821="", D1821&lt;&gt;""), A1820, A1820+1)</f>
        <v>1815</v>
      </c>
      <c r="R1821" t="b">
        <f>AND(ISNUMBER(FIND($E1821,Tables!$I$2)), ISNUMBER(FIND($D1821,Tables!$J$2)), $E1821&lt;&gt;"")</f>
        <v>0</v>
      </c>
    </row>
    <row r="1822" spans="1:18" x14ac:dyDescent="0.25">
      <c r="A1822">
        <f>IF(AND(B1822="", D1822&lt;&gt;""), A1821, A1821+1)</f>
        <v>1816</v>
      </c>
      <c r="R1822" t="b">
        <f>AND(ISNUMBER(FIND($E1822,Tables!$I$2)), ISNUMBER(FIND($D1822,Tables!$J$2)), $E1822&lt;&gt;"")</f>
        <v>0</v>
      </c>
    </row>
    <row r="1823" spans="1:18" x14ac:dyDescent="0.25">
      <c r="A1823">
        <f>IF(AND(B1823="", D1823&lt;&gt;""), A1822, A1822+1)</f>
        <v>1817</v>
      </c>
      <c r="R1823" t="b">
        <f>AND(ISNUMBER(FIND($E1823,Tables!$I$2)), ISNUMBER(FIND($D1823,Tables!$J$2)), $E1823&lt;&gt;"")</f>
        <v>0</v>
      </c>
    </row>
    <row r="1824" spans="1:18" x14ac:dyDescent="0.25">
      <c r="A1824">
        <f>IF(AND(B1824="", D1824&lt;&gt;""), A1823, A1823+1)</f>
        <v>1818</v>
      </c>
      <c r="R1824" t="b">
        <f>AND(ISNUMBER(FIND($E1824,Tables!$I$2)), ISNUMBER(FIND($D1824,Tables!$J$2)), $E1824&lt;&gt;"")</f>
        <v>0</v>
      </c>
    </row>
    <row r="1825" spans="1:18" x14ac:dyDescent="0.25">
      <c r="A1825">
        <f>IF(AND(B1825="", D1825&lt;&gt;""), A1824, A1824+1)</f>
        <v>1819</v>
      </c>
      <c r="R1825" t="b">
        <f>AND(ISNUMBER(FIND($E1825,Tables!$I$2)), ISNUMBER(FIND($D1825,Tables!$J$2)), $E1825&lt;&gt;"")</f>
        <v>0</v>
      </c>
    </row>
    <row r="1826" spans="1:18" x14ac:dyDescent="0.25">
      <c r="A1826">
        <f>IF(AND(B1826="", D1826&lt;&gt;""), A1825, A1825+1)</f>
        <v>1820</v>
      </c>
      <c r="R1826" t="b">
        <f>AND(ISNUMBER(FIND($E1826,Tables!$I$2)), ISNUMBER(FIND($D1826,Tables!$J$2)), $E1826&lt;&gt;"")</f>
        <v>0</v>
      </c>
    </row>
    <row r="1827" spans="1:18" x14ac:dyDescent="0.25">
      <c r="A1827">
        <f>IF(AND(B1827="", D1827&lt;&gt;""), A1826, A1826+1)</f>
        <v>1821</v>
      </c>
      <c r="R1827" t="b">
        <f>AND(ISNUMBER(FIND($E1827,Tables!$I$2)), ISNUMBER(FIND($D1827,Tables!$J$2)), $E1827&lt;&gt;"")</f>
        <v>0</v>
      </c>
    </row>
    <row r="1828" spans="1:18" x14ac:dyDescent="0.25">
      <c r="A1828">
        <f>IF(AND(B1828="", D1828&lt;&gt;""), A1827, A1827+1)</f>
        <v>1822</v>
      </c>
      <c r="R1828" t="b">
        <f>AND(ISNUMBER(FIND($E1828,Tables!$I$2)), ISNUMBER(FIND($D1828,Tables!$J$2)), $E1828&lt;&gt;"")</f>
        <v>0</v>
      </c>
    </row>
    <row r="1829" spans="1:18" x14ac:dyDescent="0.25">
      <c r="A1829">
        <f>IF(AND(B1829="", D1829&lt;&gt;""), A1828, A1828+1)</f>
        <v>1823</v>
      </c>
      <c r="R1829" t="b">
        <f>AND(ISNUMBER(FIND($E1829,Tables!$I$2)), ISNUMBER(FIND($D1829,Tables!$J$2)), $E1829&lt;&gt;"")</f>
        <v>0</v>
      </c>
    </row>
    <row r="1830" spans="1:18" x14ac:dyDescent="0.25">
      <c r="A1830">
        <f>IF(AND(B1830="", D1830&lt;&gt;""), A1829, A1829+1)</f>
        <v>1824</v>
      </c>
      <c r="R1830" t="b">
        <f>AND(ISNUMBER(FIND($E1830,Tables!$I$2)), ISNUMBER(FIND($D1830,Tables!$J$2)), $E1830&lt;&gt;"")</f>
        <v>0</v>
      </c>
    </row>
    <row r="1831" spans="1:18" x14ac:dyDescent="0.25">
      <c r="A1831">
        <f>IF(AND(B1831="", D1831&lt;&gt;""), A1830, A1830+1)</f>
        <v>1825</v>
      </c>
      <c r="R1831" t="b">
        <f>AND(ISNUMBER(FIND($E1831,Tables!$I$2)), ISNUMBER(FIND($D1831,Tables!$J$2)), $E1831&lt;&gt;"")</f>
        <v>0</v>
      </c>
    </row>
    <row r="1832" spans="1:18" x14ac:dyDescent="0.25">
      <c r="A1832">
        <f>IF(AND(B1832="", D1832&lt;&gt;""), A1831, A1831+1)</f>
        <v>1826</v>
      </c>
      <c r="R1832" t="b">
        <f>AND(ISNUMBER(FIND($E1832,Tables!$I$2)), ISNUMBER(FIND($D1832,Tables!$J$2)), $E1832&lt;&gt;"")</f>
        <v>0</v>
      </c>
    </row>
    <row r="1833" spans="1:18" x14ac:dyDescent="0.25">
      <c r="A1833">
        <f>IF(AND(B1833="", D1833&lt;&gt;""), A1832, A1832+1)</f>
        <v>1827</v>
      </c>
      <c r="R1833" t="b">
        <f>AND(ISNUMBER(FIND($E1833,Tables!$I$2)), ISNUMBER(FIND($D1833,Tables!$J$2)), $E1833&lt;&gt;"")</f>
        <v>0</v>
      </c>
    </row>
    <row r="1834" spans="1:18" x14ac:dyDescent="0.25">
      <c r="A1834">
        <f>IF(AND(B1834="", D1834&lt;&gt;""), A1833, A1833+1)</f>
        <v>1828</v>
      </c>
      <c r="R1834" t="b">
        <f>AND(ISNUMBER(FIND($E1834,Tables!$I$2)), ISNUMBER(FIND($D1834,Tables!$J$2)), $E1834&lt;&gt;"")</f>
        <v>0</v>
      </c>
    </row>
    <row r="1835" spans="1:18" x14ac:dyDescent="0.25">
      <c r="A1835">
        <f>IF(AND(B1835="", D1835&lt;&gt;""), A1834, A1834+1)</f>
        <v>1829</v>
      </c>
      <c r="R1835" t="b">
        <f>AND(ISNUMBER(FIND($E1835,Tables!$I$2)), ISNUMBER(FIND($D1835,Tables!$J$2)), $E1835&lt;&gt;"")</f>
        <v>0</v>
      </c>
    </row>
    <row r="1836" spans="1:18" x14ac:dyDescent="0.25">
      <c r="A1836">
        <f>IF(AND(B1836="", D1836&lt;&gt;""), A1835, A1835+1)</f>
        <v>1830</v>
      </c>
      <c r="R1836" t="b">
        <f>AND(ISNUMBER(FIND($E1836,Tables!$I$2)), ISNUMBER(FIND($D1836,Tables!$J$2)), $E1836&lt;&gt;"")</f>
        <v>0</v>
      </c>
    </row>
    <row r="1837" spans="1:18" x14ac:dyDescent="0.25">
      <c r="A1837">
        <f>IF(AND(B1837="", D1837&lt;&gt;""), A1836, A1836+1)</f>
        <v>1831</v>
      </c>
      <c r="R1837" t="b">
        <f>AND(ISNUMBER(FIND($E1837,Tables!$I$2)), ISNUMBER(FIND($D1837,Tables!$J$2)), $E1837&lt;&gt;"")</f>
        <v>0</v>
      </c>
    </row>
    <row r="1838" spans="1:18" x14ac:dyDescent="0.25">
      <c r="A1838">
        <f>IF(AND(B1838="", D1838&lt;&gt;""), A1837, A1837+1)</f>
        <v>1832</v>
      </c>
      <c r="R1838" t="b">
        <f>AND(ISNUMBER(FIND($E1838,Tables!$I$2)), ISNUMBER(FIND($D1838,Tables!$J$2)), $E1838&lt;&gt;"")</f>
        <v>0</v>
      </c>
    </row>
    <row r="1839" spans="1:18" x14ac:dyDescent="0.25">
      <c r="A1839">
        <f>IF(AND(B1839="", D1839&lt;&gt;""), A1838, A1838+1)</f>
        <v>1833</v>
      </c>
      <c r="R1839" t="b">
        <f>AND(ISNUMBER(FIND($E1839,Tables!$I$2)), ISNUMBER(FIND($D1839,Tables!$J$2)), $E1839&lt;&gt;"")</f>
        <v>0</v>
      </c>
    </row>
    <row r="1840" spans="1:18" x14ac:dyDescent="0.25">
      <c r="A1840">
        <f>IF(AND(B1840="", D1840&lt;&gt;""), A1839, A1839+1)</f>
        <v>1834</v>
      </c>
      <c r="R1840" t="b">
        <f>AND(ISNUMBER(FIND($E1840,Tables!$I$2)), ISNUMBER(FIND($D1840,Tables!$J$2)), $E1840&lt;&gt;"")</f>
        <v>0</v>
      </c>
    </row>
    <row r="1841" spans="1:18" x14ac:dyDescent="0.25">
      <c r="A1841">
        <f>IF(AND(B1841="", D1841&lt;&gt;""), A1840, A1840+1)</f>
        <v>1835</v>
      </c>
      <c r="R1841" t="b">
        <f>AND(ISNUMBER(FIND($E1841,Tables!$I$2)), ISNUMBER(FIND($D1841,Tables!$J$2)), $E1841&lt;&gt;"")</f>
        <v>0</v>
      </c>
    </row>
    <row r="1842" spans="1:18" x14ac:dyDescent="0.25">
      <c r="A1842">
        <f>IF(AND(B1842="", D1842&lt;&gt;""), A1841, A1841+1)</f>
        <v>1836</v>
      </c>
      <c r="R1842" t="b">
        <f>AND(ISNUMBER(FIND($E1842,Tables!$I$2)), ISNUMBER(FIND($D1842,Tables!$J$2)), $E1842&lt;&gt;"")</f>
        <v>0</v>
      </c>
    </row>
    <row r="1843" spans="1:18" x14ac:dyDescent="0.25">
      <c r="A1843">
        <f>IF(AND(B1843="", D1843&lt;&gt;""), A1842, A1842+1)</f>
        <v>1837</v>
      </c>
      <c r="R1843" t="b">
        <f>AND(ISNUMBER(FIND($E1843,Tables!$I$2)), ISNUMBER(FIND($D1843,Tables!$J$2)), $E1843&lt;&gt;"")</f>
        <v>0</v>
      </c>
    </row>
    <row r="1844" spans="1:18" x14ac:dyDescent="0.25">
      <c r="A1844">
        <f>IF(AND(B1844="", D1844&lt;&gt;""), A1843, A1843+1)</f>
        <v>1838</v>
      </c>
      <c r="R1844" t="b">
        <f>AND(ISNUMBER(FIND($E1844,Tables!$I$2)), ISNUMBER(FIND($D1844,Tables!$J$2)), $E1844&lt;&gt;"")</f>
        <v>0</v>
      </c>
    </row>
    <row r="1845" spans="1:18" x14ac:dyDescent="0.25">
      <c r="A1845">
        <f>IF(AND(B1845="", D1845&lt;&gt;""), A1844, A1844+1)</f>
        <v>1839</v>
      </c>
      <c r="R1845" t="b">
        <f>AND(ISNUMBER(FIND($E1845,Tables!$I$2)), ISNUMBER(FIND($D1845,Tables!$J$2)), $E1845&lt;&gt;"")</f>
        <v>0</v>
      </c>
    </row>
    <row r="1846" spans="1:18" x14ac:dyDescent="0.25">
      <c r="A1846">
        <f>IF(AND(B1846="", D1846&lt;&gt;""), A1845, A1845+1)</f>
        <v>1840</v>
      </c>
      <c r="R1846" t="b">
        <f>AND(ISNUMBER(FIND($E1846,Tables!$I$2)), ISNUMBER(FIND($D1846,Tables!$J$2)), $E1846&lt;&gt;"")</f>
        <v>0</v>
      </c>
    </row>
    <row r="1847" spans="1:18" x14ac:dyDescent="0.25">
      <c r="A1847">
        <f>IF(AND(B1847="", D1847&lt;&gt;""), A1846, A1846+1)</f>
        <v>1841</v>
      </c>
      <c r="R1847" t="b">
        <f>AND(ISNUMBER(FIND($E1847,Tables!$I$2)), ISNUMBER(FIND($D1847,Tables!$J$2)), $E1847&lt;&gt;"")</f>
        <v>0</v>
      </c>
    </row>
    <row r="1848" spans="1:18" x14ac:dyDescent="0.25">
      <c r="A1848">
        <f>IF(AND(B1848="", D1848&lt;&gt;""), A1847, A1847+1)</f>
        <v>1842</v>
      </c>
      <c r="R1848" t="b">
        <f>AND(ISNUMBER(FIND($E1848,Tables!$I$2)), ISNUMBER(FIND($D1848,Tables!$J$2)), $E1848&lt;&gt;"")</f>
        <v>0</v>
      </c>
    </row>
    <row r="1849" spans="1:18" x14ac:dyDescent="0.25">
      <c r="A1849">
        <f>IF(AND(B1849="", D1849&lt;&gt;""), A1848, A1848+1)</f>
        <v>1843</v>
      </c>
      <c r="R1849" t="b">
        <f>AND(ISNUMBER(FIND($E1849,Tables!$I$2)), ISNUMBER(FIND($D1849,Tables!$J$2)), $E1849&lt;&gt;"")</f>
        <v>0</v>
      </c>
    </row>
    <row r="1850" spans="1:18" x14ac:dyDescent="0.25">
      <c r="A1850">
        <f>IF(AND(B1850="", D1850&lt;&gt;""), A1849, A1849+1)</f>
        <v>1844</v>
      </c>
      <c r="R1850" t="b">
        <f>AND(ISNUMBER(FIND($E1850,Tables!$I$2)), ISNUMBER(FIND($D1850,Tables!$J$2)), $E1850&lt;&gt;"")</f>
        <v>0</v>
      </c>
    </row>
    <row r="1851" spans="1:18" x14ac:dyDescent="0.25">
      <c r="A1851">
        <f>IF(AND(B1851="", D1851&lt;&gt;""), A1850, A1850+1)</f>
        <v>1845</v>
      </c>
      <c r="R1851" t="b">
        <f>AND(ISNUMBER(FIND($E1851,Tables!$I$2)), ISNUMBER(FIND($D1851,Tables!$J$2)), $E1851&lt;&gt;"")</f>
        <v>0</v>
      </c>
    </row>
    <row r="1852" spans="1:18" x14ac:dyDescent="0.25">
      <c r="A1852">
        <f>IF(AND(B1852="", D1852&lt;&gt;""), A1851, A1851+1)</f>
        <v>1846</v>
      </c>
      <c r="R1852" t="b">
        <f>AND(ISNUMBER(FIND($E1852,Tables!$I$2)), ISNUMBER(FIND($D1852,Tables!$J$2)), $E1852&lt;&gt;"")</f>
        <v>0</v>
      </c>
    </row>
    <row r="1853" spans="1:18" x14ac:dyDescent="0.25">
      <c r="A1853">
        <f>IF(AND(B1853="", D1853&lt;&gt;""), A1852, A1852+1)</f>
        <v>1847</v>
      </c>
      <c r="R1853" t="b">
        <f>AND(ISNUMBER(FIND($E1853,Tables!$I$2)), ISNUMBER(FIND($D1853,Tables!$J$2)), $E1853&lt;&gt;"")</f>
        <v>0</v>
      </c>
    </row>
    <row r="1854" spans="1:18" x14ac:dyDescent="0.25">
      <c r="A1854">
        <f>IF(AND(B1854="", D1854&lt;&gt;""), A1853, A1853+1)</f>
        <v>1848</v>
      </c>
      <c r="R1854" t="b">
        <f>AND(ISNUMBER(FIND($E1854,Tables!$I$2)), ISNUMBER(FIND($D1854,Tables!$J$2)), $E1854&lt;&gt;"")</f>
        <v>0</v>
      </c>
    </row>
    <row r="1855" spans="1:18" x14ac:dyDescent="0.25">
      <c r="A1855">
        <f>IF(AND(B1855="", D1855&lt;&gt;""), A1854, A1854+1)</f>
        <v>1849</v>
      </c>
      <c r="R1855" t="b">
        <f>AND(ISNUMBER(FIND($E1855,Tables!$I$2)), ISNUMBER(FIND($D1855,Tables!$J$2)), $E1855&lt;&gt;"")</f>
        <v>0</v>
      </c>
    </row>
    <row r="1856" spans="1:18" x14ac:dyDescent="0.25">
      <c r="A1856">
        <f>IF(AND(B1856="", D1856&lt;&gt;""), A1855, A1855+1)</f>
        <v>1850</v>
      </c>
      <c r="R1856" t="b">
        <f>AND(ISNUMBER(FIND($E1856,Tables!$I$2)), ISNUMBER(FIND($D1856,Tables!$J$2)), $E1856&lt;&gt;"")</f>
        <v>0</v>
      </c>
    </row>
    <row r="1857" spans="1:18" x14ac:dyDescent="0.25">
      <c r="A1857">
        <f>IF(AND(B1857="", D1857&lt;&gt;""), A1856, A1856+1)</f>
        <v>1851</v>
      </c>
      <c r="R1857" t="b">
        <f>AND(ISNUMBER(FIND($E1857,Tables!$I$2)), ISNUMBER(FIND($D1857,Tables!$J$2)), $E1857&lt;&gt;"")</f>
        <v>0</v>
      </c>
    </row>
    <row r="1858" spans="1:18" x14ac:dyDescent="0.25">
      <c r="A1858">
        <f>IF(AND(B1858="", D1858&lt;&gt;""), A1857, A1857+1)</f>
        <v>1852</v>
      </c>
      <c r="R1858" t="b">
        <f>AND(ISNUMBER(FIND($E1858,Tables!$I$2)), ISNUMBER(FIND($D1858,Tables!$J$2)), $E1858&lt;&gt;"")</f>
        <v>0</v>
      </c>
    </row>
    <row r="1859" spans="1:18" x14ac:dyDescent="0.25">
      <c r="A1859">
        <f>IF(AND(B1859="", D1859&lt;&gt;""), A1858, A1858+1)</f>
        <v>1853</v>
      </c>
      <c r="R1859" t="b">
        <f>AND(ISNUMBER(FIND($E1859,Tables!$I$2)), ISNUMBER(FIND($D1859,Tables!$J$2)), $E1859&lt;&gt;"")</f>
        <v>0</v>
      </c>
    </row>
    <row r="1860" spans="1:18" x14ac:dyDescent="0.25">
      <c r="A1860">
        <f>IF(AND(B1860="", D1860&lt;&gt;""), A1859, A1859+1)</f>
        <v>1854</v>
      </c>
      <c r="R1860" t="b">
        <f>AND(ISNUMBER(FIND($E1860,Tables!$I$2)), ISNUMBER(FIND($D1860,Tables!$J$2)), $E1860&lt;&gt;"")</f>
        <v>0</v>
      </c>
    </row>
    <row r="1861" spans="1:18" x14ac:dyDescent="0.25">
      <c r="A1861">
        <f>IF(AND(B1861="", D1861&lt;&gt;""), A1860, A1860+1)</f>
        <v>1855</v>
      </c>
      <c r="R1861" t="b">
        <f>AND(ISNUMBER(FIND($E1861,Tables!$I$2)), ISNUMBER(FIND($D1861,Tables!$J$2)), $E1861&lt;&gt;"")</f>
        <v>0</v>
      </c>
    </row>
    <row r="1862" spans="1:18" x14ac:dyDescent="0.25">
      <c r="A1862">
        <f>IF(AND(B1862="", D1862&lt;&gt;""), A1861, A1861+1)</f>
        <v>1856</v>
      </c>
      <c r="R1862" t="b">
        <f>AND(ISNUMBER(FIND($E1862,Tables!$I$2)), ISNUMBER(FIND($D1862,Tables!$J$2)), $E1862&lt;&gt;"")</f>
        <v>0</v>
      </c>
    </row>
    <row r="1863" spans="1:18" x14ac:dyDescent="0.25">
      <c r="A1863">
        <f>IF(AND(B1863="", D1863&lt;&gt;""), A1862, A1862+1)</f>
        <v>1857</v>
      </c>
      <c r="R1863" t="b">
        <f>AND(ISNUMBER(FIND($E1863,Tables!$I$2)), ISNUMBER(FIND($D1863,Tables!$J$2)), $E1863&lt;&gt;"")</f>
        <v>0</v>
      </c>
    </row>
    <row r="1864" spans="1:18" x14ac:dyDescent="0.25">
      <c r="A1864">
        <f>IF(AND(B1864="", D1864&lt;&gt;""), A1863, A1863+1)</f>
        <v>1858</v>
      </c>
      <c r="R1864" t="b">
        <f>AND(ISNUMBER(FIND($E1864,Tables!$I$2)), ISNUMBER(FIND($D1864,Tables!$J$2)), $E1864&lt;&gt;"")</f>
        <v>0</v>
      </c>
    </row>
    <row r="1865" spans="1:18" x14ac:dyDescent="0.25">
      <c r="A1865">
        <f>IF(AND(B1865="", D1865&lt;&gt;""), A1864, A1864+1)</f>
        <v>1859</v>
      </c>
      <c r="R1865" t="b">
        <f>AND(ISNUMBER(FIND($E1865,Tables!$I$2)), ISNUMBER(FIND($D1865,Tables!$J$2)), $E1865&lt;&gt;"")</f>
        <v>0</v>
      </c>
    </row>
    <row r="1866" spans="1:18" x14ac:dyDescent="0.25">
      <c r="A1866">
        <f>IF(AND(B1866="", D1866&lt;&gt;""), A1865, A1865+1)</f>
        <v>1860</v>
      </c>
      <c r="R1866" t="b">
        <f>AND(ISNUMBER(FIND($E1866,Tables!$I$2)), ISNUMBER(FIND($D1866,Tables!$J$2)), $E1866&lt;&gt;"")</f>
        <v>0</v>
      </c>
    </row>
    <row r="1867" spans="1:18" x14ac:dyDescent="0.25">
      <c r="A1867">
        <f>IF(AND(B1867="", D1867&lt;&gt;""), A1866, A1866+1)</f>
        <v>1861</v>
      </c>
      <c r="R1867" t="b">
        <f>AND(ISNUMBER(FIND($E1867,Tables!$I$2)), ISNUMBER(FIND($D1867,Tables!$J$2)), $E1867&lt;&gt;"")</f>
        <v>0</v>
      </c>
    </row>
    <row r="1868" spans="1:18" x14ac:dyDescent="0.25">
      <c r="A1868">
        <f>IF(AND(B1868="", D1868&lt;&gt;""), A1867, A1867+1)</f>
        <v>1862</v>
      </c>
      <c r="R1868" t="b">
        <f>AND(ISNUMBER(FIND($E1868,Tables!$I$2)), ISNUMBER(FIND($D1868,Tables!$J$2)), $E1868&lt;&gt;"")</f>
        <v>0</v>
      </c>
    </row>
    <row r="1869" spans="1:18" x14ac:dyDescent="0.25">
      <c r="A1869">
        <f>IF(AND(B1869="", D1869&lt;&gt;""), A1868, A1868+1)</f>
        <v>1863</v>
      </c>
      <c r="R1869" t="b">
        <f>AND(ISNUMBER(FIND($E1869,Tables!$I$2)), ISNUMBER(FIND($D1869,Tables!$J$2)), $E1869&lt;&gt;"")</f>
        <v>0</v>
      </c>
    </row>
    <row r="1870" spans="1:18" x14ac:dyDescent="0.25">
      <c r="A1870">
        <f>IF(AND(B1870="", D1870&lt;&gt;""), A1869, A1869+1)</f>
        <v>1864</v>
      </c>
      <c r="R1870" t="b">
        <f>AND(ISNUMBER(FIND($E1870,Tables!$I$2)), ISNUMBER(FIND($D1870,Tables!$J$2)), $E1870&lt;&gt;"")</f>
        <v>0</v>
      </c>
    </row>
    <row r="1871" spans="1:18" x14ac:dyDescent="0.25">
      <c r="A1871">
        <f>IF(AND(B1871="", D1871&lt;&gt;""), A1870, A1870+1)</f>
        <v>1865</v>
      </c>
      <c r="R1871" t="b">
        <f>AND(ISNUMBER(FIND($E1871,Tables!$I$2)), ISNUMBER(FIND($D1871,Tables!$J$2)), $E1871&lt;&gt;"")</f>
        <v>0</v>
      </c>
    </row>
    <row r="1872" spans="1:18" x14ac:dyDescent="0.25">
      <c r="A1872">
        <f>IF(AND(B1872="", D1872&lt;&gt;""), A1871, A1871+1)</f>
        <v>1866</v>
      </c>
      <c r="R1872" t="b">
        <f>AND(ISNUMBER(FIND($E1872,Tables!$I$2)), ISNUMBER(FIND($D1872,Tables!$J$2)), $E1872&lt;&gt;"")</f>
        <v>0</v>
      </c>
    </row>
    <row r="1873" spans="1:18" x14ac:dyDescent="0.25">
      <c r="A1873">
        <f>IF(AND(B1873="", D1873&lt;&gt;""), A1872, A1872+1)</f>
        <v>1867</v>
      </c>
      <c r="R1873" t="b">
        <f>AND(ISNUMBER(FIND($E1873,Tables!$I$2)), ISNUMBER(FIND($D1873,Tables!$J$2)), $E1873&lt;&gt;"")</f>
        <v>0</v>
      </c>
    </row>
    <row r="1874" spans="1:18" x14ac:dyDescent="0.25">
      <c r="A1874">
        <f>IF(AND(B1874="", D1874&lt;&gt;""), A1873, A1873+1)</f>
        <v>1868</v>
      </c>
      <c r="R1874" t="b">
        <f>AND(ISNUMBER(FIND($E1874,Tables!$I$2)), ISNUMBER(FIND($D1874,Tables!$J$2)), $E1874&lt;&gt;"")</f>
        <v>0</v>
      </c>
    </row>
    <row r="1875" spans="1:18" x14ac:dyDescent="0.25">
      <c r="A1875">
        <f>IF(AND(B1875="", D1875&lt;&gt;""), A1874, A1874+1)</f>
        <v>1869</v>
      </c>
      <c r="R1875" t="b">
        <f>AND(ISNUMBER(FIND($E1875,Tables!$I$2)), ISNUMBER(FIND($D1875,Tables!$J$2)), $E1875&lt;&gt;"")</f>
        <v>0</v>
      </c>
    </row>
    <row r="1876" spans="1:18" x14ac:dyDescent="0.25">
      <c r="A1876">
        <f>IF(AND(B1876="", D1876&lt;&gt;""), A1875, A1875+1)</f>
        <v>1870</v>
      </c>
      <c r="R1876" t="b">
        <f>AND(ISNUMBER(FIND($E1876,Tables!$I$2)), ISNUMBER(FIND($D1876,Tables!$J$2)), $E1876&lt;&gt;"")</f>
        <v>0</v>
      </c>
    </row>
    <row r="1877" spans="1:18" x14ac:dyDescent="0.25">
      <c r="A1877">
        <f>IF(AND(B1877="", D1877&lt;&gt;""), A1876, A1876+1)</f>
        <v>1871</v>
      </c>
      <c r="R1877" t="b">
        <f>AND(ISNUMBER(FIND($E1877,Tables!$I$2)), ISNUMBER(FIND($D1877,Tables!$J$2)), $E1877&lt;&gt;"")</f>
        <v>0</v>
      </c>
    </row>
    <row r="1878" spans="1:18" x14ac:dyDescent="0.25">
      <c r="A1878">
        <f>IF(AND(B1878="", D1878&lt;&gt;""), A1877, A1877+1)</f>
        <v>1872</v>
      </c>
      <c r="R1878" t="b">
        <f>AND(ISNUMBER(FIND($E1878,Tables!$I$2)), ISNUMBER(FIND($D1878,Tables!$J$2)), $E1878&lt;&gt;"")</f>
        <v>0</v>
      </c>
    </row>
    <row r="1879" spans="1:18" x14ac:dyDescent="0.25">
      <c r="A1879">
        <f>IF(AND(B1879="", D1879&lt;&gt;""), A1878, A1878+1)</f>
        <v>1873</v>
      </c>
      <c r="R1879" t="b">
        <f>AND(ISNUMBER(FIND($E1879,Tables!$I$2)), ISNUMBER(FIND($D1879,Tables!$J$2)), $E1879&lt;&gt;"")</f>
        <v>0</v>
      </c>
    </row>
    <row r="1880" spans="1:18" x14ac:dyDescent="0.25">
      <c r="A1880">
        <f>IF(AND(B1880="", D1880&lt;&gt;""), A1879, A1879+1)</f>
        <v>1874</v>
      </c>
      <c r="R1880" t="b">
        <f>AND(ISNUMBER(FIND($E1880,Tables!$I$2)), ISNUMBER(FIND($D1880,Tables!$J$2)), $E1880&lt;&gt;"")</f>
        <v>0</v>
      </c>
    </row>
    <row r="1881" spans="1:18" x14ac:dyDescent="0.25">
      <c r="A1881">
        <f>IF(AND(B1881="", D1881&lt;&gt;""), A1880, A1880+1)</f>
        <v>1875</v>
      </c>
      <c r="R1881" t="b">
        <f>AND(ISNUMBER(FIND($E1881,Tables!$I$2)), ISNUMBER(FIND($D1881,Tables!$J$2)), $E1881&lt;&gt;"")</f>
        <v>0</v>
      </c>
    </row>
    <row r="1882" spans="1:18" x14ac:dyDescent="0.25">
      <c r="A1882">
        <f>IF(AND(B1882="", D1882&lt;&gt;""), A1881, A1881+1)</f>
        <v>1876</v>
      </c>
      <c r="R1882" t="b">
        <f>AND(ISNUMBER(FIND($E1882,Tables!$I$2)), ISNUMBER(FIND($D1882,Tables!$J$2)), $E1882&lt;&gt;"")</f>
        <v>0</v>
      </c>
    </row>
    <row r="1883" spans="1:18" x14ac:dyDescent="0.25">
      <c r="A1883">
        <f>IF(AND(B1883="", D1883&lt;&gt;""), A1882, A1882+1)</f>
        <v>1877</v>
      </c>
      <c r="R1883" t="b">
        <f>AND(ISNUMBER(FIND($E1883,Tables!$I$2)), ISNUMBER(FIND($D1883,Tables!$J$2)), $E1883&lt;&gt;"")</f>
        <v>0</v>
      </c>
    </row>
    <row r="1884" spans="1:18" x14ac:dyDescent="0.25">
      <c r="A1884">
        <f>IF(AND(B1884="", D1884&lt;&gt;""), A1883, A1883+1)</f>
        <v>1878</v>
      </c>
      <c r="R1884" t="b">
        <f>AND(ISNUMBER(FIND($E1884,Tables!$I$2)), ISNUMBER(FIND($D1884,Tables!$J$2)), $E1884&lt;&gt;"")</f>
        <v>0</v>
      </c>
    </row>
    <row r="1885" spans="1:18" x14ac:dyDescent="0.25">
      <c r="A1885">
        <f>IF(AND(B1885="", D1885&lt;&gt;""), A1884, A1884+1)</f>
        <v>1879</v>
      </c>
      <c r="R1885" t="b">
        <f>AND(ISNUMBER(FIND($E1885,Tables!$I$2)), ISNUMBER(FIND($D1885,Tables!$J$2)), $E1885&lt;&gt;"")</f>
        <v>0</v>
      </c>
    </row>
    <row r="1886" spans="1:18" x14ac:dyDescent="0.25">
      <c r="A1886">
        <f>IF(AND(B1886="", D1886&lt;&gt;""), A1885, A1885+1)</f>
        <v>1880</v>
      </c>
      <c r="R1886" t="b">
        <f>AND(ISNUMBER(FIND($E1886,Tables!$I$2)), ISNUMBER(FIND($D1886,Tables!$J$2)), $E1886&lt;&gt;"")</f>
        <v>0</v>
      </c>
    </row>
    <row r="1887" spans="1:18" x14ac:dyDescent="0.25">
      <c r="A1887">
        <f>IF(AND(B1887="", D1887&lt;&gt;""), A1886, A1886+1)</f>
        <v>1881</v>
      </c>
      <c r="R1887" t="b">
        <f>AND(ISNUMBER(FIND($E1887,Tables!$I$2)), ISNUMBER(FIND($D1887,Tables!$J$2)), $E1887&lt;&gt;"")</f>
        <v>0</v>
      </c>
    </row>
    <row r="1888" spans="1:18" x14ac:dyDescent="0.25">
      <c r="A1888">
        <f>IF(AND(B1888="", D1888&lt;&gt;""), A1887, A1887+1)</f>
        <v>1882</v>
      </c>
      <c r="R1888" t="b">
        <f>AND(ISNUMBER(FIND($E1888,Tables!$I$2)), ISNUMBER(FIND($D1888,Tables!$J$2)), $E1888&lt;&gt;"")</f>
        <v>0</v>
      </c>
    </row>
    <row r="1889" spans="1:18" x14ac:dyDescent="0.25">
      <c r="A1889">
        <f>IF(AND(B1889="", D1889&lt;&gt;""), A1888, A1888+1)</f>
        <v>1883</v>
      </c>
      <c r="R1889" t="b">
        <f>AND(ISNUMBER(FIND($E1889,Tables!$I$2)), ISNUMBER(FIND($D1889,Tables!$J$2)), $E1889&lt;&gt;"")</f>
        <v>0</v>
      </c>
    </row>
    <row r="1890" spans="1:18" x14ac:dyDescent="0.25">
      <c r="A1890">
        <f>IF(AND(B1890="", D1890&lt;&gt;""), A1889, A1889+1)</f>
        <v>1884</v>
      </c>
      <c r="R1890" t="b">
        <f>AND(ISNUMBER(FIND($E1890,Tables!$I$2)), ISNUMBER(FIND($D1890,Tables!$J$2)), $E1890&lt;&gt;"")</f>
        <v>0</v>
      </c>
    </row>
    <row r="1891" spans="1:18" x14ac:dyDescent="0.25">
      <c r="A1891">
        <f>IF(AND(B1891="", D1891&lt;&gt;""), A1890, A1890+1)</f>
        <v>1885</v>
      </c>
      <c r="R1891" t="b">
        <f>AND(ISNUMBER(FIND($E1891,Tables!$I$2)), ISNUMBER(FIND($D1891,Tables!$J$2)), $E1891&lt;&gt;"")</f>
        <v>0</v>
      </c>
    </row>
    <row r="1892" spans="1:18" x14ac:dyDescent="0.25">
      <c r="A1892">
        <f>IF(AND(B1892="", D1892&lt;&gt;""), A1891, A1891+1)</f>
        <v>1886</v>
      </c>
      <c r="R1892" t="b">
        <f>AND(ISNUMBER(FIND($E1892,Tables!$I$2)), ISNUMBER(FIND($D1892,Tables!$J$2)), $E1892&lt;&gt;"")</f>
        <v>0</v>
      </c>
    </row>
    <row r="1893" spans="1:18" x14ac:dyDescent="0.25">
      <c r="A1893">
        <f>IF(AND(B1893="", D1893&lt;&gt;""), A1892, A1892+1)</f>
        <v>1887</v>
      </c>
      <c r="R1893" t="b">
        <f>AND(ISNUMBER(FIND($E1893,Tables!$I$2)), ISNUMBER(FIND($D1893,Tables!$J$2)), $E1893&lt;&gt;"")</f>
        <v>0</v>
      </c>
    </row>
    <row r="1894" spans="1:18" x14ac:dyDescent="0.25">
      <c r="A1894">
        <f>IF(AND(B1894="", D1894&lt;&gt;""), A1893, A1893+1)</f>
        <v>1888</v>
      </c>
      <c r="R1894" t="b">
        <f>AND(ISNUMBER(FIND($E1894,Tables!$I$2)), ISNUMBER(FIND($D1894,Tables!$J$2)), $E1894&lt;&gt;"")</f>
        <v>0</v>
      </c>
    </row>
    <row r="1895" spans="1:18" x14ac:dyDescent="0.25">
      <c r="A1895">
        <f>IF(AND(B1895="", D1895&lt;&gt;""), A1894, A1894+1)</f>
        <v>1889</v>
      </c>
      <c r="R1895" t="b">
        <f>AND(ISNUMBER(FIND($E1895,Tables!$I$2)), ISNUMBER(FIND($D1895,Tables!$J$2)), $E1895&lt;&gt;"")</f>
        <v>0</v>
      </c>
    </row>
    <row r="1896" spans="1:18" x14ac:dyDescent="0.25">
      <c r="A1896">
        <f>IF(AND(B1896="", D1896&lt;&gt;""), A1895, A1895+1)</f>
        <v>1890</v>
      </c>
      <c r="R1896" t="b">
        <f>AND(ISNUMBER(FIND($E1896,Tables!$I$2)), ISNUMBER(FIND($D1896,Tables!$J$2)), $E1896&lt;&gt;"")</f>
        <v>0</v>
      </c>
    </row>
    <row r="1897" spans="1:18" x14ac:dyDescent="0.25">
      <c r="A1897">
        <f>IF(AND(B1897="", D1897&lt;&gt;""), A1896, A1896+1)</f>
        <v>1891</v>
      </c>
      <c r="R1897" t="b">
        <f>AND(ISNUMBER(FIND($E1897,Tables!$I$2)), ISNUMBER(FIND($D1897,Tables!$J$2)), $E1897&lt;&gt;"")</f>
        <v>0</v>
      </c>
    </row>
    <row r="1898" spans="1:18" x14ac:dyDescent="0.25">
      <c r="A1898">
        <f>IF(AND(B1898="", D1898&lt;&gt;""), A1897, A1897+1)</f>
        <v>1892</v>
      </c>
      <c r="R1898" t="b">
        <f>AND(ISNUMBER(FIND($E1898,Tables!$I$2)), ISNUMBER(FIND($D1898,Tables!$J$2)), $E1898&lt;&gt;"")</f>
        <v>0</v>
      </c>
    </row>
    <row r="1899" spans="1:18" x14ac:dyDescent="0.25">
      <c r="A1899">
        <f>IF(AND(B1899="", D1899&lt;&gt;""), A1898, A1898+1)</f>
        <v>1893</v>
      </c>
      <c r="R1899" t="b">
        <f>AND(ISNUMBER(FIND($E1899,Tables!$I$2)), ISNUMBER(FIND($D1899,Tables!$J$2)), $E1899&lt;&gt;"")</f>
        <v>0</v>
      </c>
    </row>
    <row r="1900" spans="1:18" x14ac:dyDescent="0.25">
      <c r="A1900">
        <f>IF(AND(B1900="", D1900&lt;&gt;""), A1899, A1899+1)</f>
        <v>1894</v>
      </c>
      <c r="R1900" t="b">
        <f>AND(ISNUMBER(FIND($E1900,Tables!$I$2)), ISNUMBER(FIND($D1900,Tables!$J$2)), $E1900&lt;&gt;"")</f>
        <v>0</v>
      </c>
    </row>
    <row r="1901" spans="1:18" x14ac:dyDescent="0.25">
      <c r="A1901">
        <f>IF(AND(B1901="", D1901&lt;&gt;""), A1900, A1900+1)</f>
        <v>1895</v>
      </c>
      <c r="R1901" t="b">
        <f>AND(ISNUMBER(FIND($E1901,Tables!$I$2)), ISNUMBER(FIND($D1901,Tables!$J$2)), $E1901&lt;&gt;"")</f>
        <v>0</v>
      </c>
    </row>
    <row r="1902" spans="1:18" x14ac:dyDescent="0.25">
      <c r="A1902">
        <f>IF(AND(B1902="", D1902&lt;&gt;""), A1901, A1901+1)</f>
        <v>1896</v>
      </c>
      <c r="R1902" t="b">
        <f>AND(ISNUMBER(FIND($E1902,Tables!$I$2)), ISNUMBER(FIND($D1902,Tables!$J$2)), $E1902&lt;&gt;"")</f>
        <v>0</v>
      </c>
    </row>
    <row r="1903" spans="1:18" x14ac:dyDescent="0.25">
      <c r="A1903">
        <f>IF(AND(B1903="", D1903&lt;&gt;""), A1902, A1902+1)</f>
        <v>1897</v>
      </c>
      <c r="R1903" t="b">
        <f>AND(ISNUMBER(FIND($E1903,Tables!$I$2)), ISNUMBER(FIND($D1903,Tables!$J$2)), $E1903&lt;&gt;"")</f>
        <v>0</v>
      </c>
    </row>
    <row r="1904" spans="1:18" x14ac:dyDescent="0.25">
      <c r="A1904">
        <f>IF(AND(B1904="", D1904&lt;&gt;""), A1903, A1903+1)</f>
        <v>1898</v>
      </c>
      <c r="R1904" t="b">
        <f>AND(ISNUMBER(FIND($E1904,Tables!$I$2)), ISNUMBER(FIND($D1904,Tables!$J$2)), $E1904&lt;&gt;"")</f>
        <v>0</v>
      </c>
    </row>
    <row r="1905" spans="1:18" x14ac:dyDescent="0.25">
      <c r="A1905">
        <f>IF(AND(B1905="", D1905&lt;&gt;""), A1904, A1904+1)</f>
        <v>1899</v>
      </c>
      <c r="R1905" t="b">
        <f>AND(ISNUMBER(FIND($E1905,Tables!$I$2)), ISNUMBER(FIND($D1905,Tables!$J$2)), $E1905&lt;&gt;"")</f>
        <v>0</v>
      </c>
    </row>
    <row r="1906" spans="1:18" x14ac:dyDescent="0.25">
      <c r="A1906">
        <f>IF(AND(B1906="", D1906&lt;&gt;""), A1905, A1905+1)</f>
        <v>1900</v>
      </c>
      <c r="R1906" t="b">
        <f>AND(ISNUMBER(FIND($E1906,Tables!$I$2)), ISNUMBER(FIND($D1906,Tables!$J$2)), $E1906&lt;&gt;"")</f>
        <v>0</v>
      </c>
    </row>
    <row r="1907" spans="1:18" x14ac:dyDescent="0.25">
      <c r="A1907">
        <f>IF(AND(B1907="", D1907&lt;&gt;""), A1906, A1906+1)</f>
        <v>1901</v>
      </c>
      <c r="R1907" t="b">
        <f>AND(ISNUMBER(FIND($E1907,Tables!$I$2)), ISNUMBER(FIND($D1907,Tables!$J$2)), $E1907&lt;&gt;"")</f>
        <v>0</v>
      </c>
    </row>
    <row r="1908" spans="1:18" x14ac:dyDescent="0.25">
      <c r="A1908">
        <f>IF(AND(B1908="", D1908&lt;&gt;""), A1907, A1907+1)</f>
        <v>1902</v>
      </c>
      <c r="R1908" t="b">
        <f>AND(ISNUMBER(FIND($E1908,Tables!$I$2)), ISNUMBER(FIND($D1908,Tables!$J$2)), $E1908&lt;&gt;"")</f>
        <v>0</v>
      </c>
    </row>
    <row r="1909" spans="1:18" x14ac:dyDescent="0.25">
      <c r="A1909">
        <f>IF(AND(B1909="", D1909&lt;&gt;""), A1908, A1908+1)</f>
        <v>1903</v>
      </c>
      <c r="R1909" t="b">
        <f>AND(ISNUMBER(FIND($E1909,Tables!$I$2)), ISNUMBER(FIND($D1909,Tables!$J$2)), $E1909&lt;&gt;"")</f>
        <v>0</v>
      </c>
    </row>
    <row r="1910" spans="1:18" x14ac:dyDescent="0.25">
      <c r="A1910">
        <f>IF(AND(B1910="", D1910&lt;&gt;""), A1909, A1909+1)</f>
        <v>1904</v>
      </c>
      <c r="R1910" t="b">
        <f>AND(ISNUMBER(FIND($E1910,Tables!$I$2)), ISNUMBER(FIND($D1910,Tables!$J$2)), $E1910&lt;&gt;"")</f>
        <v>0</v>
      </c>
    </row>
    <row r="1911" spans="1:18" x14ac:dyDescent="0.25">
      <c r="A1911">
        <f>IF(AND(B1911="", D1911&lt;&gt;""), A1910, A1910+1)</f>
        <v>1905</v>
      </c>
      <c r="R1911" t="b">
        <f>AND(ISNUMBER(FIND($E1911,Tables!$I$2)), ISNUMBER(FIND($D1911,Tables!$J$2)), $E1911&lt;&gt;"")</f>
        <v>0</v>
      </c>
    </row>
    <row r="1912" spans="1:18" x14ac:dyDescent="0.25">
      <c r="A1912">
        <f>IF(AND(B1912="", D1912&lt;&gt;""), A1911, A1911+1)</f>
        <v>1906</v>
      </c>
      <c r="R1912" t="b">
        <f>AND(ISNUMBER(FIND($E1912,Tables!$I$2)), ISNUMBER(FIND($D1912,Tables!$J$2)), $E1912&lt;&gt;"")</f>
        <v>0</v>
      </c>
    </row>
    <row r="1913" spans="1:18" x14ac:dyDescent="0.25">
      <c r="A1913">
        <f>IF(AND(B1913="", D1913&lt;&gt;""), A1912, A1912+1)</f>
        <v>1907</v>
      </c>
      <c r="R1913" t="b">
        <f>AND(ISNUMBER(FIND($E1913,Tables!$I$2)), ISNUMBER(FIND($D1913,Tables!$J$2)), $E1913&lt;&gt;"")</f>
        <v>0</v>
      </c>
    </row>
    <row r="1914" spans="1:18" x14ac:dyDescent="0.25">
      <c r="A1914">
        <f>IF(AND(B1914="", D1914&lt;&gt;""), A1913, A1913+1)</f>
        <v>1908</v>
      </c>
      <c r="R1914" t="b">
        <f>AND(ISNUMBER(FIND($E1914,Tables!$I$2)), ISNUMBER(FIND($D1914,Tables!$J$2)), $E1914&lt;&gt;"")</f>
        <v>0</v>
      </c>
    </row>
    <row r="1915" spans="1:18" x14ac:dyDescent="0.25">
      <c r="A1915">
        <f>IF(AND(B1915="", D1915&lt;&gt;""), A1914, A1914+1)</f>
        <v>1909</v>
      </c>
      <c r="R1915" t="b">
        <f>AND(ISNUMBER(FIND($E1915,Tables!$I$2)), ISNUMBER(FIND($D1915,Tables!$J$2)), $E1915&lt;&gt;"")</f>
        <v>0</v>
      </c>
    </row>
    <row r="1916" spans="1:18" x14ac:dyDescent="0.25">
      <c r="A1916">
        <f>IF(AND(B1916="", D1916&lt;&gt;""), A1915, A1915+1)</f>
        <v>1910</v>
      </c>
      <c r="R1916" t="b">
        <f>AND(ISNUMBER(FIND($E1916,Tables!$I$2)), ISNUMBER(FIND($D1916,Tables!$J$2)), $E1916&lt;&gt;"")</f>
        <v>0</v>
      </c>
    </row>
    <row r="1917" spans="1:18" x14ac:dyDescent="0.25">
      <c r="A1917">
        <f>IF(AND(B1917="", D1917&lt;&gt;""), A1916, A1916+1)</f>
        <v>1911</v>
      </c>
      <c r="R1917" t="b">
        <f>AND(ISNUMBER(FIND($E1917,Tables!$I$2)), ISNUMBER(FIND($D1917,Tables!$J$2)), $E1917&lt;&gt;"")</f>
        <v>0</v>
      </c>
    </row>
    <row r="1918" spans="1:18" x14ac:dyDescent="0.25">
      <c r="A1918">
        <f>IF(AND(B1918="", D1918&lt;&gt;""), A1917, A1917+1)</f>
        <v>1912</v>
      </c>
      <c r="R1918" t="b">
        <f>AND(ISNUMBER(FIND($E1918,Tables!$I$2)), ISNUMBER(FIND($D1918,Tables!$J$2)), $E1918&lt;&gt;"")</f>
        <v>0</v>
      </c>
    </row>
    <row r="1919" spans="1:18" x14ac:dyDescent="0.25">
      <c r="A1919">
        <f>IF(AND(B1919="", D1919&lt;&gt;""), A1918, A1918+1)</f>
        <v>1913</v>
      </c>
      <c r="R1919" t="b">
        <f>AND(ISNUMBER(FIND($E1919,Tables!$I$2)), ISNUMBER(FIND($D1919,Tables!$J$2)), $E1919&lt;&gt;"")</f>
        <v>0</v>
      </c>
    </row>
    <row r="1920" spans="1:18" x14ac:dyDescent="0.25">
      <c r="A1920">
        <f>IF(AND(B1920="", D1920&lt;&gt;""), A1919, A1919+1)</f>
        <v>1914</v>
      </c>
      <c r="R1920" t="b">
        <f>AND(ISNUMBER(FIND($E1920,Tables!$I$2)), ISNUMBER(FIND($D1920,Tables!$J$2)), $E1920&lt;&gt;"")</f>
        <v>0</v>
      </c>
    </row>
    <row r="1921" spans="1:18" x14ac:dyDescent="0.25">
      <c r="A1921">
        <f>IF(AND(B1921="", D1921&lt;&gt;""), A1920, A1920+1)</f>
        <v>1915</v>
      </c>
      <c r="R1921" t="b">
        <f>AND(ISNUMBER(FIND($E1921,Tables!$I$2)), ISNUMBER(FIND($D1921,Tables!$J$2)), $E1921&lt;&gt;"")</f>
        <v>0</v>
      </c>
    </row>
    <row r="1922" spans="1:18" x14ac:dyDescent="0.25">
      <c r="A1922">
        <f>IF(AND(B1922="", D1922&lt;&gt;""), A1921, A1921+1)</f>
        <v>1916</v>
      </c>
      <c r="R1922" t="b">
        <f>AND(ISNUMBER(FIND($E1922,Tables!$I$2)), ISNUMBER(FIND($D1922,Tables!$J$2)), $E1922&lt;&gt;"")</f>
        <v>0</v>
      </c>
    </row>
    <row r="1923" spans="1:18" x14ac:dyDescent="0.25">
      <c r="A1923">
        <f>IF(AND(B1923="", D1923&lt;&gt;""), A1922, A1922+1)</f>
        <v>1917</v>
      </c>
      <c r="R1923" t="b">
        <f>AND(ISNUMBER(FIND($E1923,Tables!$I$2)), ISNUMBER(FIND($D1923,Tables!$J$2)), $E1923&lt;&gt;"")</f>
        <v>0</v>
      </c>
    </row>
    <row r="1924" spans="1:18" x14ac:dyDescent="0.25">
      <c r="A1924">
        <f>IF(AND(B1924="", D1924&lt;&gt;""), A1923, A1923+1)</f>
        <v>1918</v>
      </c>
      <c r="R1924" t="b">
        <f>AND(ISNUMBER(FIND($E1924,Tables!$I$2)), ISNUMBER(FIND($D1924,Tables!$J$2)), $E1924&lt;&gt;"")</f>
        <v>0</v>
      </c>
    </row>
    <row r="1925" spans="1:18" x14ac:dyDescent="0.25">
      <c r="A1925">
        <f>IF(AND(B1925="", D1925&lt;&gt;""), A1924, A1924+1)</f>
        <v>1919</v>
      </c>
      <c r="R1925" t="b">
        <f>AND(ISNUMBER(FIND($E1925,Tables!$I$2)), ISNUMBER(FIND($D1925,Tables!$J$2)), $E1925&lt;&gt;"")</f>
        <v>0</v>
      </c>
    </row>
    <row r="1926" spans="1:18" x14ac:dyDescent="0.25">
      <c r="A1926">
        <f>IF(AND(B1926="", D1926&lt;&gt;""), A1925, A1925+1)</f>
        <v>1920</v>
      </c>
      <c r="R1926" t="b">
        <f>AND(ISNUMBER(FIND($E1926,Tables!$I$2)), ISNUMBER(FIND($D1926,Tables!$J$2)), $E1926&lt;&gt;"")</f>
        <v>0</v>
      </c>
    </row>
    <row r="1927" spans="1:18" x14ac:dyDescent="0.25">
      <c r="A1927">
        <f>IF(AND(B1927="", D1927&lt;&gt;""), A1926, A1926+1)</f>
        <v>1921</v>
      </c>
      <c r="R1927" t="b">
        <f>AND(ISNUMBER(FIND($E1927,Tables!$I$2)), ISNUMBER(FIND($D1927,Tables!$J$2)), $E1927&lt;&gt;"")</f>
        <v>0</v>
      </c>
    </row>
    <row r="1928" spans="1:18" x14ac:dyDescent="0.25">
      <c r="A1928">
        <f>IF(AND(B1928="", D1928&lt;&gt;""), A1927, A1927+1)</f>
        <v>1922</v>
      </c>
      <c r="R1928" t="b">
        <f>AND(ISNUMBER(FIND($E1928,Tables!$I$2)), ISNUMBER(FIND($D1928,Tables!$J$2)), $E1928&lt;&gt;"")</f>
        <v>0</v>
      </c>
    </row>
    <row r="1929" spans="1:18" x14ac:dyDescent="0.25">
      <c r="A1929">
        <f>IF(AND(B1929="", D1929&lt;&gt;""), A1928, A1928+1)</f>
        <v>1923</v>
      </c>
      <c r="R1929" t="b">
        <f>AND(ISNUMBER(FIND($E1929,Tables!$I$2)), ISNUMBER(FIND($D1929,Tables!$J$2)), $E1929&lt;&gt;"")</f>
        <v>0</v>
      </c>
    </row>
    <row r="1930" spans="1:18" x14ac:dyDescent="0.25">
      <c r="A1930">
        <f>IF(AND(B1930="", D1930&lt;&gt;""), A1929, A1929+1)</f>
        <v>1924</v>
      </c>
      <c r="R1930" t="b">
        <f>AND(ISNUMBER(FIND($E1930,Tables!$I$2)), ISNUMBER(FIND($D1930,Tables!$J$2)), $E1930&lt;&gt;"")</f>
        <v>0</v>
      </c>
    </row>
    <row r="1931" spans="1:18" x14ac:dyDescent="0.25">
      <c r="A1931">
        <f>IF(AND(B1931="", D1931&lt;&gt;""), A1930, A1930+1)</f>
        <v>1925</v>
      </c>
      <c r="R1931" t="b">
        <f>AND(ISNUMBER(FIND($E1931,Tables!$I$2)), ISNUMBER(FIND($D1931,Tables!$J$2)), $E1931&lt;&gt;"")</f>
        <v>0</v>
      </c>
    </row>
    <row r="1932" spans="1:18" x14ac:dyDescent="0.25">
      <c r="A1932">
        <f>IF(AND(B1932="", D1932&lt;&gt;""), A1931, A1931+1)</f>
        <v>1926</v>
      </c>
      <c r="R1932" t="b">
        <f>AND(ISNUMBER(FIND($E1932,Tables!$I$2)), ISNUMBER(FIND($D1932,Tables!$J$2)), $E1932&lt;&gt;"")</f>
        <v>0</v>
      </c>
    </row>
    <row r="1933" spans="1:18" x14ac:dyDescent="0.25">
      <c r="A1933">
        <f>IF(AND(B1933="", D1933&lt;&gt;""), A1932, A1932+1)</f>
        <v>1927</v>
      </c>
      <c r="R1933" t="b">
        <f>AND(ISNUMBER(FIND($E1933,Tables!$I$2)), ISNUMBER(FIND($D1933,Tables!$J$2)), $E1933&lt;&gt;"")</f>
        <v>0</v>
      </c>
    </row>
    <row r="1934" spans="1:18" x14ac:dyDescent="0.25">
      <c r="A1934">
        <f>IF(AND(B1934="", D1934&lt;&gt;""), A1933, A1933+1)</f>
        <v>1928</v>
      </c>
      <c r="R1934" t="b">
        <f>AND(ISNUMBER(FIND($E1934,Tables!$I$2)), ISNUMBER(FIND($D1934,Tables!$J$2)), $E1934&lt;&gt;"")</f>
        <v>0</v>
      </c>
    </row>
    <row r="1935" spans="1:18" x14ac:dyDescent="0.25">
      <c r="A1935">
        <f>IF(AND(B1935="", D1935&lt;&gt;""), A1934, A1934+1)</f>
        <v>1929</v>
      </c>
      <c r="R1935" t="b">
        <f>AND(ISNUMBER(FIND($E1935,Tables!$I$2)), ISNUMBER(FIND($D1935,Tables!$J$2)), $E1935&lt;&gt;"")</f>
        <v>0</v>
      </c>
    </row>
    <row r="1936" spans="1:18" x14ac:dyDescent="0.25">
      <c r="A1936">
        <f>IF(AND(B1936="", D1936&lt;&gt;""), A1935, A1935+1)</f>
        <v>1930</v>
      </c>
      <c r="R1936" t="b">
        <f>AND(ISNUMBER(FIND($E1936,Tables!$I$2)), ISNUMBER(FIND($D1936,Tables!$J$2)), $E1936&lt;&gt;"")</f>
        <v>0</v>
      </c>
    </row>
    <row r="1937" spans="1:18" x14ac:dyDescent="0.25">
      <c r="A1937">
        <f>IF(AND(B1937="", D1937&lt;&gt;""), A1936, A1936+1)</f>
        <v>1931</v>
      </c>
      <c r="R1937" t="b">
        <f>AND(ISNUMBER(FIND($E1937,Tables!$I$2)), ISNUMBER(FIND($D1937,Tables!$J$2)), $E1937&lt;&gt;"")</f>
        <v>0</v>
      </c>
    </row>
    <row r="1938" spans="1:18" x14ac:dyDescent="0.25">
      <c r="A1938">
        <f>IF(AND(B1938="", D1938&lt;&gt;""), A1937, A1937+1)</f>
        <v>1932</v>
      </c>
      <c r="R1938" t="b">
        <f>AND(ISNUMBER(FIND($E1938,Tables!$I$2)), ISNUMBER(FIND($D1938,Tables!$J$2)), $E1938&lt;&gt;"")</f>
        <v>0</v>
      </c>
    </row>
    <row r="1939" spans="1:18" x14ac:dyDescent="0.25">
      <c r="A1939">
        <f>IF(AND(B1939="", D1939&lt;&gt;""), A1938, A1938+1)</f>
        <v>1933</v>
      </c>
      <c r="R1939" t="b">
        <f>AND(ISNUMBER(FIND($E1939,Tables!$I$2)), ISNUMBER(FIND($D1939,Tables!$J$2)), $E1939&lt;&gt;"")</f>
        <v>0</v>
      </c>
    </row>
    <row r="1940" spans="1:18" x14ac:dyDescent="0.25">
      <c r="A1940">
        <f>IF(AND(B1940="", D1940&lt;&gt;""), A1939, A1939+1)</f>
        <v>1934</v>
      </c>
      <c r="R1940" t="b">
        <f>AND(ISNUMBER(FIND($E1940,Tables!$I$2)), ISNUMBER(FIND($D1940,Tables!$J$2)), $E1940&lt;&gt;"")</f>
        <v>0</v>
      </c>
    </row>
    <row r="1941" spans="1:18" x14ac:dyDescent="0.25">
      <c r="A1941">
        <f>IF(AND(B1941="", D1941&lt;&gt;""), A1940, A1940+1)</f>
        <v>1935</v>
      </c>
      <c r="R1941" t="b">
        <f>AND(ISNUMBER(FIND($E1941,Tables!$I$2)), ISNUMBER(FIND($D1941,Tables!$J$2)), $E1941&lt;&gt;"")</f>
        <v>0</v>
      </c>
    </row>
    <row r="1942" spans="1:18" x14ac:dyDescent="0.25">
      <c r="A1942">
        <f>IF(AND(B1942="", D1942&lt;&gt;""), A1941, A1941+1)</f>
        <v>1936</v>
      </c>
      <c r="R1942" t="b">
        <f>AND(ISNUMBER(FIND($E1942,Tables!$I$2)), ISNUMBER(FIND($D1942,Tables!$J$2)), $E1942&lt;&gt;"")</f>
        <v>0</v>
      </c>
    </row>
    <row r="1943" spans="1:18" x14ac:dyDescent="0.25">
      <c r="A1943">
        <f>IF(AND(B1943="", D1943&lt;&gt;""), A1942, A1942+1)</f>
        <v>1937</v>
      </c>
      <c r="R1943" t="b">
        <f>AND(ISNUMBER(FIND($E1943,Tables!$I$2)), ISNUMBER(FIND($D1943,Tables!$J$2)), $E1943&lt;&gt;"")</f>
        <v>0</v>
      </c>
    </row>
    <row r="1944" spans="1:18" x14ac:dyDescent="0.25">
      <c r="A1944">
        <f>IF(AND(B1944="", D1944&lt;&gt;""), A1943, A1943+1)</f>
        <v>1938</v>
      </c>
      <c r="R1944" t="b">
        <f>AND(ISNUMBER(FIND($E1944,Tables!$I$2)), ISNUMBER(FIND($D1944,Tables!$J$2)), $E1944&lt;&gt;"")</f>
        <v>0</v>
      </c>
    </row>
    <row r="1945" spans="1:18" x14ac:dyDescent="0.25">
      <c r="A1945">
        <f>IF(AND(B1945="", D1945&lt;&gt;""), A1944, A1944+1)</f>
        <v>1939</v>
      </c>
      <c r="R1945" t="b">
        <f>AND(ISNUMBER(FIND($E1945,Tables!$I$2)), ISNUMBER(FIND($D1945,Tables!$J$2)), $E1945&lt;&gt;"")</f>
        <v>0</v>
      </c>
    </row>
    <row r="1946" spans="1:18" x14ac:dyDescent="0.25">
      <c r="A1946">
        <f>IF(AND(B1946="", D1946&lt;&gt;""), A1945, A1945+1)</f>
        <v>1940</v>
      </c>
      <c r="R1946" t="b">
        <f>AND(ISNUMBER(FIND($E1946,Tables!$I$2)), ISNUMBER(FIND($D1946,Tables!$J$2)), $E1946&lt;&gt;"")</f>
        <v>0</v>
      </c>
    </row>
    <row r="1947" spans="1:18" x14ac:dyDescent="0.25">
      <c r="A1947">
        <f>IF(AND(B1947="", D1947&lt;&gt;""), A1946, A1946+1)</f>
        <v>1941</v>
      </c>
      <c r="R1947" t="b">
        <f>AND(ISNUMBER(FIND($E1947,Tables!$I$2)), ISNUMBER(FIND($D1947,Tables!$J$2)), $E1947&lt;&gt;"")</f>
        <v>0</v>
      </c>
    </row>
    <row r="1948" spans="1:18" x14ac:dyDescent="0.25">
      <c r="A1948">
        <f>IF(AND(B1948="", D1948&lt;&gt;""), A1947, A1947+1)</f>
        <v>1942</v>
      </c>
      <c r="R1948" t="b">
        <f>AND(ISNUMBER(FIND($E1948,Tables!$I$2)), ISNUMBER(FIND($D1948,Tables!$J$2)), $E1948&lt;&gt;"")</f>
        <v>0</v>
      </c>
    </row>
    <row r="1949" spans="1:18" x14ac:dyDescent="0.25">
      <c r="A1949">
        <f>IF(AND(B1949="", D1949&lt;&gt;""), A1948, A1948+1)</f>
        <v>1943</v>
      </c>
      <c r="R1949" t="b">
        <f>AND(ISNUMBER(FIND($E1949,Tables!$I$2)), ISNUMBER(FIND($D1949,Tables!$J$2)), $E1949&lt;&gt;"")</f>
        <v>0</v>
      </c>
    </row>
    <row r="1950" spans="1:18" x14ac:dyDescent="0.25">
      <c r="A1950">
        <f>IF(AND(B1950="", D1950&lt;&gt;""), A1949, A1949+1)</f>
        <v>1944</v>
      </c>
      <c r="R1950" t="b">
        <f>AND(ISNUMBER(FIND($E1950,Tables!$I$2)), ISNUMBER(FIND($D1950,Tables!$J$2)), $E1950&lt;&gt;"")</f>
        <v>0</v>
      </c>
    </row>
    <row r="1951" spans="1:18" x14ac:dyDescent="0.25">
      <c r="A1951">
        <f>IF(AND(B1951="", D1951&lt;&gt;""), A1950, A1950+1)</f>
        <v>1945</v>
      </c>
      <c r="R1951" t="b">
        <f>AND(ISNUMBER(FIND($E1951,Tables!$I$2)), ISNUMBER(FIND($D1951,Tables!$J$2)), $E1951&lt;&gt;"")</f>
        <v>0</v>
      </c>
    </row>
    <row r="1952" spans="1:18" x14ac:dyDescent="0.25">
      <c r="A1952">
        <f>IF(AND(B1952="", D1952&lt;&gt;""), A1951, A1951+1)</f>
        <v>1946</v>
      </c>
      <c r="R1952" t="b">
        <f>AND(ISNUMBER(FIND($E1952,Tables!$I$2)), ISNUMBER(FIND($D1952,Tables!$J$2)), $E1952&lt;&gt;"")</f>
        <v>0</v>
      </c>
    </row>
    <row r="1953" spans="1:18" x14ac:dyDescent="0.25">
      <c r="A1953">
        <f>IF(AND(B1953="", D1953&lt;&gt;""), A1952, A1952+1)</f>
        <v>1947</v>
      </c>
      <c r="R1953" t="b">
        <f>AND(ISNUMBER(FIND($E1953,Tables!$I$2)), ISNUMBER(FIND($D1953,Tables!$J$2)), $E1953&lt;&gt;"")</f>
        <v>0</v>
      </c>
    </row>
    <row r="1954" spans="1:18" x14ac:dyDescent="0.25">
      <c r="A1954">
        <f>IF(AND(B1954="", D1954&lt;&gt;""), A1953, A1953+1)</f>
        <v>1948</v>
      </c>
      <c r="R1954" t="b">
        <f>AND(ISNUMBER(FIND($E1954,Tables!$I$2)), ISNUMBER(FIND($D1954,Tables!$J$2)), $E1954&lt;&gt;"")</f>
        <v>0</v>
      </c>
    </row>
    <row r="1955" spans="1:18" x14ac:dyDescent="0.25">
      <c r="A1955">
        <f>IF(AND(B1955="", D1955&lt;&gt;""), A1954, A1954+1)</f>
        <v>1949</v>
      </c>
      <c r="R1955" t="b">
        <f>AND(ISNUMBER(FIND($E1955,Tables!$I$2)), ISNUMBER(FIND($D1955,Tables!$J$2)), $E1955&lt;&gt;"")</f>
        <v>0</v>
      </c>
    </row>
    <row r="1956" spans="1:18" x14ac:dyDescent="0.25">
      <c r="A1956">
        <f>IF(AND(B1956="", D1956&lt;&gt;""), A1955, A1955+1)</f>
        <v>1950</v>
      </c>
      <c r="R1956" t="b">
        <f>AND(ISNUMBER(FIND($E1956,Tables!$I$2)), ISNUMBER(FIND($D1956,Tables!$J$2)), $E1956&lt;&gt;"")</f>
        <v>0</v>
      </c>
    </row>
    <row r="1957" spans="1:18" x14ac:dyDescent="0.25">
      <c r="A1957">
        <f>IF(AND(B1957="", D1957&lt;&gt;""), A1956, A1956+1)</f>
        <v>1951</v>
      </c>
      <c r="R1957" t="b">
        <f>AND(ISNUMBER(FIND($E1957,Tables!$I$2)), ISNUMBER(FIND($D1957,Tables!$J$2)), $E1957&lt;&gt;"")</f>
        <v>0</v>
      </c>
    </row>
    <row r="1958" spans="1:18" x14ac:dyDescent="0.25">
      <c r="A1958">
        <f>IF(AND(B1958="", D1958&lt;&gt;""), A1957, A1957+1)</f>
        <v>1952</v>
      </c>
      <c r="R1958" t="b">
        <f>AND(ISNUMBER(FIND($E1958,Tables!$I$2)), ISNUMBER(FIND($D1958,Tables!$J$2)), $E1958&lt;&gt;"")</f>
        <v>0</v>
      </c>
    </row>
    <row r="1959" spans="1:18" x14ac:dyDescent="0.25">
      <c r="A1959">
        <f>IF(AND(B1959="", D1959&lt;&gt;""), A1958, A1958+1)</f>
        <v>1953</v>
      </c>
      <c r="R1959" t="b">
        <f>AND(ISNUMBER(FIND($E1959,Tables!$I$2)), ISNUMBER(FIND($D1959,Tables!$J$2)), $E1959&lt;&gt;"")</f>
        <v>0</v>
      </c>
    </row>
    <row r="1960" spans="1:18" x14ac:dyDescent="0.25">
      <c r="A1960">
        <f>IF(AND(B1960="", D1960&lt;&gt;""), A1959, A1959+1)</f>
        <v>1954</v>
      </c>
      <c r="R1960" t="b">
        <f>AND(ISNUMBER(FIND($E1960,Tables!$I$2)), ISNUMBER(FIND($D1960,Tables!$J$2)), $E1960&lt;&gt;"")</f>
        <v>0</v>
      </c>
    </row>
    <row r="1961" spans="1:18" x14ac:dyDescent="0.25">
      <c r="A1961">
        <f>IF(AND(B1961="", D1961&lt;&gt;""), A1960, A1960+1)</f>
        <v>1955</v>
      </c>
      <c r="R1961" t="b">
        <f>AND(ISNUMBER(FIND($E1961,Tables!$I$2)), ISNUMBER(FIND($D1961,Tables!$J$2)), $E1961&lt;&gt;"")</f>
        <v>0</v>
      </c>
    </row>
    <row r="1962" spans="1:18" x14ac:dyDescent="0.25">
      <c r="A1962">
        <f>IF(AND(B1962="", D1962&lt;&gt;""), A1961, A1961+1)</f>
        <v>1956</v>
      </c>
      <c r="R1962" t="b">
        <f>AND(ISNUMBER(FIND($E1962,Tables!$I$2)), ISNUMBER(FIND($D1962,Tables!$J$2)), $E1962&lt;&gt;"")</f>
        <v>0</v>
      </c>
    </row>
    <row r="1963" spans="1:18" x14ac:dyDescent="0.25">
      <c r="A1963">
        <f>IF(AND(B1963="", D1963&lt;&gt;""), A1962, A1962+1)</f>
        <v>1957</v>
      </c>
      <c r="R1963" t="b">
        <f>AND(ISNUMBER(FIND($E1963,Tables!$I$2)), ISNUMBER(FIND($D1963,Tables!$J$2)), $E1963&lt;&gt;"")</f>
        <v>0</v>
      </c>
    </row>
    <row r="1964" spans="1:18" x14ac:dyDescent="0.25">
      <c r="A1964">
        <f>IF(AND(B1964="", D1964&lt;&gt;""), A1963, A1963+1)</f>
        <v>1958</v>
      </c>
      <c r="R1964" t="b">
        <f>AND(ISNUMBER(FIND($E1964,Tables!$I$2)), ISNUMBER(FIND($D1964,Tables!$J$2)), $E1964&lt;&gt;"")</f>
        <v>0</v>
      </c>
    </row>
    <row r="1965" spans="1:18" x14ac:dyDescent="0.25">
      <c r="A1965">
        <f>IF(AND(B1965="", D1965&lt;&gt;""), A1964, A1964+1)</f>
        <v>1959</v>
      </c>
      <c r="R1965" t="b">
        <f>AND(ISNUMBER(FIND($E1965,Tables!$I$2)), ISNUMBER(FIND($D1965,Tables!$J$2)), $E1965&lt;&gt;"")</f>
        <v>0</v>
      </c>
    </row>
    <row r="1966" spans="1:18" x14ac:dyDescent="0.25">
      <c r="A1966">
        <f>IF(AND(B1966="", D1966&lt;&gt;""), A1965, A1965+1)</f>
        <v>1960</v>
      </c>
      <c r="R1966" t="b">
        <f>AND(ISNUMBER(FIND($E1966,Tables!$I$2)), ISNUMBER(FIND($D1966,Tables!$J$2)), $E1966&lt;&gt;"")</f>
        <v>0</v>
      </c>
    </row>
    <row r="1967" spans="1:18" x14ac:dyDescent="0.25">
      <c r="A1967">
        <f>IF(AND(B1967="", D1967&lt;&gt;""), A1966, A1966+1)</f>
        <v>1961</v>
      </c>
      <c r="R1967" t="b">
        <f>AND(ISNUMBER(FIND($E1967,Tables!$I$2)), ISNUMBER(FIND($D1967,Tables!$J$2)), $E1967&lt;&gt;"")</f>
        <v>0</v>
      </c>
    </row>
    <row r="1968" spans="1:18" x14ac:dyDescent="0.25">
      <c r="A1968">
        <f>IF(AND(B1968="", D1968&lt;&gt;""), A1967, A1967+1)</f>
        <v>1962</v>
      </c>
      <c r="R1968" t="b">
        <f>AND(ISNUMBER(FIND($E1968,Tables!$I$2)), ISNUMBER(FIND($D1968,Tables!$J$2)), $E1968&lt;&gt;"")</f>
        <v>0</v>
      </c>
    </row>
    <row r="1969" spans="1:18" x14ac:dyDescent="0.25">
      <c r="A1969">
        <f>IF(AND(B1969="", D1969&lt;&gt;""), A1968, A1968+1)</f>
        <v>1963</v>
      </c>
      <c r="R1969" t="b">
        <f>AND(ISNUMBER(FIND($E1969,Tables!$I$2)), ISNUMBER(FIND($D1969,Tables!$J$2)), $E1969&lt;&gt;"")</f>
        <v>0</v>
      </c>
    </row>
    <row r="1970" spans="1:18" x14ac:dyDescent="0.25">
      <c r="A1970">
        <f>IF(AND(B1970="", D1970&lt;&gt;""), A1969, A1969+1)</f>
        <v>1964</v>
      </c>
      <c r="R1970" t="b">
        <f>AND(ISNUMBER(FIND($E1970,Tables!$I$2)), ISNUMBER(FIND($D1970,Tables!$J$2)), $E1970&lt;&gt;"")</f>
        <v>0</v>
      </c>
    </row>
    <row r="1971" spans="1:18" x14ac:dyDescent="0.25">
      <c r="A1971">
        <f>IF(AND(B1971="", D1971&lt;&gt;""), A1970, A1970+1)</f>
        <v>1965</v>
      </c>
      <c r="R1971" t="b">
        <f>AND(ISNUMBER(FIND($E1971,Tables!$I$2)), ISNUMBER(FIND($D1971,Tables!$J$2)), $E1971&lt;&gt;"")</f>
        <v>0</v>
      </c>
    </row>
    <row r="1972" spans="1:18" x14ac:dyDescent="0.25">
      <c r="A1972">
        <f>IF(AND(B1972="", D1972&lt;&gt;""), A1971, A1971+1)</f>
        <v>1966</v>
      </c>
      <c r="R1972" t="b">
        <f>AND(ISNUMBER(FIND($E1972,Tables!$I$2)), ISNUMBER(FIND($D1972,Tables!$J$2)), $E1972&lt;&gt;"")</f>
        <v>0</v>
      </c>
    </row>
    <row r="1973" spans="1:18" x14ac:dyDescent="0.25">
      <c r="A1973">
        <f>IF(AND(B1973="", D1973&lt;&gt;""), A1972, A1972+1)</f>
        <v>1967</v>
      </c>
      <c r="R1973" t="b">
        <f>AND(ISNUMBER(FIND($E1973,Tables!$I$2)), ISNUMBER(FIND($D1973,Tables!$J$2)), $E1973&lt;&gt;"")</f>
        <v>0</v>
      </c>
    </row>
    <row r="1974" spans="1:18" x14ac:dyDescent="0.25">
      <c r="A1974">
        <f>IF(AND(B1974="", D1974&lt;&gt;""), A1973, A1973+1)</f>
        <v>1968</v>
      </c>
      <c r="R1974" t="b">
        <f>AND(ISNUMBER(FIND($E1974,Tables!$I$2)), ISNUMBER(FIND($D1974,Tables!$J$2)), $E1974&lt;&gt;"")</f>
        <v>0</v>
      </c>
    </row>
    <row r="1975" spans="1:18" x14ac:dyDescent="0.25">
      <c r="A1975">
        <f>IF(AND(B1975="", D1975&lt;&gt;""), A1974, A1974+1)</f>
        <v>1969</v>
      </c>
      <c r="R1975" t="b">
        <f>AND(ISNUMBER(FIND($E1975,Tables!$I$2)), ISNUMBER(FIND($D1975,Tables!$J$2)), $E1975&lt;&gt;"")</f>
        <v>0</v>
      </c>
    </row>
    <row r="1976" spans="1:18" x14ac:dyDescent="0.25">
      <c r="A1976">
        <f>IF(AND(B1976="", D1976&lt;&gt;""), A1975, A1975+1)</f>
        <v>1970</v>
      </c>
      <c r="R1976" t="b">
        <f>AND(ISNUMBER(FIND($E1976,Tables!$I$2)), ISNUMBER(FIND($D1976,Tables!$J$2)), $E1976&lt;&gt;"")</f>
        <v>0</v>
      </c>
    </row>
    <row r="1977" spans="1:18" x14ac:dyDescent="0.25">
      <c r="A1977">
        <f>IF(AND(B1977="", D1977&lt;&gt;""), A1976, A1976+1)</f>
        <v>1971</v>
      </c>
      <c r="R1977" t="b">
        <f>AND(ISNUMBER(FIND($E1977,Tables!$I$2)), ISNUMBER(FIND($D1977,Tables!$J$2)), $E1977&lt;&gt;"")</f>
        <v>0</v>
      </c>
    </row>
    <row r="1978" spans="1:18" x14ac:dyDescent="0.25">
      <c r="A1978">
        <f>IF(AND(B1978="", D1978&lt;&gt;""), A1977, A1977+1)</f>
        <v>1972</v>
      </c>
      <c r="R1978" t="b">
        <f>AND(ISNUMBER(FIND($E1978,Tables!$I$2)), ISNUMBER(FIND($D1978,Tables!$J$2)), $E1978&lt;&gt;"")</f>
        <v>0</v>
      </c>
    </row>
    <row r="1979" spans="1:18" x14ac:dyDescent="0.25">
      <c r="A1979">
        <f>IF(AND(B1979="", D1979&lt;&gt;""), A1978, A1978+1)</f>
        <v>1973</v>
      </c>
      <c r="R1979" t="b">
        <f>AND(ISNUMBER(FIND($E1979,Tables!$I$2)), ISNUMBER(FIND($D1979,Tables!$J$2)), $E1979&lt;&gt;"")</f>
        <v>0</v>
      </c>
    </row>
    <row r="1980" spans="1:18" x14ac:dyDescent="0.25">
      <c r="A1980">
        <f>IF(AND(B1980="", D1980&lt;&gt;""), A1979, A1979+1)</f>
        <v>1974</v>
      </c>
      <c r="R1980" t="b">
        <f>AND(ISNUMBER(FIND($E1980,Tables!$I$2)), ISNUMBER(FIND($D1980,Tables!$J$2)), $E1980&lt;&gt;"")</f>
        <v>0</v>
      </c>
    </row>
    <row r="1981" spans="1:18" x14ac:dyDescent="0.25">
      <c r="A1981">
        <f>IF(AND(B1981="", D1981&lt;&gt;""), A1980, A1980+1)</f>
        <v>1975</v>
      </c>
      <c r="R1981" t="b">
        <f>AND(ISNUMBER(FIND($E1981,Tables!$I$2)), ISNUMBER(FIND($D1981,Tables!$J$2)), $E1981&lt;&gt;"")</f>
        <v>0</v>
      </c>
    </row>
    <row r="1982" spans="1:18" x14ac:dyDescent="0.25">
      <c r="A1982">
        <f>IF(AND(B1982="", D1982&lt;&gt;""), A1981, A1981+1)</f>
        <v>1976</v>
      </c>
      <c r="R1982" t="b">
        <f>AND(ISNUMBER(FIND($E1982,Tables!$I$2)), ISNUMBER(FIND($D1982,Tables!$J$2)), $E1982&lt;&gt;"")</f>
        <v>0</v>
      </c>
    </row>
    <row r="1983" spans="1:18" x14ac:dyDescent="0.25">
      <c r="A1983">
        <f>IF(AND(B1983="", D1983&lt;&gt;""), A1982, A1982+1)</f>
        <v>1977</v>
      </c>
      <c r="R1983" t="b">
        <f>AND(ISNUMBER(FIND($E1983,Tables!$I$2)), ISNUMBER(FIND($D1983,Tables!$J$2)), $E1983&lt;&gt;"")</f>
        <v>0</v>
      </c>
    </row>
    <row r="1984" spans="1:18" x14ac:dyDescent="0.25">
      <c r="A1984">
        <f>IF(AND(B1984="", D1984&lt;&gt;""), A1983, A1983+1)</f>
        <v>1978</v>
      </c>
      <c r="R1984" t="b">
        <f>AND(ISNUMBER(FIND($E1984,Tables!$I$2)), ISNUMBER(FIND($D1984,Tables!$J$2)), $E1984&lt;&gt;"")</f>
        <v>0</v>
      </c>
    </row>
    <row r="1985" spans="1:18" x14ac:dyDescent="0.25">
      <c r="A1985">
        <f>IF(AND(B1985="", D1985&lt;&gt;""), A1984, A1984+1)</f>
        <v>1979</v>
      </c>
      <c r="R1985" t="b">
        <f>AND(ISNUMBER(FIND($E1985,Tables!$I$2)), ISNUMBER(FIND($D1985,Tables!$J$2)), $E1985&lt;&gt;"")</f>
        <v>0</v>
      </c>
    </row>
    <row r="1986" spans="1:18" x14ac:dyDescent="0.25">
      <c r="A1986">
        <f>IF(AND(B1986="", D1986&lt;&gt;""), A1985, A1985+1)</f>
        <v>1980</v>
      </c>
      <c r="R1986" t="b">
        <f>AND(ISNUMBER(FIND($E1986,Tables!$I$2)), ISNUMBER(FIND($D1986,Tables!$J$2)), $E1986&lt;&gt;"")</f>
        <v>0</v>
      </c>
    </row>
    <row r="1987" spans="1:18" x14ac:dyDescent="0.25">
      <c r="A1987">
        <f>IF(AND(B1987="", D1987&lt;&gt;""), A1986, A1986+1)</f>
        <v>1981</v>
      </c>
      <c r="R1987" t="b">
        <f>AND(ISNUMBER(FIND($E1987,Tables!$I$2)), ISNUMBER(FIND($D1987,Tables!$J$2)), $E1987&lt;&gt;"")</f>
        <v>0</v>
      </c>
    </row>
    <row r="1988" spans="1:18" x14ac:dyDescent="0.25">
      <c r="A1988">
        <f>IF(AND(B1988="", D1988&lt;&gt;""), A1987, A1987+1)</f>
        <v>1982</v>
      </c>
      <c r="R1988" t="b">
        <f>AND(ISNUMBER(FIND($E1988,Tables!$I$2)), ISNUMBER(FIND($D1988,Tables!$J$2)), $E1988&lt;&gt;"")</f>
        <v>0</v>
      </c>
    </row>
    <row r="1989" spans="1:18" x14ac:dyDescent="0.25">
      <c r="A1989">
        <f>IF(AND(B1989="", D1989&lt;&gt;""), A1988, A1988+1)</f>
        <v>1983</v>
      </c>
      <c r="R1989" t="b">
        <f>AND(ISNUMBER(FIND($E1989,Tables!$I$2)), ISNUMBER(FIND($D1989,Tables!$J$2)), $E1989&lt;&gt;"")</f>
        <v>0</v>
      </c>
    </row>
    <row r="1990" spans="1:18" x14ac:dyDescent="0.25">
      <c r="A1990">
        <f>IF(AND(B1990="", D1990&lt;&gt;""), A1989, A1989+1)</f>
        <v>1984</v>
      </c>
      <c r="R1990" t="b">
        <f>AND(ISNUMBER(FIND($E1990,Tables!$I$2)), ISNUMBER(FIND($D1990,Tables!$J$2)), $E1990&lt;&gt;"")</f>
        <v>0</v>
      </c>
    </row>
    <row r="1991" spans="1:18" x14ac:dyDescent="0.25">
      <c r="A1991">
        <f>IF(AND(B1991="", D1991&lt;&gt;""), A1990, A1990+1)</f>
        <v>1985</v>
      </c>
      <c r="R1991" t="b">
        <f>AND(ISNUMBER(FIND($E1991,Tables!$I$2)), ISNUMBER(FIND($D1991,Tables!$J$2)), $E1991&lt;&gt;"")</f>
        <v>0</v>
      </c>
    </row>
    <row r="1992" spans="1:18" x14ac:dyDescent="0.25">
      <c r="A1992">
        <f>IF(AND(B1992="", D1992&lt;&gt;""), A1991, A1991+1)</f>
        <v>1986</v>
      </c>
      <c r="R1992" t="b">
        <f>AND(ISNUMBER(FIND($E1992,Tables!$I$2)), ISNUMBER(FIND($D1992,Tables!$J$2)), $E1992&lt;&gt;"")</f>
        <v>0</v>
      </c>
    </row>
    <row r="1993" spans="1:18" x14ac:dyDescent="0.25">
      <c r="A1993">
        <f>IF(AND(B1993="", D1993&lt;&gt;""), A1992, A1992+1)</f>
        <v>1987</v>
      </c>
      <c r="R1993" t="b">
        <f>AND(ISNUMBER(FIND($E1993,Tables!$I$2)), ISNUMBER(FIND($D1993,Tables!$J$2)), $E1993&lt;&gt;"")</f>
        <v>0</v>
      </c>
    </row>
    <row r="1994" spans="1:18" x14ac:dyDescent="0.25">
      <c r="A1994">
        <f>IF(AND(B1994="", D1994&lt;&gt;""), A1993, A1993+1)</f>
        <v>1988</v>
      </c>
      <c r="R1994" t="b">
        <f>AND(ISNUMBER(FIND($E1994,Tables!$I$2)), ISNUMBER(FIND($D1994,Tables!$J$2)), $E1994&lt;&gt;"")</f>
        <v>0</v>
      </c>
    </row>
    <row r="1995" spans="1:18" x14ac:dyDescent="0.25">
      <c r="A1995">
        <f>IF(AND(B1995="", D1995&lt;&gt;""), A1994, A1994+1)</f>
        <v>1989</v>
      </c>
      <c r="R1995" t="b">
        <f>AND(ISNUMBER(FIND($E1995,Tables!$I$2)), ISNUMBER(FIND($D1995,Tables!$J$2)), $E1995&lt;&gt;"")</f>
        <v>0</v>
      </c>
    </row>
    <row r="1996" spans="1:18" x14ac:dyDescent="0.25">
      <c r="A1996">
        <f>IF(AND(B1996="", D1996&lt;&gt;""), A1995, A1995+1)</f>
        <v>1990</v>
      </c>
      <c r="R1996" t="b">
        <f>AND(ISNUMBER(FIND($E1996,Tables!$I$2)), ISNUMBER(FIND($D1996,Tables!$J$2)), $E1996&lt;&gt;"")</f>
        <v>0</v>
      </c>
    </row>
    <row r="1997" spans="1:18" x14ac:dyDescent="0.25">
      <c r="A1997">
        <f>IF(AND(B1997="", D1997&lt;&gt;""), A1996, A1996+1)</f>
        <v>1991</v>
      </c>
      <c r="R1997" t="b">
        <f>AND(ISNUMBER(FIND($E1997,Tables!$I$2)), ISNUMBER(FIND($D1997,Tables!$J$2)), $E1997&lt;&gt;"")</f>
        <v>0</v>
      </c>
    </row>
    <row r="1998" spans="1:18" x14ac:dyDescent="0.25">
      <c r="A1998">
        <f>IF(AND(B1998="", D1998&lt;&gt;""), A1997, A1997+1)</f>
        <v>1992</v>
      </c>
      <c r="R1998" t="b">
        <f>AND(ISNUMBER(FIND($E1998,Tables!$I$2)), ISNUMBER(FIND($D1998,Tables!$J$2)), $E1998&lt;&gt;"")</f>
        <v>0</v>
      </c>
    </row>
    <row r="1999" spans="1:18" x14ac:dyDescent="0.25">
      <c r="A1999">
        <f>IF(AND(B1999="", D1999&lt;&gt;""), A1998, A1998+1)</f>
        <v>1993</v>
      </c>
      <c r="R1999" t="b">
        <f>AND(ISNUMBER(FIND($E1999,Tables!$I$2)), ISNUMBER(FIND($D1999,Tables!$J$2)), $E1999&lt;&gt;"")</f>
        <v>0</v>
      </c>
    </row>
    <row r="2000" spans="1:18" x14ac:dyDescent="0.25">
      <c r="A2000">
        <f>IF(AND(B2000="", D2000&lt;&gt;""), A1999, A1999+1)</f>
        <v>1994</v>
      </c>
      <c r="R2000" t="b">
        <f>AND(ISNUMBER(FIND($E2000,Tables!$I$2)), ISNUMBER(FIND($D2000,Tables!$J$2)), $E2000&lt;&gt;"")</f>
        <v>0</v>
      </c>
    </row>
    <row r="2001" spans="1:18" x14ac:dyDescent="0.25">
      <c r="A2001">
        <f>IF(AND(B2001="", D2001&lt;&gt;""), A2000, A2000+1)</f>
        <v>1995</v>
      </c>
      <c r="R2001" t="b">
        <f>AND(ISNUMBER(FIND($E2001,Tables!$I$2)), ISNUMBER(FIND($D2001,Tables!$J$2)), $E2001&lt;&gt;"")</f>
        <v>0</v>
      </c>
    </row>
    <row r="2002" spans="1:18" x14ac:dyDescent="0.25">
      <c r="A2002">
        <f>IF(AND(B2002="", D2002&lt;&gt;""), A2001, A2001+1)</f>
        <v>1996</v>
      </c>
      <c r="R2002" t="b">
        <f>AND(ISNUMBER(FIND($E2002,Tables!$I$2)), ISNUMBER(FIND($D2002,Tables!$J$2)), $E2002&lt;&gt;"")</f>
        <v>0</v>
      </c>
    </row>
    <row r="2003" spans="1:18" x14ac:dyDescent="0.25">
      <c r="A2003">
        <f>IF(AND(B2003="", D2003&lt;&gt;""), A2002, A2002+1)</f>
        <v>1997</v>
      </c>
      <c r="R2003" t="b">
        <f>AND(ISNUMBER(FIND($E2003,Tables!$I$2)), ISNUMBER(FIND($D2003,Tables!$J$2)), $E2003&lt;&gt;"")</f>
        <v>0</v>
      </c>
    </row>
    <row r="2004" spans="1:18" x14ac:dyDescent="0.25">
      <c r="A2004">
        <f>IF(AND(B2004="", D2004&lt;&gt;""), A2003, A2003+1)</f>
        <v>1998</v>
      </c>
      <c r="R2004" t="b">
        <f>AND(ISNUMBER(FIND($E2004,Tables!$I$2)), ISNUMBER(FIND($D2004,Tables!$J$2)), $E2004&lt;&gt;"")</f>
        <v>0</v>
      </c>
    </row>
    <row r="2005" spans="1:18" x14ac:dyDescent="0.25">
      <c r="A2005">
        <f>IF(AND(B2005="", D2005&lt;&gt;""), A2004, A2004+1)</f>
        <v>1999</v>
      </c>
      <c r="R2005" t="b">
        <f>AND(ISNUMBER(FIND($E2005,Tables!$I$2)), ISNUMBER(FIND($D2005,Tables!$J$2)), $E2005&lt;&gt;"")</f>
        <v>0</v>
      </c>
    </row>
    <row r="2006" spans="1:18" x14ac:dyDescent="0.25">
      <c r="A2006">
        <f>IF(AND(B2006="", D2006&lt;&gt;""), A2005, A2005+1)</f>
        <v>2000</v>
      </c>
      <c r="R2006" t="b">
        <f>AND(ISNUMBER(FIND($E2006,Tables!$I$2)), ISNUMBER(FIND($D2006,Tables!$J$2)), $E2006&lt;&gt;"")</f>
        <v>0</v>
      </c>
    </row>
    <row r="2007" spans="1:18" x14ac:dyDescent="0.25">
      <c r="A2007">
        <f>IF(AND(B2007="", D2007&lt;&gt;""), A2006, A2006+1)</f>
        <v>2001</v>
      </c>
      <c r="R2007" t="b">
        <f>AND(ISNUMBER(FIND($E2007,Tables!$I$2)), ISNUMBER(FIND($D2007,Tables!$J$2)), $E2007&lt;&gt;"")</f>
        <v>0</v>
      </c>
    </row>
    <row r="2008" spans="1:18" x14ac:dyDescent="0.25">
      <c r="A2008">
        <f>IF(AND(B2008="", D2008&lt;&gt;""), A2007, A2007+1)</f>
        <v>2002</v>
      </c>
      <c r="R2008" t="b">
        <f>AND(ISNUMBER(FIND($E2008,Tables!$I$2)), ISNUMBER(FIND($D2008,Tables!$J$2)), $E2008&lt;&gt;"")</f>
        <v>0</v>
      </c>
    </row>
    <row r="2009" spans="1:18" x14ac:dyDescent="0.25">
      <c r="A2009">
        <f>IF(AND(B2009="", D2009&lt;&gt;""), A2008, A2008+1)</f>
        <v>2003</v>
      </c>
      <c r="R2009" t="b">
        <f>AND(ISNUMBER(FIND($E2009,Tables!$I$2)), ISNUMBER(FIND($D2009,Tables!$J$2)), $E2009&lt;&gt;"")</f>
        <v>0</v>
      </c>
    </row>
    <row r="2010" spans="1:18" x14ac:dyDescent="0.25">
      <c r="A2010">
        <f>IF(AND(B2010="", D2010&lt;&gt;""), A2009, A2009+1)</f>
        <v>2004</v>
      </c>
      <c r="R2010" t="b">
        <f>AND(ISNUMBER(FIND($E2010,Tables!$I$2)), ISNUMBER(FIND($D2010,Tables!$J$2)), $E2010&lt;&gt;"")</f>
        <v>0</v>
      </c>
    </row>
    <row r="2011" spans="1:18" x14ac:dyDescent="0.25">
      <c r="A2011">
        <f>IF(AND(B2011="", D2011&lt;&gt;""), A2010, A2010+1)</f>
        <v>2005</v>
      </c>
      <c r="R2011" t="b">
        <f>AND(ISNUMBER(FIND($E2011,Tables!$I$2)), ISNUMBER(FIND($D2011,Tables!$J$2)), $E2011&lt;&gt;"")</f>
        <v>0</v>
      </c>
    </row>
    <row r="2012" spans="1:18" x14ac:dyDescent="0.25">
      <c r="A2012">
        <f>IF(AND(B2012="", D2012&lt;&gt;""), A2011, A2011+1)</f>
        <v>2006</v>
      </c>
      <c r="R2012" t="b">
        <f>AND(ISNUMBER(FIND($E2012,Tables!$I$2)), ISNUMBER(FIND($D2012,Tables!$J$2)), $E2012&lt;&gt;"")</f>
        <v>0</v>
      </c>
    </row>
    <row r="2013" spans="1:18" x14ac:dyDescent="0.25">
      <c r="A2013">
        <f>IF(AND(B2013="", D2013&lt;&gt;""), A2012, A2012+1)</f>
        <v>2007</v>
      </c>
      <c r="R2013" t="b">
        <f>AND(ISNUMBER(FIND($E2013,Tables!$I$2)), ISNUMBER(FIND($D2013,Tables!$J$2)), $E2013&lt;&gt;"")</f>
        <v>0</v>
      </c>
    </row>
    <row r="2014" spans="1:18" x14ac:dyDescent="0.25">
      <c r="A2014">
        <f>IF(AND(B2014="", D2014&lt;&gt;""), A2013, A2013+1)</f>
        <v>2008</v>
      </c>
      <c r="R2014" t="b">
        <f>AND(ISNUMBER(FIND($E2014,Tables!$I$2)), ISNUMBER(FIND($D2014,Tables!$J$2)), $E2014&lt;&gt;"")</f>
        <v>0</v>
      </c>
    </row>
    <row r="2015" spans="1:18" x14ac:dyDescent="0.25">
      <c r="A2015">
        <f>IF(AND(B2015="", D2015&lt;&gt;""), A2014, A2014+1)</f>
        <v>2009</v>
      </c>
      <c r="R2015" t="b">
        <f>AND(ISNUMBER(FIND($E2015,Tables!$I$2)), ISNUMBER(FIND($D2015,Tables!$J$2)), $E2015&lt;&gt;"")</f>
        <v>0</v>
      </c>
    </row>
    <row r="2016" spans="1:18" x14ac:dyDescent="0.25">
      <c r="A2016">
        <f>IF(AND(B2016="", D2016&lt;&gt;""), A2015, A2015+1)</f>
        <v>2010</v>
      </c>
      <c r="R2016" t="b">
        <f>AND(ISNUMBER(FIND($E2016,Tables!$I$2)), ISNUMBER(FIND($D2016,Tables!$J$2)), $E2016&lt;&gt;"")</f>
        <v>0</v>
      </c>
    </row>
    <row r="2017" spans="1:18" x14ac:dyDescent="0.25">
      <c r="A2017">
        <f>IF(AND(B2017="", D2017&lt;&gt;""), A2016, A2016+1)</f>
        <v>2011</v>
      </c>
      <c r="R2017" t="b">
        <f>AND(ISNUMBER(FIND($E2017,Tables!$I$2)), ISNUMBER(FIND($D2017,Tables!$J$2)), $E2017&lt;&gt;"")</f>
        <v>0</v>
      </c>
    </row>
    <row r="2018" spans="1:18" x14ac:dyDescent="0.25">
      <c r="A2018">
        <f>IF(AND(B2018="", D2018&lt;&gt;""), A2017, A2017+1)</f>
        <v>2012</v>
      </c>
      <c r="R2018" t="b">
        <f>AND(ISNUMBER(FIND($E2018,Tables!$I$2)), ISNUMBER(FIND($D2018,Tables!$J$2)), $E2018&lt;&gt;"")</f>
        <v>0</v>
      </c>
    </row>
    <row r="2019" spans="1:18" x14ac:dyDescent="0.25">
      <c r="A2019">
        <f>IF(AND(B2019="", D2019&lt;&gt;""), A2018, A2018+1)</f>
        <v>2013</v>
      </c>
      <c r="R2019" t="b">
        <f>AND(ISNUMBER(FIND($E2019,Tables!$I$2)), ISNUMBER(FIND($D2019,Tables!$J$2)), $E2019&lt;&gt;"")</f>
        <v>0</v>
      </c>
    </row>
    <row r="2020" spans="1:18" x14ac:dyDescent="0.25">
      <c r="A2020">
        <f>IF(AND(B2020="", D2020&lt;&gt;""), A2019, A2019+1)</f>
        <v>2014</v>
      </c>
      <c r="R2020" t="b">
        <f>AND(ISNUMBER(FIND($E2020,Tables!$I$2)), ISNUMBER(FIND($D2020,Tables!$J$2)), $E2020&lt;&gt;"")</f>
        <v>0</v>
      </c>
    </row>
    <row r="2021" spans="1:18" x14ac:dyDescent="0.25">
      <c r="A2021">
        <f>IF(AND(B2021="", D2021&lt;&gt;""), A2020, A2020+1)</f>
        <v>2015</v>
      </c>
      <c r="R2021" t="b">
        <f>AND(ISNUMBER(FIND($E2021,Tables!$I$2)), ISNUMBER(FIND($D2021,Tables!$J$2)), $E2021&lt;&gt;"")</f>
        <v>0</v>
      </c>
    </row>
    <row r="2022" spans="1:18" x14ac:dyDescent="0.25">
      <c r="A2022">
        <f>IF(AND(B2022="", D2022&lt;&gt;""), A2021, A2021+1)</f>
        <v>2016</v>
      </c>
      <c r="R2022" t="b">
        <f>AND(ISNUMBER(FIND($E2022,Tables!$I$2)), ISNUMBER(FIND($D2022,Tables!$J$2)), $E2022&lt;&gt;"")</f>
        <v>0</v>
      </c>
    </row>
    <row r="2023" spans="1:18" x14ac:dyDescent="0.25">
      <c r="A2023">
        <f>IF(AND(B2023="", D2023&lt;&gt;""), A2022, A2022+1)</f>
        <v>2017</v>
      </c>
      <c r="R2023" t="b">
        <f>AND(ISNUMBER(FIND($E2023,Tables!$I$2)), ISNUMBER(FIND($D2023,Tables!$J$2)), $E2023&lt;&gt;"")</f>
        <v>0</v>
      </c>
    </row>
    <row r="2024" spans="1:18" x14ac:dyDescent="0.25">
      <c r="A2024">
        <f>IF(AND(B2024="", D2024&lt;&gt;""), A2023, A2023+1)</f>
        <v>2018</v>
      </c>
      <c r="R2024" t="b">
        <f>AND(ISNUMBER(FIND($E2024,Tables!$I$2)), ISNUMBER(FIND($D2024,Tables!$J$2)), $E2024&lt;&gt;"")</f>
        <v>0</v>
      </c>
    </row>
    <row r="2025" spans="1:18" x14ac:dyDescent="0.25">
      <c r="A2025">
        <f>IF(AND(B2025="", D2025&lt;&gt;""), A2024, A2024+1)</f>
        <v>2019</v>
      </c>
      <c r="R2025" t="b">
        <f>AND(ISNUMBER(FIND($E2025,Tables!$I$2)), ISNUMBER(FIND($D2025,Tables!$J$2)), $E2025&lt;&gt;"")</f>
        <v>0</v>
      </c>
    </row>
    <row r="2026" spans="1:18" x14ac:dyDescent="0.25">
      <c r="A2026">
        <f>IF(AND(B2026="", D2026&lt;&gt;""), A2025, A2025+1)</f>
        <v>2020</v>
      </c>
      <c r="R2026" t="b">
        <f>AND(ISNUMBER(FIND($E2026,Tables!$I$2)), ISNUMBER(FIND($D2026,Tables!$J$2)), $E2026&lt;&gt;"")</f>
        <v>0</v>
      </c>
    </row>
    <row r="2027" spans="1:18" x14ac:dyDescent="0.25">
      <c r="A2027">
        <f>IF(AND(B2027="", D2027&lt;&gt;""), A2026, A2026+1)</f>
        <v>2021</v>
      </c>
      <c r="R2027" t="b">
        <f>AND(ISNUMBER(FIND($E2027,Tables!$I$2)), ISNUMBER(FIND($D2027,Tables!$J$2)), $E2027&lt;&gt;"")</f>
        <v>0</v>
      </c>
    </row>
    <row r="2028" spans="1:18" x14ac:dyDescent="0.25">
      <c r="A2028">
        <f>IF(AND(B2028="", D2028&lt;&gt;""), A2027, A2027+1)</f>
        <v>2022</v>
      </c>
      <c r="R2028" t="b">
        <f>AND(ISNUMBER(FIND($E2028,Tables!$I$2)), ISNUMBER(FIND($D2028,Tables!$J$2)), $E2028&lt;&gt;"")</f>
        <v>0</v>
      </c>
    </row>
    <row r="2029" spans="1:18" x14ac:dyDescent="0.25">
      <c r="A2029">
        <f>IF(AND(B2029="", D2029&lt;&gt;""), A2028, A2028+1)</f>
        <v>2023</v>
      </c>
      <c r="R2029" t="b">
        <f>AND(ISNUMBER(FIND($E2029,Tables!$I$2)), ISNUMBER(FIND($D2029,Tables!$J$2)), $E2029&lt;&gt;"")</f>
        <v>0</v>
      </c>
    </row>
    <row r="2030" spans="1:18" x14ac:dyDescent="0.25">
      <c r="A2030">
        <f>IF(AND(B2030="", D2030&lt;&gt;""), A2029, A2029+1)</f>
        <v>2024</v>
      </c>
      <c r="R2030" t="b">
        <f>AND(ISNUMBER(FIND($E2030,Tables!$I$2)), ISNUMBER(FIND($D2030,Tables!$J$2)), $E2030&lt;&gt;"")</f>
        <v>0</v>
      </c>
    </row>
    <row r="2031" spans="1:18" x14ac:dyDescent="0.25">
      <c r="A2031">
        <f>IF(AND(B2031="", D2031&lt;&gt;""), A2030, A2030+1)</f>
        <v>2025</v>
      </c>
      <c r="R2031" t="b">
        <f>AND(ISNUMBER(FIND($E2031,Tables!$I$2)), ISNUMBER(FIND($D2031,Tables!$J$2)), $E2031&lt;&gt;"")</f>
        <v>0</v>
      </c>
    </row>
    <row r="2032" spans="1:18" x14ac:dyDescent="0.25">
      <c r="A2032">
        <f>IF(AND(B2032="", D2032&lt;&gt;""), A2031, A2031+1)</f>
        <v>2026</v>
      </c>
      <c r="R2032" t="b">
        <f>AND(ISNUMBER(FIND($E2032,Tables!$I$2)), ISNUMBER(FIND($D2032,Tables!$J$2)), $E2032&lt;&gt;"")</f>
        <v>0</v>
      </c>
    </row>
    <row r="2033" spans="1:18" x14ac:dyDescent="0.25">
      <c r="A2033">
        <f>IF(AND(B2033="", D2033&lt;&gt;""), A2032, A2032+1)</f>
        <v>2027</v>
      </c>
      <c r="R2033" t="b">
        <f>AND(ISNUMBER(FIND($E2033,Tables!$I$2)), ISNUMBER(FIND($D2033,Tables!$J$2)), $E2033&lt;&gt;"")</f>
        <v>0</v>
      </c>
    </row>
    <row r="2034" spans="1:18" x14ac:dyDescent="0.25">
      <c r="A2034">
        <f>IF(AND(B2034="", D2034&lt;&gt;""), A2033, A2033+1)</f>
        <v>2028</v>
      </c>
      <c r="R2034" t="b">
        <f>AND(ISNUMBER(FIND($E2034,Tables!$I$2)), ISNUMBER(FIND($D2034,Tables!$J$2)), $E2034&lt;&gt;"")</f>
        <v>0</v>
      </c>
    </row>
    <row r="2035" spans="1:18" x14ac:dyDescent="0.25">
      <c r="A2035">
        <f>IF(AND(B2035="", D2035&lt;&gt;""), A2034, A2034+1)</f>
        <v>2029</v>
      </c>
      <c r="R2035" t="b">
        <f>AND(ISNUMBER(FIND($E2035,Tables!$I$2)), ISNUMBER(FIND($D2035,Tables!$J$2)), $E2035&lt;&gt;"")</f>
        <v>0</v>
      </c>
    </row>
    <row r="2036" spans="1:18" x14ac:dyDescent="0.25">
      <c r="A2036">
        <f>IF(AND(B2036="", D2036&lt;&gt;""), A2035, A2035+1)</f>
        <v>2030</v>
      </c>
      <c r="R2036" t="b">
        <f>AND(ISNUMBER(FIND($E2036,Tables!$I$2)), ISNUMBER(FIND($D2036,Tables!$J$2)), $E2036&lt;&gt;"")</f>
        <v>0</v>
      </c>
    </row>
    <row r="2037" spans="1:18" x14ac:dyDescent="0.25">
      <c r="A2037">
        <f>IF(AND(B2037="", D2037&lt;&gt;""), A2036, A2036+1)</f>
        <v>2031</v>
      </c>
      <c r="R2037" t="b">
        <f>AND(ISNUMBER(FIND($E2037,Tables!$I$2)), ISNUMBER(FIND($D2037,Tables!$J$2)), $E2037&lt;&gt;"")</f>
        <v>0</v>
      </c>
    </row>
    <row r="2038" spans="1:18" x14ac:dyDescent="0.25">
      <c r="A2038">
        <f>IF(AND(B2038="", D2038&lt;&gt;""), A2037, A2037+1)</f>
        <v>2032</v>
      </c>
      <c r="R2038" t="b">
        <f>AND(ISNUMBER(FIND($E2038,Tables!$I$2)), ISNUMBER(FIND($D2038,Tables!$J$2)), $E2038&lt;&gt;"")</f>
        <v>0</v>
      </c>
    </row>
    <row r="2039" spans="1:18" x14ac:dyDescent="0.25">
      <c r="A2039">
        <f>IF(AND(B2039="", D2039&lt;&gt;""), A2038, A2038+1)</f>
        <v>2033</v>
      </c>
      <c r="R2039" t="b">
        <f>AND(ISNUMBER(FIND($E2039,Tables!$I$2)), ISNUMBER(FIND($D2039,Tables!$J$2)), $E2039&lt;&gt;"")</f>
        <v>0</v>
      </c>
    </row>
    <row r="2040" spans="1:18" x14ac:dyDescent="0.25">
      <c r="A2040">
        <f>IF(AND(B2040="", D2040&lt;&gt;""), A2039, A2039+1)</f>
        <v>2034</v>
      </c>
      <c r="R2040" t="b">
        <f>AND(ISNUMBER(FIND($E2040,Tables!$I$2)), ISNUMBER(FIND($D2040,Tables!$J$2)), $E2040&lt;&gt;"")</f>
        <v>0</v>
      </c>
    </row>
    <row r="2041" spans="1:18" x14ac:dyDescent="0.25">
      <c r="A2041">
        <f>IF(AND(B2041="", D2041&lt;&gt;""), A2040, A2040+1)</f>
        <v>2035</v>
      </c>
      <c r="R2041" t="b">
        <f>AND(ISNUMBER(FIND($E2041,Tables!$I$2)), ISNUMBER(FIND($D2041,Tables!$J$2)), $E2041&lt;&gt;"")</f>
        <v>0</v>
      </c>
    </row>
    <row r="2042" spans="1:18" x14ac:dyDescent="0.25">
      <c r="A2042">
        <f>IF(AND(B2042="", D2042&lt;&gt;""), A2041, A2041+1)</f>
        <v>2036</v>
      </c>
      <c r="R2042" t="b">
        <f>AND(ISNUMBER(FIND($E2042,Tables!$I$2)), ISNUMBER(FIND($D2042,Tables!$J$2)), $E2042&lt;&gt;"")</f>
        <v>0</v>
      </c>
    </row>
    <row r="2043" spans="1:18" x14ac:dyDescent="0.25">
      <c r="A2043">
        <f>IF(AND(B2043="", D2043&lt;&gt;""), A2042, A2042+1)</f>
        <v>2037</v>
      </c>
      <c r="R2043" t="b">
        <f>AND(ISNUMBER(FIND($E2043,Tables!$I$2)), ISNUMBER(FIND($D2043,Tables!$J$2)), $E2043&lt;&gt;"")</f>
        <v>0</v>
      </c>
    </row>
    <row r="2044" spans="1:18" x14ac:dyDescent="0.25">
      <c r="A2044">
        <f>IF(AND(B2044="", D2044&lt;&gt;""), A2043, A2043+1)</f>
        <v>2038</v>
      </c>
      <c r="R2044" t="b">
        <f>AND(ISNUMBER(FIND($E2044,Tables!$I$2)), ISNUMBER(FIND($D2044,Tables!$J$2)), $E2044&lt;&gt;"")</f>
        <v>0</v>
      </c>
    </row>
    <row r="2045" spans="1:18" x14ac:dyDescent="0.25">
      <c r="A2045">
        <f>IF(AND(B2045="", D2045&lt;&gt;""), A2044, A2044+1)</f>
        <v>2039</v>
      </c>
      <c r="R2045" t="b">
        <f>AND(ISNUMBER(FIND($E2045,Tables!$I$2)), ISNUMBER(FIND($D2045,Tables!$J$2)), $E2045&lt;&gt;"")</f>
        <v>0</v>
      </c>
    </row>
    <row r="2046" spans="1:18" x14ac:dyDescent="0.25">
      <c r="A2046">
        <f>IF(AND(B2046="", D2046&lt;&gt;""), A2045, A2045+1)</f>
        <v>2040</v>
      </c>
      <c r="R2046" t="b">
        <f>AND(ISNUMBER(FIND($E2046,Tables!$I$2)), ISNUMBER(FIND($D2046,Tables!$J$2)), $E2046&lt;&gt;"")</f>
        <v>0</v>
      </c>
    </row>
    <row r="2047" spans="1:18" x14ac:dyDescent="0.25">
      <c r="A2047">
        <f>IF(AND(B2047="", D2047&lt;&gt;""), A2046, A2046+1)</f>
        <v>2041</v>
      </c>
      <c r="R2047" t="b">
        <f>AND(ISNUMBER(FIND($E2047,Tables!$I$2)), ISNUMBER(FIND($D2047,Tables!$J$2)), $E2047&lt;&gt;"")</f>
        <v>0</v>
      </c>
    </row>
    <row r="2048" spans="1:18" x14ac:dyDescent="0.25">
      <c r="A2048">
        <f>IF(AND(B2048="", D2048&lt;&gt;""), A2047, A2047+1)</f>
        <v>2042</v>
      </c>
      <c r="R2048" t="b">
        <f>AND(ISNUMBER(FIND($E2048,Tables!$I$2)), ISNUMBER(FIND($D2048,Tables!$J$2)), $E2048&lt;&gt;"")</f>
        <v>0</v>
      </c>
    </row>
    <row r="2049" spans="1:18" x14ac:dyDescent="0.25">
      <c r="A2049">
        <f>IF(AND(B2049="", D2049&lt;&gt;""), A2048, A2048+1)</f>
        <v>2043</v>
      </c>
      <c r="R2049" t="b">
        <f>AND(ISNUMBER(FIND($E2049,Tables!$I$2)), ISNUMBER(FIND($D2049,Tables!$J$2)), $E2049&lt;&gt;"")</f>
        <v>0</v>
      </c>
    </row>
    <row r="2050" spans="1:18" x14ac:dyDescent="0.25">
      <c r="A2050">
        <f>IF(AND(B2050="", D2050&lt;&gt;""), A2049, A2049+1)</f>
        <v>2044</v>
      </c>
      <c r="R2050" t="b">
        <f>AND(ISNUMBER(FIND($E2050,Tables!$I$2)), ISNUMBER(FIND($D2050,Tables!$J$2)), $E2050&lt;&gt;"")</f>
        <v>0</v>
      </c>
    </row>
    <row r="2051" spans="1:18" x14ac:dyDescent="0.25">
      <c r="A2051">
        <f>IF(AND(B2051="", D2051&lt;&gt;""), A2050, A2050+1)</f>
        <v>2045</v>
      </c>
      <c r="R2051" t="b">
        <f>AND(ISNUMBER(FIND($E2051,Tables!$I$2)), ISNUMBER(FIND($D2051,Tables!$J$2)), $E2051&lt;&gt;"")</f>
        <v>0</v>
      </c>
    </row>
    <row r="2052" spans="1:18" x14ac:dyDescent="0.25">
      <c r="A2052">
        <f>IF(AND(B2052="", D2052&lt;&gt;""), A2051, A2051+1)</f>
        <v>2046</v>
      </c>
      <c r="R2052" t="b">
        <f>AND(ISNUMBER(FIND($E2052,Tables!$I$2)), ISNUMBER(FIND($D2052,Tables!$J$2)), $E2052&lt;&gt;"")</f>
        <v>0</v>
      </c>
    </row>
    <row r="2053" spans="1:18" x14ac:dyDescent="0.25">
      <c r="A2053">
        <f>IF(AND(B2053="", D2053&lt;&gt;""), A2052, A2052+1)</f>
        <v>2047</v>
      </c>
      <c r="R2053" t="b">
        <f>AND(ISNUMBER(FIND($E2053,Tables!$I$2)), ISNUMBER(FIND($D2053,Tables!$J$2)), $E2053&lt;&gt;"")</f>
        <v>0</v>
      </c>
    </row>
    <row r="2054" spans="1:18" x14ac:dyDescent="0.25">
      <c r="A2054">
        <f>IF(AND(B2054="", D2054&lt;&gt;""), A2053, A2053+1)</f>
        <v>2048</v>
      </c>
      <c r="R2054" t="b">
        <f>AND(ISNUMBER(FIND($E2054,Tables!$I$2)), ISNUMBER(FIND($D2054,Tables!$J$2)), $E2054&lt;&gt;"")</f>
        <v>0</v>
      </c>
    </row>
    <row r="2055" spans="1:18" x14ac:dyDescent="0.25">
      <c r="A2055">
        <f>IF(AND(B2055="", D2055&lt;&gt;""), A2054, A2054+1)</f>
        <v>2049</v>
      </c>
      <c r="R2055" t="b">
        <f>AND(ISNUMBER(FIND($E2055,Tables!$I$2)), ISNUMBER(FIND($D2055,Tables!$J$2)), $E2055&lt;&gt;"")</f>
        <v>0</v>
      </c>
    </row>
    <row r="2056" spans="1:18" x14ac:dyDescent="0.25">
      <c r="A2056">
        <f>IF(AND(B2056="", D2056&lt;&gt;""), A2055, A2055+1)</f>
        <v>2050</v>
      </c>
      <c r="R2056" t="b">
        <f>AND(ISNUMBER(FIND($E2056,Tables!$I$2)), ISNUMBER(FIND($D2056,Tables!$J$2)), $E2056&lt;&gt;"")</f>
        <v>0</v>
      </c>
    </row>
    <row r="2057" spans="1:18" x14ac:dyDescent="0.25">
      <c r="A2057">
        <f>IF(AND(B2057="", D2057&lt;&gt;""), A2056, A2056+1)</f>
        <v>2051</v>
      </c>
      <c r="R2057" t="b">
        <f>AND(ISNUMBER(FIND($E2057,Tables!$I$2)), ISNUMBER(FIND($D2057,Tables!$J$2)), $E2057&lt;&gt;"")</f>
        <v>0</v>
      </c>
    </row>
    <row r="2058" spans="1:18" x14ac:dyDescent="0.25">
      <c r="A2058">
        <f>IF(AND(B2058="", D2058&lt;&gt;""), A2057, A2057+1)</f>
        <v>2052</v>
      </c>
      <c r="R2058" t="b">
        <f>AND(ISNUMBER(FIND($E2058,Tables!$I$2)), ISNUMBER(FIND($D2058,Tables!$J$2)), $E2058&lt;&gt;"")</f>
        <v>0</v>
      </c>
    </row>
    <row r="2059" spans="1:18" x14ac:dyDescent="0.25">
      <c r="A2059">
        <f>IF(AND(B2059="", D2059&lt;&gt;""), A2058, A2058+1)</f>
        <v>2053</v>
      </c>
      <c r="R2059" t="b">
        <f>AND(ISNUMBER(FIND($E2059,Tables!$I$2)), ISNUMBER(FIND($D2059,Tables!$J$2)), $E2059&lt;&gt;"")</f>
        <v>0</v>
      </c>
    </row>
    <row r="2060" spans="1:18" x14ac:dyDescent="0.25">
      <c r="A2060">
        <f>IF(AND(B2060="", D2060&lt;&gt;""), A2059, A2059+1)</f>
        <v>2054</v>
      </c>
      <c r="R2060" t="b">
        <f>AND(ISNUMBER(FIND($E2060,Tables!$I$2)), ISNUMBER(FIND($D2060,Tables!$J$2)), $E2060&lt;&gt;"")</f>
        <v>0</v>
      </c>
    </row>
    <row r="2061" spans="1:18" x14ac:dyDescent="0.25">
      <c r="A2061">
        <f>IF(AND(B2061="", D2061&lt;&gt;""), A2060, A2060+1)</f>
        <v>2055</v>
      </c>
      <c r="R2061" t="b">
        <f>AND(ISNUMBER(FIND($E2061,Tables!$I$2)), ISNUMBER(FIND($D2061,Tables!$J$2)), $E2061&lt;&gt;"")</f>
        <v>0</v>
      </c>
    </row>
    <row r="2062" spans="1:18" x14ac:dyDescent="0.25">
      <c r="A2062">
        <f>IF(AND(B2062="", D2062&lt;&gt;""), A2061, A2061+1)</f>
        <v>2056</v>
      </c>
      <c r="R2062" t="b">
        <f>AND(ISNUMBER(FIND($E2062,Tables!$I$2)), ISNUMBER(FIND($D2062,Tables!$J$2)), $E2062&lt;&gt;"")</f>
        <v>0</v>
      </c>
    </row>
    <row r="2063" spans="1:18" x14ac:dyDescent="0.25">
      <c r="A2063">
        <f>IF(AND(B2063="", D2063&lt;&gt;""), A2062, A2062+1)</f>
        <v>2057</v>
      </c>
      <c r="R2063" t="b">
        <f>AND(ISNUMBER(FIND($E2063,Tables!$I$2)), ISNUMBER(FIND($D2063,Tables!$J$2)), $E2063&lt;&gt;"")</f>
        <v>0</v>
      </c>
    </row>
    <row r="2064" spans="1:18" x14ac:dyDescent="0.25">
      <c r="A2064">
        <f>IF(AND(B2064="", D2064&lt;&gt;""), A2063, A2063+1)</f>
        <v>2058</v>
      </c>
      <c r="R2064" t="b">
        <f>AND(ISNUMBER(FIND($E2064,Tables!$I$2)), ISNUMBER(FIND($D2064,Tables!$J$2)), $E2064&lt;&gt;"")</f>
        <v>0</v>
      </c>
    </row>
    <row r="2065" spans="1:18" x14ac:dyDescent="0.25">
      <c r="A2065">
        <f>IF(AND(B2065="", D2065&lt;&gt;""), A2064, A2064+1)</f>
        <v>2059</v>
      </c>
      <c r="R2065" t="b">
        <f>AND(ISNUMBER(FIND($E2065,Tables!$I$2)), ISNUMBER(FIND($D2065,Tables!$J$2)), $E2065&lt;&gt;"")</f>
        <v>0</v>
      </c>
    </row>
    <row r="2066" spans="1:18" x14ac:dyDescent="0.25">
      <c r="A2066">
        <f>IF(AND(B2066="", D2066&lt;&gt;""), A2065, A2065+1)</f>
        <v>2060</v>
      </c>
      <c r="R2066" t="b">
        <f>AND(ISNUMBER(FIND($E2066,Tables!$I$2)), ISNUMBER(FIND($D2066,Tables!$J$2)), $E2066&lt;&gt;"")</f>
        <v>0</v>
      </c>
    </row>
    <row r="2067" spans="1:18" x14ac:dyDescent="0.25">
      <c r="A2067">
        <f>IF(AND(B2067="", D2067&lt;&gt;""), A2066, A2066+1)</f>
        <v>2061</v>
      </c>
      <c r="R2067" t="b">
        <f>AND(ISNUMBER(FIND($E2067,Tables!$I$2)), ISNUMBER(FIND($D2067,Tables!$J$2)), $E2067&lt;&gt;"")</f>
        <v>0</v>
      </c>
    </row>
    <row r="2068" spans="1:18" x14ac:dyDescent="0.25">
      <c r="A2068">
        <f>IF(AND(B2068="", D2068&lt;&gt;""), A2067, A2067+1)</f>
        <v>2062</v>
      </c>
      <c r="R2068" t="b">
        <f>AND(ISNUMBER(FIND($E2068,Tables!$I$2)), ISNUMBER(FIND($D2068,Tables!$J$2)), $E2068&lt;&gt;"")</f>
        <v>0</v>
      </c>
    </row>
    <row r="2069" spans="1:18" x14ac:dyDescent="0.25">
      <c r="A2069">
        <f>IF(AND(B2069="", D2069&lt;&gt;""), A2068, A2068+1)</f>
        <v>2063</v>
      </c>
      <c r="R2069" t="b">
        <f>AND(ISNUMBER(FIND($E2069,Tables!$I$2)), ISNUMBER(FIND($D2069,Tables!$J$2)), $E2069&lt;&gt;"")</f>
        <v>0</v>
      </c>
    </row>
    <row r="2070" spans="1:18" x14ac:dyDescent="0.25">
      <c r="A2070">
        <f>IF(AND(B2070="", D2070&lt;&gt;""), A2069, A2069+1)</f>
        <v>2064</v>
      </c>
      <c r="R2070" t="b">
        <f>AND(ISNUMBER(FIND($E2070,Tables!$I$2)), ISNUMBER(FIND($D2070,Tables!$J$2)), $E2070&lt;&gt;"")</f>
        <v>0</v>
      </c>
    </row>
    <row r="2071" spans="1:18" x14ac:dyDescent="0.25">
      <c r="A2071">
        <f>IF(AND(B2071="", D2071&lt;&gt;""), A2070, A2070+1)</f>
        <v>2065</v>
      </c>
      <c r="R2071" t="b">
        <f>AND(ISNUMBER(FIND($E2071,Tables!$I$2)), ISNUMBER(FIND($D2071,Tables!$J$2)), $E2071&lt;&gt;"")</f>
        <v>0</v>
      </c>
    </row>
    <row r="2072" spans="1:18" x14ac:dyDescent="0.25">
      <c r="A2072">
        <f>IF(AND(B2072="", D2072&lt;&gt;""), A2071, A2071+1)</f>
        <v>2066</v>
      </c>
      <c r="R2072" t="b">
        <f>AND(ISNUMBER(FIND($E2072,Tables!$I$2)), ISNUMBER(FIND($D2072,Tables!$J$2)), $E2072&lt;&gt;"")</f>
        <v>0</v>
      </c>
    </row>
    <row r="2073" spans="1:18" x14ac:dyDescent="0.25">
      <c r="A2073">
        <f>IF(AND(B2073="", D2073&lt;&gt;""), A2072, A2072+1)</f>
        <v>2067</v>
      </c>
      <c r="R2073" t="b">
        <f>AND(ISNUMBER(FIND($E2073,Tables!$I$2)), ISNUMBER(FIND($D2073,Tables!$J$2)), $E2073&lt;&gt;"")</f>
        <v>0</v>
      </c>
    </row>
    <row r="2074" spans="1:18" x14ac:dyDescent="0.25">
      <c r="A2074">
        <f>IF(AND(B2074="", D2074&lt;&gt;""), A2073, A2073+1)</f>
        <v>2068</v>
      </c>
      <c r="R2074" t="b">
        <f>AND(ISNUMBER(FIND($E2074,Tables!$I$2)), ISNUMBER(FIND($D2074,Tables!$J$2)), $E2074&lt;&gt;"")</f>
        <v>0</v>
      </c>
    </row>
    <row r="2075" spans="1:18" x14ac:dyDescent="0.25">
      <c r="A2075">
        <f>IF(AND(B2075="", D2075&lt;&gt;""), A2074, A2074+1)</f>
        <v>2069</v>
      </c>
      <c r="R2075" t="b">
        <f>AND(ISNUMBER(FIND($E2075,Tables!$I$2)), ISNUMBER(FIND($D2075,Tables!$J$2)), $E2075&lt;&gt;"")</f>
        <v>0</v>
      </c>
    </row>
    <row r="2076" spans="1:18" x14ac:dyDescent="0.25">
      <c r="A2076">
        <f>IF(AND(B2076="", D2076&lt;&gt;""), A2075, A2075+1)</f>
        <v>2070</v>
      </c>
      <c r="R2076" t="b">
        <f>AND(ISNUMBER(FIND($E2076,Tables!$I$2)), ISNUMBER(FIND($D2076,Tables!$J$2)), $E2076&lt;&gt;"")</f>
        <v>0</v>
      </c>
    </row>
    <row r="2077" spans="1:18" x14ac:dyDescent="0.25">
      <c r="A2077">
        <f>IF(AND(B2077="", D2077&lt;&gt;""), A2076, A2076+1)</f>
        <v>2071</v>
      </c>
      <c r="R2077" t="b">
        <f>AND(ISNUMBER(FIND($E2077,Tables!$I$2)), ISNUMBER(FIND($D2077,Tables!$J$2)), $E2077&lt;&gt;"")</f>
        <v>0</v>
      </c>
    </row>
    <row r="2078" spans="1:18" x14ac:dyDescent="0.25">
      <c r="A2078">
        <f>IF(AND(B2078="", D2078&lt;&gt;""), A2077, A2077+1)</f>
        <v>2072</v>
      </c>
      <c r="R2078" t="b">
        <f>AND(ISNUMBER(FIND($E2078,Tables!$I$2)), ISNUMBER(FIND($D2078,Tables!$J$2)), $E2078&lt;&gt;"")</f>
        <v>0</v>
      </c>
    </row>
    <row r="2079" spans="1:18" x14ac:dyDescent="0.25">
      <c r="A2079">
        <f>IF(AND(B2079="", D2079&lt;&gt;""), A2078, A2078+1)</f>
        <v>2073</v>
      </c>
      <c r="R2079" t="b">
        <f>AND(ISNUMBER(FIND($E2079,Tables!$I$2)), ISNUMBER(FIND($D2079,Tables!$J$2)), $E2079&lt;&gt;"")</f>
        <v>0</v>
      </c>
    </row>
    <row r="2080" spans="1:18" x14ac:dyDescent="0.25">
      <c r="A2080">
        <f>IF(AND(B2080="", D2080&lt;&gt;""), A2079, A2079+1)</f>
        <v>2074</v>
      </c>
      <c r="R2080" t="b">
        <f>AND(ISNUMBER(FIND($E2080,Tables!$I$2)), ISNUMBER(FIND($D2080,Tables!$J$2)), $E2080&lt;&gt;"")</f>
        <v>0</v>
      </c>
    </row>
    <row r="2081" spans="1:18" x14ac:dyDescent="0.25">
      <c r="A2081">
        <f>IF(AND(B2081="", D2081&lt;&gt;""), A2080, A2080+1)</f>
        <v>2075</v>
      </c>
      <c r="R2081" t="b">
        <f>AND(ISNUMBER(FIND($E2081,Tables!$I$2)), ISNUMBER(FIND($D2081,Tables!$J$2)), $E2081&lt;&gt;"")</f>
        <v>0</v>
      </c>
    </row>
    <row r="2082" spans="1:18" x14ac:dyDescent="0.25">
      <c r="A2082">
        <f>IF(AND(B2082="", D2082&lt;&gt;""), A2081, A2081+1)</f>
        <v>2076</v>
      </c>
      <c r="R2082" t="b">
        <f>AND(ISNUMBER(FIND($E2082,Tables!$I$2)), ISNUMBER(FIND($D2082,Tables!$J$2)), $E2082&lt;&gt;"")</f>
        <v>0</v>
      </c>
    </row>
    <row r="2083" spans="1:18" x14ac:dyDescent="0.25">
      <c r="A2083">
        <f>IF(AND(B2083="", D2083&lt;&gt;""), A2082, A2082+1)</f>
        <v>2077</v>
      </c>
      <c r="R2083" t="b">
        <f>AND(ISNUMBER(FIND($E2083,Tables!$I$2)), ISNUMBER(FIND($D2083,Tables!$J$2)), $E2083&lt;&gt;"")</f>
        <v>0</v>
      </c>
    </row>
    <row r="2084" spans="1:18" x14ac:dyDescent="0.25">
      <c r="A2084">
        <f>IF(AND(B2084="", D2084&lt;&gt;""), A2083, A2083+1)</f>
        <v>2078</v>
      </c>
      <c r="R2084" t="b">
        <f>AND(ISNUMBER(FIND($E2084,Tables!$I$2)), ISNUMBER(FIND($D2084,Tables!$J$2)), $E2084&lt;&gt;"")</f>
        <v>0</v>
      </c>
    </row>
    <row r="2085" spans="1:18" x14ac:dyDescent="0.25">
      <c r="A2085">
        <f>IF(AND(B2085="", D2085&lt;&gt;""), A2084, A2084+1)</f>
        <v>2079</v>
      </c>
      <c r="R2085" t="b">
        <f>AND(ISNUMBER(FIND($E2085,Tables!$I$2)), ISNUMBER(FIND($D2085,Tables!$J$2)), $E2085&lt;&gt;"")</f>
        <v>0</v>
      </c>
    </row>
    <row r="2086" spans="1:18" x14ac:dyDescent="0.25">
      <c r="A2086">
        <f>IF(AND(B2086="", D2086&lt;&gt;""), A2085, A2085+1)</f>
        <v>2080</v>
      </c>
      <c r="R2086" t="b">
        <f>AND(ISNUMBER(FIND($E2086,Tables!$I$2)), ISNUMBER(FIND($D2086,Tables!$J$2)), $E2086&lt;&gt;"")</f>
        <v>0</v>
      </c>
    </row>
    <row r="2087" spans="1:18" x14ac:dyDescent="0.25">
      <c r="A2087">
        <f>IF(AND(B2087="", D2087&lt;&gt;""), A2086, A2086+1)</f>
        <v>2081</v>
      </c>
      <c r="R2087" t="b">
        <f>AND(ISNUMBER(FIND($E2087,Tables!$I$2)), ISNUMBER(FIND($D2087,Tables!$J$2)), $E2087&lt;&gt;"")</f>
        <v>0</v>
      </c>
    </row>
    <row r="2088" spans="1:18" x14ac:dyDescent="0.25">
      <c r="A2088">
        <f>IF(AND(B2088="", D2088&lt;&gt;""), A2087, A2087+1)</f>
        <v>2082</v>
      </c>
      <c r="R2088" t="b">
        <f>AND(ISNUMBER(FIND($E2088,Tables!$I$2)), ISNUMBER(FIND($D2088,Tables!$J$2)), $E2088&lt;&gt;"")</f>
        <v>0</v>
      </c>
    </row>
    <row r="2089" spans="1:18" x14ac:dyDescent="0.25">
      <c r="A2089">
        <f>IF(AND(B2089="", D2089&lt;&gt;""), A2088, A2088+1)</f>
        <v>2083</v>
      </c>
      <c r="R2089" t="b">
        <f>AND(ISNUMBER(FIND($E2089,Tables!$I$2)), ISNUMBER(FIND($D2089,Tables!$J$2)), $E2089&lt;&gt;"")</f>
        <v>0</v>
      </c>
    </row>
    <row r="2090" spans="1:18" x14ac:dyDescent="0.25">
      <c r="A2090">
        <f>IF(AND(B2090="", D2090&lt;&gt;""), A2089, A2089+1)</f>
        <v>2084</v>
      </c>
      <c r="R2090" t="b">
        <f>AND(ISNUMBER(FIND($E2090,Tables!$I$2)), ISNUMBER(FIND($D2090,Tables!$J$2)), $E2090&lt;&gt;"")</f>
        <v>0</v>
      </c>
    </row>
    <row r="2091" spans="1:18" x14ac:dyDescent="0.25">
      <c r="A2091">
        <f>IF(AND(B2091="", D2091&lt;&gt;""), A2090, A2090+1)</f>
        <v>2085</v>
      </c>
      <c r="R2091" t="b">
        <f>AND(ISNUMBER(FIND($E2091,Tables!$I$2)), ISNUMBER(FIND($D2091,Tables!$J$2)), $E2091&lt;&gt;"")</f>
        <v>0</v>
      </c>
    </row>
    <row r="2092" spans="1:18" x14ac:dyDescent="0.25">
      <c r="A2092">
        <f>IF(AND(B2092="", D2092&lt;&gt;""), A2091, A2091+1)</f>
        <v>2086</v>
      </c>
      <c r="R2092" t="b">
        <f>AND(ISNUMBER(FIND($E2092,Tables!$I$2)), ISNUMBER(FIND($D2092,Tables!$J$2)), $E2092&lt;&gt;"")</f>
        <v>0</v>
      </c>
    </row>
    <row r="2093" spans="1:18" x14ac:dyDescent="0.25">
      <c r="A2093">
        <f>IF(AND(B2093="", D2093&lt;&gt;""), A2092, A2092+1)</f>
        <v>2087</v>
      </c>
      <c r="R2093" t="b">
        <f>AND(ISNUMBER(FIND($E2093,Tables!$I$2)), ISNUMBER(FIND($D2093,Tables!$J$2)), $E2093&lt;&gt;"")</f>
        <v>0</v>
      </c>
    </row>
    <row r="2094" spans="1:18" x14ac:dyDescent="0.25">
      <c r="A2094">
        <f>IF(AND(B2094="", D2094&lt;&gt;""), A2093, A2093+1)</f>
        <v>2088</v>
      </c>
      <c r="R2094" t="b">
        <f>AND(ISNUMBER(FIND($E2094,Tables!$I$2)), ISNUMBER(FIND($D2094,Tables!$J$2)), $E2094&lt;&gt;"")</f>
        <v>0</v>
      </c>
    </row>
    <row r="2095" spans="1:18" x14ac:dyDescent="0.25">
      <c r="A2095">
        <f>IF(AND(B2095="", D2095&lt;&gt;""), A2094, A2094+1)</f>
        <v>2089</v>
      </c>
      <c r="R2095" t="b">
        <f>AND(ISNUMBER(FIND($E2095,Tables!$I$2)), ISNUMBER(FIND($D2095,Tables!$J$2)), $E2095&lt;&gt;"")</f>
        <v>0</v>
      </c>
    </row>
    <row r="2096" spans="1:18" x14ac:dyDescent="0.25">
      <c r="A2096">
        <f>IF(AND(B2096="", D2096&lt;&gt;""), A2095, A2095+1)</f>
        <v>2090</v>
      </c>
      <c r="R2096" t="b">
        <f>AND(ISNUMBER(FIND($E2096,Tables!$I$2)), ISNUMBER(FIND($D2096,Tables!$J$2)), $E2096&lt;&gt;"")</f>
        <v>0</v>
      </c>
    </row>
    <row r="2097" spans="1:18" x14ac:dyDescent="0.25">
      <c r="A2097">
        <f>IF(AND(B2097="", D2097&lt;&gt;""), A2096, A2096+1)</f>
        <v>2091</v>
      </c>
      <c r="R2097" t="b">
        <f>AND(ISNUMBER(FIND($E2097,Tables!$I$2)), ISNUMBER(FIND($D2097,Tables!$J$2)), $E2097&lt;&gt;"")</f>
        <v>0</v>
      </c>
    </row>
    <row r="2098" spans="1:18" x14ac:dyDescent="0.25">
      <c r="A2098">
        <f>IF(AND(B2098="", D2098&lt;&gt;""), A2097, A2097+1)</f>
        <v>2092</v>
      </c>
      <c r="R2098" t="b">
        <f>AND(ISNUMBER(FIND($E2098,Tables!$I$2)), ISNUMBER(FIND($D2098,Tables!$J$2)), $E2098&lt;&gt;"")</f>
        <v>0</v>
      </c>
    </row>
    <row r="2099" spans="1:18" x14ac:dyDescent="0.25">
      <c r="A2099">
        <f>IF(AND(B2099="", D2099&lt;&gt;""), A2098, A2098+1)</f>
        <v>2093</v>
      </c>
      <c r="R2099" t="b">
        <f>AND(ISNUMBER(FIND($E2099,Tables!$I$2)), ISNUMBER(FIND($D2099,Tables!$J$2)), $E2099&lt;&gt;"")</f>
        <v>0</v>
      </c>
    </row>
    <row r="2100" spans="1:18" x14ac:dyDescent="0.25">
      <c r="A2100">
        <f>IF(AND(B2100="", D2100&lt;&gt;""), A2099, A2099+1)</f>
        <v>2094</v>
      </c>
      <c r="R2100" t="b">
        <f>AND(ISNUMBER(FIND($E2100,Tables!$I$2)), ISNUMBER(FIND($D2100,Tables!$J$2)), $E2100&lt;&gt;"")</f>
        <v>0</v>
      </c>
    </row>
    <row r="2101" spans="1:18" x14ac:dyDescent="0.25">
      <c r="A2101">
        <f>IF(AND(B2101="", D2101&lt;&gt;""), A2100, A2100+1)</f>
        <v>2095</v>
      </c>
      <c r="R2101" t="b">
        <f>AND(ISNUMBER(FIND($E2101,Tables!$I$2)), ISNUMBER(FIND($D2101,Tables!$J$2)), $E2101&lt;&gt;"")</f>
        <v>0</v>
      </c>
    </row>
    <row r="2102" spans="1:18" x14ac:dyDescent="0.25">
      <c r="A2102">
        <f>IF(AND(B2102="", D2102&lt;&gt;""), A2101, A2101+1)</f>
        <v>2096</v>
      </c>
      <c r="R2102" t="b">
        <f>AND(ISNUMBER(FIND($E2102,Tables!$I$2)), ISNUMBER(FIND($D2102,Tables!$J$2)), $E2102&lt;&gt;"")</f>
        <v>0</v>
      </c>
    </row>
    <row r="2103" spans="1:18" x14ac:dyDescent="0.25">
      <c r="A2103">
        <f>IF(AND(B2103="", D2103&lt;&gt;""), A2102, A2102+1)</f>
        <v>2097</v>
      </c>
      <c r="R2103" t="b">
        <f>AND(ISNUMBER(FIND($E2103,Tables!$I$2)), ISNUMBER(FIND($D2103,Tables!$J$2)), $E2103&lt;&gt;"")</f>
        <v>0</v>
      </c>
    </row>
    <row r="2104" spans="1:18" x14ac:dyDescent="0.25">
      <c r="A2104">
        <f>IF(AND(B2104="", D2104&lt;&gt;""), A2103, A2103+1)</f>
        <v>2098</v>
      </c>
      <c r="R2104" t="b">
        <f>AND(ISNUMBER(FIND($E2104,Tables!$I$2)), ISNUMBER(FIND($D2104,Tables!$J$2)), $E2104&lt;&gt;"")</f>
        <v>0</v>
      </c>
    </row>
    <row r="2105" spans="1:18" x14ac:dyDescent="0.25">
      <c r="A2105">
        <f>IF(AND(B2105="", D2105&lt;&gt;""), A2104, A2104+1)</f>
        <v>2099</v>
      </c>
      <c r="R2105" t="b">
        <f>AND(ISNUMBER(FIND($E2105,Tables!$I$2)), ISNUMBER(FIND($D2105,Tables!$J$2)), $E2105&lt;&gt;"")</f>
        <v>0</v>
      </c>
    </row>
    <row r="2106" spans="1:18" x14ac:dyDescent="0.25">
      <c r="A2106">
        <f>IF(AND(B2106="", D2106&lt;&gt;""), A2105, A2105+1)</f>
        <v>2100</v>
      </c>
      <c r="R2106" t="b">
        <f>AND(ISNUMBER(FIND($E2106,Tables!$I$2)), ISNUMBER(FIND($D2106,Tables!$J$2)), $E2106&lt;&gt;"")</f>
        <v>0</v>
      </c>
    </row>
    <row r="2107" spans="1:18" x14ac:dyDescent="0.25">
      <c r="A2107">
        <f>IF(AND(B2107="", D2107&lt;&gt;""), A2106, A2106+1)</f>
        <v>2101</v>
      </c>
      <c r="R2107" t="b">
        <f>AND(ISNUMBER(FIND($E2107,Tables!$I$2)), ISNUMBER(FIND($D2107,Tables!$J$2)), $E2107&lt;&gt;"")</f>
        <v>0</v>
      </c>
    </row>
    <row r="2108" spans="1:18" x14ac:dyDescent="0.25">
      <c r="A2108">
        <f>IF(AND(B2108="", D2108&lt;&gt;""), A2107, A2107+1)</f>
        <v>2102</v>
      </c>
      <c r="R2108" t="b">
        <f>AND(ISNUMBER(FIND($E2108,Tables!$I$2)), ISNUMBER(FIND($D2108,Tables!$J$2)), $E2108&lt;&gt;"")</f>
        <v>0</v>
      </c>
    </row>
    <row r="2109" spans="1:18" x14ac:dyDescent="0.25">
      <c r="A2109">
        <f>IF(AND(B2109="", D2109&lt;&gt;""), A2108, A2108+1)</f>
        <v>2103</v>
      </c>
      <c r="R2109" t="b">
        <f>AND(ISNUMBER(FIND($E2109,Tables!$I$2)), ISNUMBER(FIND($D2109,Tables!$J$2)), $E2109&lt;&gt;"")</f>
        <v>0</v>
      </c>
    </row>
    <row r="2110" spans="1:18" x14ac:dyDescent="0.25">
      <c r="A2110">
        <f>IF(AND(B2110="", D2110&lt;&gt;""), A2109, A2109+1)</f>
        <v>2104</v>
      </c>
      <c r="R2110" t="b">
        <f>AND(ISNUMBER(FIND($E2110,Tables!$I$2)), ISNUMBER(FIND($D2110,Tables!$J$2)), $E2110&lt;&gt;"")</f>
        <v>0</v>
      </c>
    </row>
    <row r="2111" spans="1:18" x14ac:dyDescent="0.25">
      <c r="A2111">
        <f>IF(AND(B2111="", D2111&lt;&gt;""), A2110, A2110+1)</f>
        <v>2105</v>
      </c>
      <c r="R2111" t="b">
        <f>AND(ISNUMBER(FIND($E2111,Tables!$I$2)), ISNUMBER(FIND($D2111,Tables!$J$2)), $E2111&lt;&gt;"")</f>
        <v>0</v>
      </c>
    </row>
    <row r="2112" spans="1:18" x14ac:dyDescent="0.25">
      <c r="A2112">
        <f>IF(AND(B2112="", D2112&lt;&gt;""), A2111, A2111+1)</f>
        <v>2106</v>
      </c>
      <c r="R2112" t="b">
        <f>AND(ISNUMBER(FIND($E2112,Tables!$I$2)), ISNUMBER(FIND($D2112,Tables!$J$2)), $E2112&lt;&gt;"")</f>
        <v>0</v>
      </c>
    </row>
    <row r="2113" spans="1:18" x14ac:dyDescent="0.25">
      <c r="A2113">
        <f>IF(AND(B2113="", D2113&lt;&gt;""), A2112, A2112+1)</f>
        <v>2107</v>
      </c>
      <c r="R2113" t="b">
        <f>AND(ISNUMBER(FIND($E2113,Tables!$I$2)), ISNUMBER(FIND($D2113,Tables!$J$2)), $E2113&lt;&gt;"")</f>
        <v>0</v>
      </c>
    </row>
    <row r="2114" spans="1:18" x14ac:dyDescent="0.25">
      <c r="A2114">
        <f>IF(AND(B2114="", D2114&lt;&gt;""), A2113, A2113+1)</f>
        <v>2108</v>
      </c>
      <c r="R2114" t="b">
        <f>AND(ISNUMBER(FIND($E2114,Tables!$I$2)), ISNUMBER(FIND($D2114,Tables!$J$2)), $E2114&lt;&gt;"")</f>
        <v>0</v>
      </c>
    </row>
    <row r="2115" spans="1:18" x14ac:dyDescent="0.25">
      <c r="A2115">
        <f>IF(AND(B2115="", D2115&lt;&gt;""), A2114, A2114+1)</f>
        <v>2109</v>
      </c>
      <c r="R2115" t="b">
        <f>AND(ISNUMBER(FIND($E2115,Tables!$I$2)), ISNUMBER(FIND($D2115,Tables!$J$2)), $E2115&lt;&gt;"")</f>
        <v>0</v>
      </c>
    </row>
    <row r="2116" spans="1:18" x14ac:dyDescent="0.25">
      <c r="A2116">
        <f>IF(AND(B2116="", D2116&lt;&gt;""), A2115, A2115+1)</f>
        <v>2110</v>
      </c>
      <c r="R2116" t="b">
        <f>AND(ISNUMBER(FIND($E2116,Tables!$I$2)), ISNUMBER(FIND($D2116,Tables!$J$2)), $E2116&lt;&gt;"")</f>
        <v>0</v>
      </c>
    </row>
    <row r="2117" spans="1:18" x14ac:dyDescent="0.25">
      <c r="A2117">
        <f>IF(AND(B2117="", D2117&lt;&gt;""), A2116, A2116+1)</f>
        <v>2111</v>
      </c>
      <c r="R2117" t="b">
        <f>AND(ISNUMBER(FIND($E2117,Tables!$I$2)), ISNUMBER(FIND($D2117,Tables!$J$2)), $E2117&lt;&gt;"")</f>
        <v>0</v>
      </c>
    </row>
    <row r="2118" spans="1:18" x14ac:dyDescent="0.25">
      <c r="A2118">
        <f>IF(AND(B2118="", D2118&lt;&gt;""), A2117, A2117+1)</f>
        <v>2112</v>
      </c>
      <c r="R2118" t="b">
        <f>AND(ISNUMBER(FIND($E2118,Tables!$I$2)), ISNUMBER(FIND($D2118,Tables!$J$2)), $E2118&lt;&gt;"")</f>
        <v>0</v>
      </c>
    </row>
    <row r="2119" spans="1:18" x14ac:dyDescent="0.25">
      <c r="A2119">
        <f>IF(AND(B2119="", D2119&lt;&gt;""), A2118, A2118+1)</f>
        <v>2113</v>
      </c>
      <c r="R2119" t="b">
        <f>AND(ISNUMBER(FIND($E2119,Tables!$I$2)), ISNUMBER(FIND($D2119,Tables!$J$2)), $E2119&lt;&gt;"")</f>
        <v>0</v>
      </c>
    </row>
    <row r="2120" spans="1:18" x14ac:dyDescent="0.25">
      <c r="A2120">
        <f>IF(AND(B2120="", D2120&lt;&gt;""), A2119, A2119+1)</f>
        <v>2114</v>
      </c>
      <c r="R2120" t="b">
        <f>AND(ISNUMBER(FIND($E2120,Tables!$I$2)), ISNUMBER(FIND($D2120,Tables!$J$2)), $E2120&lt;&gt;"")</f>
        <v>0</v>
      </c>
    </row>
    <row r="2121" spans="1:18" x14ac:dyDescent="0.25">
      <c r="A2121">
        <f>IF(AND(B2121="", D2121&lt;&gt;""), A2120, A2120+1)</f>
        <v>2115</v>
      </c>
      <c r="R2121" t="b">
        <f>AND(ISNUMBER(FIND($E2121,Tables!$I$2)), ISNUMBER(FIND($D2121,Tables!$J$2)), $E2121&lt;&gt;"")</f>
        <v>0</v>
      </c>
    </row>
    <row r="2122" spans="1:18" x14ac:dyDescent="0.25">
      <c r="A2122">
        <f>IF(AND(B2122="", D2122&lt;&gt;""), A2121, A2121+1)</f>
        <v>2116</v>
      </c>
      <c r="R2122" t="b">
        <f>AND(ISNUMBER(FIND($E2122,Tables!$I$2)), ISNUMBER(FIND($D2122,Tables!$J$2)), $E2122&lt;&gt;"")</f>
        <v>0</v>
      </c>
    </row>
    <row r="2123" spans="1:18" x14ac:dyDescent="0.25">
      <c r="A2123">
        <f>IF(AND(B2123="", D2123&lt;&gt;""), A2122, A2122+1)</f>
        <v>2117</v>
      </c>
      <c r="R2123" t="b">
        <f>AND(ISNUMBER(FIND($E2123,Tables!$I$2)), ISNUMBER(FIND($D2123,Tables!$J$2)), $E2123&lt;&gt;"")</f>
        <v>0</v>
      </c>
    </row>
    <row r="2124" spans="1:18" x14ac:dyDescent="0.25">
      <c r="A2124">
        <f>IF(AND(B2124="", D2124&lt;&gt;""), A2123, A2123+1)</f>
        <v>2118</v>
      </c>
      <c r="R2124" t="b">
        <f>AND(ISNUMBER(FIND($E2124,Tables!$I$2)), ISNUMBER(FIND($D2124,Tables!$J$2)), $E2124&lt;&gt;"")</f>
        <v>0</v>
      </c>
    </row>
    <row r="2125" spans="1:18" x14ac:dyDescent="0.25">
      <c r="A2125">
        <f>IF(AND(B2125="", D2125&lt;&gt;""), A2124, A2124+1)</f>
        <v>2119</v>
      </c>
      <c r="R2125" t="b">
        <f>AND(ISNUMBER(FIND($E2125,Tables!$I$2)), ISNUMBER(FIND($D2125,Tables!$J$2)), $E2125&lt;&gt;"")</f>
        <v>0</v>
      </c>
    </row>
    <row r="2126" spans="1:18" x14ac:dyDescent="0.25">
      <c r="A2126">
        <f>IF(AND(B2126="", D2126&lt;&gt;""), A2125, A2125+1)</f>
        <v>2120</v>
      </c>
      <c r="R2126" t="b">
        <f>AND(ISNUMBER(FIND($E2126,Tables!$I$2)), ISNUMBER(FIND($D2126,Tables!$J$2)), $E2126&lt;&gt;"")</f>
        <v>0</v>
      </c>
    </row>
    <row r="2127" spans="1:18" x14ac:dyDescent="0.25">
      <c r="A2127">
        <f>IF(AND(B2127="", D2127&lt;&gt;""), A2126, A2126+1)</f>
        <v>2121</v>
      </c>
      <c r="R2127" t="b">
        <f>AND(ISNUMBER(FIND($E2127,Tables!$I$2)), ISNUMBER(FIND($D2127,Tables!$J$2)), $E2127&lt;&gt;"")</f>
        <v>0</v>
      </c>
    </row>
    <row r="2128" spans="1:18" x14ac:dyDescent="0.25">
      <c r="A2128">
        <f>IF(AND(B2128="", D2128&lt;&gt;""), A2127, A2127+1)</f>
        <v>2122</v>
      </c>
      <c r="R2128" t="b">
        <f>AND(ISNUMBER(FIND($E2128,Tables!$I$2)), ISNUMBER(FIND($D2128,Tables!$J$2)), $E2128&lt;&gt;"")</f>
        <v>0</v>
      </c>
    </row>
    <row r="2129" spans="1:18" x14ac:dyDescent="0.25">
      <c r="A2129">
        <f>IF(AND(B2129="", D2129&lt;&gt;""), A2128, A2128+1)</f>
        <v>2123</v>
      </c>
      <c r="R2129" t="b">
        <f>AND(ISNUMBER(FIND($E2129,Tables!$I$2)), ISNUMBER(FIND($D2129,Tables!$J$2)), $E2129&lt;&gt;"")</f>
        <v>0</v>
      </c>
    </row>
    <row r="2130" spans="1:18" x14ac:dyDescent="0.25">
      <c r="A2130">
        <f>IF(AND(B2130="", D2130&lt;&gt;""), A2129, A2129+1)</f>
        <v>2124</v>
      </c>
      <c r="R2130" t="b">
        <f>AND(ISNUMBER(FIND($E2130,Tables!$I$2)), ISNUMBER(FIND($D2130,Tables!$J$2)), $E2130&lt;&gt;"")</f>
        <v>0</v>
      </c>
    </row>
    <row r="2131" spans="1:18" x14ac:dyDescent="0.25">
      <c r="A2131">
        <f>IF(AND(B2131="", D2131&lt;&gt;""), A2130, A2130+1)</f>
        <v>2125</v>
      </c>
      <c r="R2131" t="b">
        <f>AND(ISNUMBER(FIND($E2131,Tables!$I$2)), ISNUMBER(FIND($D2131,Tables!$J$2)), $E2131&lt;&gt;"")</f>
        <v>0</v>
      </c>
    </row>
    <row r="2132" spans="1:18" x14ac:dyDescent="0.25">
      <c r="A2132">
        <f>IF(AND(B2132="", D2132&lt;&gt;""), A2131, A2131+1)</f>
        <v>2126</v>
      </c>
      <c r="R2132" t="b">
        <f>AND(ISNUMBER(FIND($E2132,Tables!$I$2)), ISNUMBER(FIND($D2132,Tables!$J$2)), $E2132&lt;&gt;"")</f>
        <v>0</v>
      </c>
    </row>
    <row r="2133" spans="1:18" x14ac:dyDescent="0.25">
      <c r="A2133">
        <f>IF(AND(B2133="", D2133&lt;&gt;""), A2132, A2132+1)</f>
        <v>2127</v>
      </c>
      <c r="R2133" t="b">
        <f>AND(ISNUMBER(FIND($E2133,Tables!$I$2)), ISNUMBER(FIND($D2133,Tables!$J$2)), $E2133&lt;&gt;"")</f>
        <v>0</v>
      </c>
    </row>
    <row r="2134" spans="1:18" x14ac:dyDescent="0.25">
      <c r="A2134">
        <f>IF(AND(B2134="", D2134&lt;&gt;""), A2133, A2133+1)</f>
        <v>2128</v>
      </c>
      <c r="R2134" t="b">
        <f>AND(ISNUMBER(FIND($E2134,Tables!$I$2)), ISNUMBER(FIND($D2134,Tables!$J$2)), $E2134&lt;&gt;"")</f>
        <v>0</v>
      </c>
    </row>
    <row r="2135" spans="1:18" x14ac:dyDescent="0.25">
      <c r="A2135">
        <f>IF(AND(B2135="", D2135&lt;&gt;""), A2134, A2134+1)</f>
        <v>2129</v>
      </c>
      <c r="R2135" t="b">
        <f>AND(ISNUMBER(FIND($E2135,Tables!$I$2)), ISNUMBER(FIND($D2135,Tables!$J$2)), $E2135&lt;&gt;"")</f>
        <v>0</v>
      </c>
    </row>
    <row r="2136" spans="1:18" x14ac:dyDescent="0.25">
      <c r="A2136">
        <f>IF(AND(B2136="", D2136&lt;&gt;""), A2135, A2135+1)</f>
        <v>2130</v>
      </c>
      <c r="R2136" t="b">
        <f>AND(ISNUMBER(FIND($E2136,Tables!$I$2)), ISNUMBER(FIND($D2136,Tables!$J$2)), $E2136&lt;&gt;"")</f>
        <v>0</v>
      </c>
    </row>
    <row r="2137" spans="1:18" x14ac:dyDescent="0.25">
      <c r="A2137">
        <f>IF(AND(B2137="", D2137&lt;&gt;""), A2136, A2136+1)</f>
        <v>2131</v>
      </c>
      <c r="R2137" t="b">
        <f>AND(ISNUMBER(FIND($E2137,Tables!$I$2)), ISNUMBER(FIND($D2137,Tables!$J$2)), $E2137&lt;&gt;"")</f>
        <v>0</v>
      </c>
    </row>
    <row r="2138" spans="1:18" x14ac:dyDescent="0.25">
      <c r="A2138">
        <f>IF(AND(B2138="", D2138&lt;&gt;""), A2137, A2137+1)</f>
        <v>2132</v>
      </c>
      <c r="R2138" t="b">
        <f>AND(ISNUMBER(FIND($E2138,Tables!$I$2)), ISNUMBER(FIND($D2138,Tables!$J$2)), $E2138&lt;&gt;"")</f>
        <v>0</v>
      </c>
    </row>
    <row r="2139" spans="1:18" x14ac:dyDescent="0.25">
      <c r="A2139">
        <f>IF(AND(B2139="", D2139&lt;&gt;""), A2138, A2138+1)</f>
        <v>2133</v>
      </c>
      <c r="R2139" t="b">
        <f>AND(ISNUMBER(FIND($E2139,Tables!$I$2)), ISNUMBER(FIND($D2139,Tables!$J$2)), $E2139&lt;&gt;"")</f>
        <v>0</v>
      </c>
    </row>
    <row r="2140" spans="1:18" x14ac:dyDescent="0.25">
      <c r="A2140">
        <f>IF(AND(B2140="", D2140&lt;&gt;""), A2139, A2139+1)</f>
        <v>2134</v>
      </c>
      <c r="R2140" t="b">
        <f>AND(ISNUMBER(FIND($E2140,Tables!$I$2)), ISNUMBER(FIND($D2140,Tables!$J$2)), $E2140&lt;&gt;"")</f>
        <v>0</v>
      </c>
    </row>
    <row r="2141" spans="1:18" x14ac:dyDescent="0.25">
      <c r="A2141">
        <f>IF(AND(B2141="", D2141&lt;&gt;""), A2140, A2140+1)</f>
        <v>2135</v>
      </c>
      <c r="R2141" t="b">
        <f>AND(ISNUMBER(FIND($E2141,Tables!$I$2)), ISNUMBER(FIND($D2141,Tables!$J$2)), $E2141&lt;&gt;"")</f>
        <v>0</v>
      </c>
    </row>
    <row r="2142" spans="1:18" x14ac:dyDescent="0.25">
      <c r="A2142">
        <f>IF(AND(B2142="", D2142&lt;&gt;""), A2141, A2141+1)</f>
        <v>2136</v>
      </c>
      <c r="R2142" t="b">
        <f>AND(ISNUMBER(FIND($E2142,Tables!$I$2)), ISNUMBER(FIND($D2142,Tables!$J$2)), $E2142&lt;&gt;"")</f>
        <v>0</v>
      </c>
    </row>
    <row r="2143" spans="1:18" x14ac:dyDescent="0.25">
      <c r="A2143">
        <f>IF(AND(B2143="", D2143&lt;&gt;""), A2142, A2142+1)</f>
        <v>2137</v>
      </c>
      <c r="R2143" t="b">
        <f>AND(ISNUMBER(FIND($E2143,Tables!$I$2)), ISNUMBER(FIND($D2143,Tables!$J$2)), $E2143&lt;&gt;"")</f>
        <v>0</v>
      </c>
    </row>
    <row r="2144" spans="1:18" x14ac:dyDescent="0.25">
      <c r="A2144">
        <f>IF(AND(B2144="", D2144&lt;&gt;""), A2143, A2143+1)</f>
        <v>2138</v>
      </c>
      <c r="R2144" t="b">
        <f>AND(ISNUMBER(FIND($E2144,Tables!$I$2)), ISNUMBER(FIND($D2144,Tables!$J$2)), $E2144&lt;&gt;"")</f>
        <v>0</v>
      </c>
    </row>
    <row r="2145" spans="1:18" x14ac:dyDescent="0.25">
      <c r="A2145">
        <f>IF(AND(B2145="", D2145&lt;&gt;""), A2144, A2144+1)</f>
        <v>2139</v>
      </c>
      <c r="R2145" t="b">
        <f>AND(ISNUMBER(FIND($E2145,Tables!$I$2)), ISNUMBER(FIND($D2145,Tables!$J$2)), $E2145&lt;&gt;"")</f>
        <v>0</v>
      </c>
    </row>
    <row r="2146" spans="1:18" x14ac:dyDescent="0.25">
      <c r="A2146">
        <f>IF(AND(B2146="", D2146&lt;&gt;""), A2145, A2145+1)</f>
        <v>2140</v>
      </c>
      <c r="R2146" t="b">
        <f>AND(ISNUMBER(FIND($E2146,Tables!$I$2)), ISNUMBER(FIND($D2146,Tables!$J$2)), $E2146&lt;&gt;"")</f>
        <v>0</v>
      </c>
    </row>
    <row r="2147" spans="1:18" x14ac:dyDescent="0.25">
      <c r="A2147">
        <f>IF(AND(B2147="", D2147&lt;&gt;""), A2146, A2146+1)</f>
        <v>2141</v>
      </c>
      <c r="R2147" t="b">
        <f>AND(ISNUMBER(FIND($E2147,Tables!$I$2)), ISNUMBER(FIND($D2147,Tables!$J$2)), $E2147&lt;&gt;"")</f>
        <v>0</v>
      </c>
    </row>
    <row r="2148" spans="1:18" x14ac:dyDescent="0.25">
      <c r="A2148">
        <f>IF(AND(B2148="", D2148&lt;&gt;""), A2147, A2147+1)</f>
        <v>2142</v>
      </c>
      <c r="R2148" t="b">
        <f>AND(ISNUMBER(FIND($E2148,Tables!$I$2)), ISNUMBER(FIND($D2148,Tables!$J$2)), $E2148&lt;&gt;"")</f>
        <v>0</v>
      </c>
    </row>
    <row r="2149" spans="1:18" x14ac:dyDescent="0.25">
      <c r="A2149">
        <f>IF(AND(B2149="", D2149&lt;&gt;""), A2148, A2148+1)</f>
        <v>2143</v>
      </c>
      <c r="R2149" t="b">
        <f>AND(ISNUMBER(FIND($E2149,Tables!$I$2)), ISNUMBER(FIND($D2149,Tables!$J$2)), $E2149&lt;&gt;"")</f>
        <v>0</v>
      </c>
    </row>
    <row r="2150" spans="1:18" x14ac:dyDescent="0.25">
      <c r="A2150">
        <f>IF(AND(B2150="", D2150&lt;&gt;""), A2149, A2149+1)</f>
        <v>2144</v>
      </c>
      <c r="R2150" t="b">
        <f>AND(ISNUMBER(FIND($E2150,Tables!$I$2)), ISNUMBER(FIND($D2150,Tables!$J$2)), $E2150&lt;&gt;"")</f>
        <v>0</v>
      </c>
    </row>
    <row r="2151" spans="1:18" x14ac:dyDescent="0.25">
      <c r="A2151">
        <f>IF(AND(B2151="", D2151&lt;&gt;""), A2150, A2150+1)</f>
        <v>2145</v>
      </c>
      <c r="R2151" t="b">
        <f>AND(ISNUMBER(FIND($E2151,Tables!$I$2)), ISNUMBER(FIND($D2151,Tables!$J$2)), $E2151&lt;&gt;"")</f>
        <v>0</v>
      </c>
    </row>
    <row r="2152" spans="1:18" x14ac:dyDescent="0.25">
      <c r="A2152">
        <f>IF(AND(B2152="", D2152&lt;&gt;""), A2151, A2151+1)</f>
        <v>2146</v>
      </c>
      <c r="R2152" t="b">
        <f>AND(ISNUMBER(FIND($E2152,Tables!$I$2)), ISNUMBER(FIND($D2152,Tables!$J$2)), $E2152&lt;&gt;"")</f>
        <v>0</v>
      </c>
    </row>
    <row r="2153" spans="1:18" x14ac:dyDescent="0.25">
      <c r="A2153">
        <f>IF(AND(B2153="", D2153&lt;&gt;""), A2152, A2152+1)</f>
        <v>2147</v>
      </c>
      <c r="R2153" t="b">
        <f>AND(ISNUMBER(FIND($E2153,Tables!$I$2)), ISNUMBER(FIND($D2153,Tables!$J$2)), $E2153&lt;&gt;"")</f>
        <v>0</v>
      </c>
    </row>
    <row r="2154" spans="1:18" x14ac:dyDescent="0.25">
      <c r="A2154">
        <f>IF(AND(B2154="", D2154&lt;&gt;""), A2153, A2153+1)</f>
        <v>2148</v>
      </c>
      <c r="R2154" t="b">
        <f>AND(ISNUMBER(FIND($E2154,Tables!$I$2)), ISNUMBER(FIND($D2154,Tables!$J$2)), $E2154&lt;&gt;"")</f>
        <v>0</v>
      </c>
    </row>
    <row r="2155" spans="1:18" x14ac:dyDescent="0.25">
      <c r="A2155">
        <f>IF(AND(B2155="", D2155&lt;&gt;""), A2154, A2154+1)</f>
        <v>2149</v>
      </c>
      <c r="R2155" t="b">
        <f>AND(ISNUMBER(FIND($E2155,Tables!$I$2)), ISNUMBER(FIND($D2155,Tables!$J$2)), $E2155&lt;&gt;"")</f>
        <v>0</v>
      </c>
    </row>
    <row r="2156" spans="1:18" x14ac:dyDescent="0.25">
      <c r="A2156">
        <f>IF(AND(B2156="", D2156&lt;&gt;""), A2155, A2155+1)</f>
        <v>2150</v>
      </c>
      <c r="R2156" t="b">
        <f>AND(ISNUMBER(FIND($E2156,Tables!$I$2)), ISNUMBER(FIND($D2156,Tables!$J$2)), $E2156&lt;&gt;"")</f>
        <v>0</v>
      </c>
    </row>
    <row r="2157" spans="1:18" x14ac:dyDescent="0.25">
      <c r="A2157">
        <f>IF(AND(B2157="", D2157&lt;&gt;""), A2156, A2156+1)</f>
        <v>2151</v>
      </c>
      <c r="R2157" t="b">
        <f>AND(ISNUMBER(FIND($E2157,Tables!$I$2)), ISNUMBER(FIND($D2157,Tables!$J$2)), $E2157&lt;&gt;"")</f>
        <v>0</v>
      </c>
    </row>
    <row r="2158" spans="1:18" x14ac:dyDescent="0.25">
      <c r="A2158">
        <f>IF(AND(B2158="", D2158&lt;&gt;""), A2157, A2157+1)</f>
        <v>2152</v>
      </c>
      <c r="R2158" t="b">
        <f>AND(ISNUMBER(FIND($E2158,Tables!$I$2)), ISNUMBER(FIND($D2158,Tables!$J$2)), $E2158&lt;&gt;"")</f>
        <v>0</v>
      </c>
    </row>
    <row r="2159" spans="1:18" x14ac:dyDescent="0.25">
      <c r="A2159">
        <f>IF(AND(B2159="", D2159&lt;&gt;""), A2158, A2158+1)</f>
        <v>2153</v>
      </c>
      <c r="R2159" t="b">
        <f>AND(ISNUMBER(FIND($E2159,Tables!$I$2)), ISNUMBER(FIND($D2159,Tables!$J$2)), $E2159&lt;&gt;"")</f>
        <v>0</v>
      </c>
    </row>
    <row r="2160" spans="1:18" x14ac:dyDescent="0.25">
      <c r="A2160">
        <f>IF(AND(B2160="", D2160&lt;&gt;""), A2159, A2159+1)</f>
        <v>2154</v>
      </c>
      <c r="R2160" t="b">
        <f>AND(ISNUMBER(FIND($E2160,Tables!$I$2)), ISNUMBER(FIND($D2160,Tables!$J$2)), $E2160&lt;&gt;"")</f>
        <v>0</v>
      </c>
    </row>
    <row r="2161" spans="1:18" x14ac:dyDescent="0.25">
      <c r="A2161">
        <f>IF(AND(B2161="", D2161&lt;&gt;""), A2160, A2160+1)</f>
        <v>2155</v>
      </c>
      <c r="R2161" t="b">
        <f>AND(ISNUMBER(FIND($E2161,Tables!$I$2)), ISNUMBER(FIND($D2161,Tables!$J$2)), $E2161&lt;&gt;"")</f>
        <v>0</v>
      </c>
    </row>
    <row r="2162" spans="1:18" x14ac:dyDescent="0.25">
      <c r="A2162">
        <f>IF(AND(B2162="", D2162&lt;&gt;""), A2161, A2161+1)</f>
        <v>2156</v>
      </c>
      <c r="R2162" t="b">
        <f>AND(ISNUMBER(FIND($E2162,Tables!$I$2)), ISNUMBER(FIND($D2162,Tables!$J$2)), $E2162&lt;&gt;"")</f>
        <v>0</v>
      </c>
    </row>
    <row r="2163" spans="1:18" x14ac:dyDescent="0.25">
      <c r="A2163">
        <f>IF(AND(B2163="", D2163&lt;&gt;""), A2162, A2162+1)</f>
        <v>2157</v>
      </c>
      <c r="R2163" t="b">
        <f>AND(ISNUMBER(FIND($E2163,Tables!$I$2)), ISNUMBER(FIND($D2163,Tables!$J$2)), $E2163&lt;&gt;"")</f>
        <v>0</v>
      </c>
    </row>
    <row r="2164" spans="1:18" x14ac:dyDescent="0.25">
      <c r="A2164">
        <f>IF(AND(B2164="", D2164&lt;&gt;""), A2163, A2163+1)</f>
        <v>2158</v>
      </c>
      <c r="R2164" t="b">
        <f>AND(ISNUMBER(FIND($E2164,Tables!$I$2)), ISNUMBER(FIND($D2164,Tables!$J$2)), $E2164&lt;&gt;"")</f>
        <v>0</v>
      </c>
    </row>
    <row r="2165" spans="1:18" x14ac:dyDescent="0.25">
      <c r="A2165">
        <f>IF(AND(B2165="", D2165&lt;&gt;""), A2164, A2164+1)</f>
        <v>2159</v>
      </c>
      <c r="R2165" t="b">
        <f>AND(ISNUMBER(FIND($E2165,Tables!$I$2)), ISNUMBER(FIND($D2165,Tables!$J$2)), $E2165&lt;&gt;"")</f>
        <v>0</v>
      </c>
    </row>
    <row r="2166" spans="1:18" x14ac:dyDescent="0.25">
      <c r="A2166">
        <f>IF(AND(B2166="", D2166&lt;&gt;""), A2165, A2165+1)</f>
        <v>2160</v>
      </c>
      <c r="R2166" t="b">
        <f>AND(ISNUMBER(FIND($E2166,Tables!$I$2)), ISNUMBER(FIND($D2166,Tables!$J$2)), $E2166&lt;&gt;"")</f>
        <v>0</v>
      </c>
    </row>
    <row r="2167" spans="1:18" x14ac:dyDescent="0.25">
      <c r="A2167">
        <f>IF(AND(B2167="", D2167&lt;&gt;""), A2166, A2166+1)</f>
        <v>2161</v>
      </c>
      <c r="R2167" t="b">
        <f>AND(ISNUMBER(FIND($E2167,Tables!$I$2)), ISNUMBER(FIND($D2167,Tables!$J$2)), $E2167&lt;&gt;"")</f>
        <v>0</v>
      </c>
    </row>
    <row r="2168" spans="1:18" x14ac:dyDescent="0.25">
      <c r="A2168">
        <f>IF(AND(B2168="", D2168&lt;&gt;""), A2167, A2167+1)</f>
        <v>2162</v>
      </c>
      <c r="R2168" t="b">
        <f>AND(ISNUMBER(FIND($E2168,Tables!$I$2)), ISNUMBER(FIND($D2168,Tables!$J$2)), $E2168&lt;&gt;"")</f>
        <v>0</v>
      </c>
    </row>
    <row r="2169" spans="1:18" x14ac:dyDescent="0.25">
      <c r="A2169">
        <f>IF(AND(B2169="", D2169&lt;&gt;""), A2168, A2168+1)</f>
        <v>2163</v>
      </c>
      <c r="R2169" t="b">
        <f>AND(ISNUMBER(FIND($E2169,Tables!$I$2)), ISNUMBER(FIND($D2169,Tables!$J$2)), $E2169&lt;&gt;"")</f>
        <v>0</v>
      </c>
    </row>
    <row r="2170" spans="1:18" x14ac:dyDescent="0.25">
      <c r="A2170">
        <f>IF(AND(B2170="", D2170&lt;&gt;""), A2169, A2169+1)</f>
        <v>2164</v>
      </c>
      <c r="R2170" t="b">
        <f>AND(ISNUMBER(FIND($E2170,Tables!$I$2)), ISNUMBER(FIND($D2170,Tables!$J$2)), $E2170&lt;&gt;"")</f>
        <v>0</v>
      </c>
    </row>
    <row r="2171" spans="1:18" x14ac:dyDescent="0.25">
      <c r="A2171">
        <f>IF(AND(B2171="", D2171&lt;&gt;""), A2170, A2170+1)</f>
        <v>2165</v>
      </c>
      <c r="R2171" t="b">
        <f>AND(ISNUMBER(FIND($E2171,Tables!$I$2)), ISNUMBER(FIND($D2171,Tables!$J$2)), $E2171&lt;&gt;"")</f>
        <v>0</v>
      </c>
    </row>
    <row r="2172" spans="1:18" x14ac:dyDescent="0.25">
      <c r="A2172">
        <f>IF(AND(B2172="", D2172&lt;&gt;""), A2171, A2171+1)</f>
        <v>2166</v>
      </c>
      <c r="R2172" t="b">
        <f>AND(ISNUMBER(FIND($E2172,Tables!$I$2)), ISNUMBER(FIND($D2172,Tables!$J$2)), $E2172&lt;&gt;"")</f>
        <v>0</v>
      </c>
    </row>
    <row r="2173" spans="1:18" x14ac:dyDescent="0.25">
      <c r="A2173">
        <f>IF(AND(B2173="", D2173&lt;&gt;""), A2172, A2172+1)</f>
        <v>2167</v>
      </c>
      <c r="R2173" t="b">
        <f>AND(ISNUMBER(FIND($E2173,Tables!$I$2)), ISNUMBER(FIND($D2173,Tables!$J$2)), $E2173&lt;&gt;"")</f>
        <v>0</v>
      </c>
    </row>
    <row r="2174" spans="1:18" x14ac:dyDescent="0.25">
      <c r="A2174">
        <f>IF(AND(B2174="", D2174&lt;&gt;""), A2173, A2173+1)</f>
        <v>2168</v>
      </c>
      <c r="R2174" t="b">
        <f>AND(ISNUMBER(FIND($E2174,Tables!$I$2)), ISNUMBER(FIND($D2174,Tables!$J$2)), $E2174&lt;&gt;"")</f>
        <v>0</v>
      </c>
    </row>
    <row r="2175" spans="1:18" x14ac:dyDescent="0.25">
      <c r="A2175">
        <f>IF(AND(B2175="", D2175&lt;&gt;""), A2174, A2174+1)</f>
        <v>2169</v>
      </c>
      <c r="R2175" t="b">
        <f>AND(ISNUMBER(FIND($E2175,Tables!$I$2)), ISNUMBER(FIND($D2175,Tables!$J$2)), $E2175&lt;&gt;"")</f>
        <v>0</v>
      </c>
    </row>
    <row r="2176" spans="1:18" x14ac:dyDescent="0.25">
      <c r="A2176">
        <f>IF(AND(B2176="", D2176&lt;&gt;""), A2175, A2175+1)</f>
        <v>2170</v>
      </c>
      <c r="R2176" t="b">
        <f>AND(ISNUMBER(FIND($E2176,Tables!$I$2)), ISNUMBER(FIND($D2176,Tables!$J$2)), $E2176&lt;&gt;"")</f>
        <v>0</v>
      </c>
    </row>
    <row r="2177" spans="1:18" x14ac:dyDescent="0.25">
      <c r="A2177">
        <f>IF(AND(B2177="", D2177&lt;&gt;""), A2176, A2176+1)</f>
        <v>2171</v>
      </c>
      <c r="R2177" t="b">
        <f>AND(ISNUMBER(FIND($E2177,Tables!$I$2)), ISNUMBER(FIND($D2177,Tables!$J$2)), $E2177&lt;&gt;"")</f>
        <v>0</v>
      </c>
    </row>
    <row r="2178" spans="1:18" x14ac:dyDescent="0.25">
      <c r="A2178">
        <f>IF(AND(B2178="", D2178&lt;&gt;""), A2177, A2177+1)</f>
        <v>2172</v>
      </c>
      <c r="R2178" t="b">
        <f>AND(ISNUMBER(FIND($E2178,Tables!$I$2)), ISNUMBER(FIND($D2178,Tables!$J$2)), $E2178&lt;&gt;"")</f>
        <v>0</v>
      </c>
    </row>
    <row r="2179" spans="1:18" x14ac:dyDescent="0.25">
      <c r="A2179">
        <f>IF(AND(B2179="", D2179&lt;&gt;""), A2178, A2178+1)</f>
        <v>2173</v>
      </c>
      <c r="R2179" t="b">
        <f>AND(ISNUMBER(FIND($E2179,Tables!$I$2)), ISNUMBER(FIND($D2179,Tables!$J$2)), $E2179&lt;&gt;"")</f>
        <v>0</v>
      </c>
    </row>
    <row r="2180" spans="1:18" x14ac:dyDescent="0.25">
      <c r="A2180">
        <f>IF(AND(B2180="", D2180&lt;&gt;""), A2179, A2179+1)</f>
        <v>2174</v>
      </c>
      <c r="R2180" t="b">
        <f>AND(ISNUMBER(FIND($E2180,Tables!$I$2)), ISNUMBER(FIND($D2180,Tables!$J$2)), $E2180&lt;&gt;"")</f>
        <v>0</v>
      </c>
    </row>
    <row r="2181" spans="1:18" x14ac:dyDescent="0.25">
      <c r="A2181">
        <f>IF(AND(B2181="", D2181&lt;&gt;""), A2180, A2180+1)</f>
        <v>2175</v>
      </c>
      <c r="R2181" t="b">
        <f>AND(ISNUMBER(FIND($E2181,Tables!$I$2)), ISNUMBER(FIND($D2181,Tables!$J$2)), $E2181&lt;&gt;"")</f>
        <v>0</v>
      </c>
    </row>
    <row r="2182" spans="1:18" x14ac:dyDescent="0.25">
      <c r="A2182">
        <f>IF(AND(B2182="", D2182&lt;&gt;""), A2181, A2181+1)</f>
        <v>2176</v>
      </c>
      <c r="R2182" t="b">
        <f>AND(ISNUMBER(FIND($E2182,Tables!$I$2)), ISNUMBER(FIND($D2182,Tables!$J$2)), $E2182&lt;&gt;"")</f>
        <v>0</v>
      </c>
    </row>
    <row r="2183" spans="1:18" x14ac:dyDescent="0.25">
      <c r="A2183">
        <f>IF(AND(B2183="", D2183&lt;&gt;""), A2182, A2182+1)</f>
        <v>2177</v>
      </c>
      <c r="R2183" t="b">
        <f>AND(ISNUMBER(FIND($E2183,Tables!$I$2)), ISNUMBER(FIND($D2183,Tables!$J$2)), $E2183&lt;&gt;"")</f>
        <v>0</v>
      </c>
    </row>
    <row r="2184" spans="1:18" x14ac:dyDescent="0.25">
      <c r="A2184">
        <f>IF(AND(B2184="", D2184&lt;&gt;""), A2183, A2183+1)</f>
        <v>2178</v>
      </c>
      <c r="R2184" t="b">
        <f>AND(ISNUMBER(FIND($E2184,Tables!$I$2)), ISNUMBER(FIND($D2184,Tables!$J$2)), $E2184&lt;&gt;"")</f>
        <v>0</v>
      </c>
    </row>
    <row r="2185" spans="1:18" x14ac:dyDescent="0.25">
      <c r="A2185">
        <f>IF(AND(B2185="", D2185&lt;&gt;""), A2184, A2184+1)</f>
        <v>2179</v>
      </c>
      <c r="R2185" t="b">
        <f>AND(ISNUMBER(FIND($E2185,Tables!$I$2)), ISNUMBER(FIND($D2185,Tables!$J$2)), $E2185&lt;&gt;"")</f>
        <v>0</v>
      </c>
    </row>
    <row r="2186" spans="1:18" x14ac:dyDescent="0.25">
      <c r="A2186">
        <f>IF(AND(B2186="", D2186&lt;&gt;""), A2185, A2185+1)</f>
        <v>2180</v>
      </c>
      <c r="R2186" t="b">
        <f>AND(ISNUMBER(FIND($E2186,Tables!$I$2)), ISNUMBER(FIND($D2186,Tables!$J$2)), $E2186&lt;&gt;"")</f>
        <v>0</v>
      </c>
    </row>
    <row r="2187" spans="1:18" x14ac:dyDescent="0.25">
      <c r="A2187">
        <f>IF(AND(B2187="", D2187&lt;&gt;""), A2186, A2186+1)</f>
        <v>2181</v>
      </c>
      <c r="R2187" t="b">
        <f>AND(ISNUMBER(FIND($E2187,Tables!$I$2)), ISNUMBER(FIND($D2187,Tables!$J$2)), $E2187&lt;&gt;"")</f>
        <v>0</v>
      </c>
    </row>
    <row r="2188" spans="1:18" x14ac:dyDescent="0.25">
      <c r="A2188">
        <f>IF(AND(B2188="", D2188&lt;&gt;""), A2187, A2187+1)</f>
        <v>2182</v>
      </c>
      <c r="R2188" t="b">
        <f>AND(ISNUMBER(FIND($E2188,Tables!$I$2)), ISNUMBER(FIND($D2188,Tables!$J$2)), $E2188&lt;&gt;"")</f>
        <v>0</v>
      </c>
    </row>
    <row r="2189" spans="1:18" x14ac:dyDescent="0.25">
      <c r="A2189">
        <f>IF(AND(B2189="", D2189&lt;&gt;""), A2188, A2188+1)</f>
        <v>2183</v>
      </c>
      <c r="R2189" t="b">
        <f>AND(ISNUMBER(FIND($E2189,Tables!$I$2)), ISNUMBER(FIND($D2189,Tables!$J$2)), $E2189&lt;&gt;"")</f>
        <v>0</v>
      </c>
    </row>
    <row r="2190" spans="1:18" x14ac:dyDescent="0.25">
      <c r="A2190">
        <f>IF(AND(B2190="", D2190&lt;&gt;""), A2189, A2189+1)</f>
        <v>2184</v>
      </c>
      <c r="R2190" t="b">
        <f>AND(ISNUMBER(FIND($E2190,Tables!$I$2)), ISNUMBER(FIND($D2190,Tables!$J$2)), $E2190&lt;&gt;"")</f>
        <v>0</v>
      </c>
    </row>
    <row r="2191" spans="1:18" x14ac:dyDescent="0.25">
      <c r="A2191">
        <f>IF(AND(B2191="", D2191&lt;&gt;""), A2190, A2190+1)</f>
        <v>2185</v>
      </c>
      <c r="R2191" t="b">
        <f>AND(ISNUMBER(FIND($E2191,Tables!$I$2)), ISNUMBER(FIND($D2191,Tables!$J$2)), $E2191&lt;&gt;"")</f>
        <v>0</v>
      </c>
    </row>
    <row r="2192" spans="1:18" x14ac:dyDescent="0.25">
      <c r="A2192">
        <f>IF(AND(B2192="", D2192&lt;&gt;""), A2191, A2191+1)</f>
        <v>2186</v>
      </c>
      <c r="R2192" t="b">
        <f>AND(ISNUMBER(FIND($E2192,Tables!$I$2)), ISNUMBER(FIND($D2192,Tables!$J$2)), $E2192&lt;&gt;"")</f>
        <v>0</v>
      </c>
    </row>
    <row r="2193" spans="1:18" x14ac:dyDescent="0.25">
      <c r="A2193">
        <f>IF(AND(B2193="", D2193&lt;&gt;""), A2192, A2192+1)</f>
        <v>2187</v>
      </c>
      <c r="R2193" t="b">
        <f>AND(ISNUMBER(FIND($E2193,Tables!$I$2)), ISNUMBER(FIND($D2193,Tables!$J$2)), $E2193&lt;&gt;"")</f>
        <v>0</v>
      </c>
    </row>
    <row r="2194" spans="1:18" x14ac:dyDescent="0.25">
      <c r="A2194">
        <f>IF(AND(B2194="", D2194&lt;&gt;""), A2193, A2193+1)</f>
        <v>2188</v>
      </c>
      <c r="R2194" t="b">
        <f>AND(ISNUMBER(FIND($E2194,Tables!$I$2)), ISNUMBER(FIND($D2194,Tables!$J$2)), $E2194&lt;&gt;"")</f>
        <v>0</v>
      </c>
    </row>
    <row r="2195" spans="1:18" x14ac:dyDescent="0.25">
      <c r="A2195">
        <f>IF(AND(B2195="", D2195&lt;&gt;""), A2194, A2194+1)</f>
        <v>2189</v>
      </c>
      <c r="R2195" t="b">
        <f>AND(ISNUMBER(FIND($E2195,Tables!$I$2)), ISNUMBER(FIND($D2195,Tables!$J$2)), $E2195&lt;&gt;"")</f>
        <v>0</v>
      </c>
    </row>
    <row r="2196" spans="1:18" x14ac:dyDescent="0.25">
      <c r="A2196">
        <f>IF(AND(B2196="", D2196&lt;&gt;""), A2195, A2195+1)</f>
        <v>2190</v>
      </c>
      <c r="R2196" t="b">
        <f>AND(ISNUMBER(FIND($E2196,Tables!$I$2)), ISNUMBER(FIND($D2196,Tables!$J$2)), $E2196&lt;&gt;"")</f>
        <v>0</v>
      </c>
    </row>
    <row r="2197" spans="1:18" x14ac:dyDescent="0.25">
      <c r="A2197">
        <f>IF(AND(B2197="", D2197&lt;&gt;""), A2196, A2196+1)</f>
        <v>2191</v>
      </c>
      <c r="R2197" t="b">
        <f>AND(ISNUMBER(FIND($E2197,Tables!$I$2)), ISNUMBER(FIND($D2197,Tables!$J$2)), $E2197&lt;&gt;"")</f>
        <v>0</v>
      </c>
    </row>
    <row r="2198" spans="1:18" x14ac:dyDescent="0.25">
      <c r="A2198">
        <f>IF(AND(B2198="", D2198&lt;&gt;""), A2197, A2197+1)</f>
        <v>2192</v>
      </c>
      <c r="R2198" t="b">
        <f>AND(ISNUMBER(FIND($E2198,Tables!$I$2)), ISNUMBER(FIND($D2198,Tables!$J$2)), $E2198&lt;&gt;"")</f>
        <v>0</v>
      </c>
    </row>
    <row r="2199" spans="1:18" x14ac:dyDescent="0.25">
      <c r="A2199">
        <f>IF(AND(B2199="", D2199&lt;&gt;""), A2198, A2198+1)</f>
        <v>2193</v>
      </c>
      <c r="R2199" t="b">
        <f>AND(ISNUMBER(FIND($E2199,Tables!$I$2)), ISNUMBER(FIND($D2199,Tables!$J$2)), $E2199&lt;&gt;"")</f>
        <v>0</v>
      </c>
    </row>
    <row r="2200" spans="1:18" x14ac:dyDescent="0.25">
      <c r="A2200">
        <f>IF(AND(B2200="", D2200&lt;&gt;""), A2199, A2199+1)</f>
        <v>2194</v>
      </c>
      <c r="R2200" t="b">
        <f>AND(ISNUMBER(FIND($E2200,Tables!$I$2)), ISNUMBER(FIND($D2200,Tables!$J$2)), $E2200&lt;&gt;"")</f>
        <v>0</v>
      </c>
    </row>
    <row r="2201" spans="1:18" x14ac:dyDescent="0.25">
      <c r="A2201">
        <f>IF(AND(B2201="", D2201&lt;&gt;""), A2200, A2200+1)</f>
        <v>2195</v>
      </c>
      <c r="R2201" t="b">
        <f>AND(ISNUMBER(FIND($E2201,Tables!$I$2)), ISNUMBER(FIND($D2201,Tables!$J$2)), $E2201&lt;&gt;"")</f>
        <v>0</v>
      </c>
    </row>
    <row r="2202" spans="1:18" x14ac:dyDescent="0.25">
      <c r="A2202">
        <f>IF(AND(B2202="", D2202&lt;&gt;""), A2201, A2201+1)</f>
        <v>2196</v>
      </c>
      <c r="R2202" t="b">
        <f>AND(ISNUMBER(FIND($E2202,Tables!$I$2)), ISNUMBER(FIND($D2202,Tables!$J$2)), $E2202&lt;&gt;"")</f>
        <v>0</v>
      </c>
    </row>
    <row r="2203" spans="1:18" x14ac:dyDescent="0.25">
      <c r="A2203">
        <f>IF(AND(B2203="", D2203&lt;&gt;""), A2202, A2202+1)</f>
        <v>2197</v>
      </c>
      <c r="R2203" t="b">
        <f>AND(ISNUMBER(FIND($E2203,Tables!$I$2)), ISNUMBER(FIND($D2203,Tables!$J$2)), $E2203&lt;&gt;"")</f>
        <v>0</v>
      </c>
    </row>
    <row r="2204" spans="1:18" x14ac:dyDescent="0.25">
      <c r="A2204">
        <f>IF(AND(B2204="", D2204&lt;&gt;""), A2203, A2203+1)</f>
        <v>2198</v>
      </c>
      <c r="R2204" t="b">
        <f>AND(ISNUMBER(FIND($E2204,Tables!$I$2)), ISNUMBER(FIND($D2204,Tables!$J$2)), $E2204&lt;&gt;"")</f>
        <v>0</v>
      </c>
    </row>
    <row r="2205" spans="1:18" x14ac:dyDescent="0.25">
      <c r="A2205">
        <f>IF(AND(B2205="", D2205&lt;&gt;""), A2204, A2204+1)</f>
        <v>2199</v>
      </c>
      <c r="R2205" t="b">
        <f>AND(ISNUMBER(FIND($E2205,Tables!$I$2)), ISNUMBER(FIND($D2205,Tables!$J$2)), $E2205&lt;&gt;"")</f>
        <v>0</v>
      </c>
    </row>
    <row r="2206" spans="1:18" x14ac:dyDescent="0.25">
      <c r="A2206">
        <f>IF(AND(B2206="", D2206&lt;&gt;""), A2205, A2205+1)</f>
        <v>2200</v>
      </c>
      <c r="R2206" t="b">
        <f>AND(ISNUMBER(FIND($E2206,Tables!$I$2)), ISNUMBER(FIND($D2206,Tables!$J$2)), $E2206&lt;&gt;"")</f>
        <v>0</v>
      </c>
    </row>
    <row r="2207" spans="1:18" x14ac:dyDescent="0.25">
      <c r="A2207">
        <f>IF(AND(B2207="", D2207&lt;&gt;""), A2206, A2206+1)</f>
        <v>2201</v>
      </c>
      <c r="R2207" t="b">
        <f>AND(ISNUMBER(FIND($E2207,Tables!$I$2)), ISNUMBER(FIND($D2207,Tables!$J$2)), $E2207&lt;&gt;"")</f>
        <v>0</v>
      </c>
    </row>
    <row r="2208" spans="1:18" x14ac:dyDescent="0.25">
      <c r="A2208">
        <f>IF(AND(B2208="", D2208&lt;&gt;""), A2207, A2207+1)</f>
        <v>2202</v>
      </c>
      <c r="R2208" t="b">
        <f>AND(ISNUMBER(FIND($E2208,Tables!$I$2)), ISNUMBER(FIND($D2208,Tables!$J$2)), $E2208&lt;&gt;"")</f>
        <v>0</v>
      </c>
    </row>
    <row r="2209" spans="1:18" x14ac:dyDescent="0.25">
      <c r="A2209">
        <f>IF(AND(B2209="", D2209&lt;&gt;""), A2208, A2208+1)</f>
        <v>2203</v>
      </c>
      <c r="R2209" t="b">
        <f>AND(ISNUMBER(FIND($E2209,Tables!$I$2)), ISNUMBER(FIND($D2209,Tables!$J$2)), $E2209&lt;&gt;"")</f>
        <v>0</v>
      </c>
    </row>
    <row r="2210" spans="1:18" x14ac:dyDescent="0.25">
      <c r="A2210">
        <f>IF(AND(B2210="", D2210&lt;&gt;""), A2209, A2209+1)</f>
        <v>2204</v>
      </c>
      <c r="R2210" t="b">
        <f>AND(ISNUMBER(FIND($E2210,Tables!$I$2)), ISNUMBER(FIND($D2210,Tables!$J$2)), $E2210&lt;&gt;"")</f>
        <v>0</v>
      </c>
    </row>
    <row r="2211" spans="1:18" x14ac:dyDescent="0.25">
      <c r="A2211">
        <f>IF(AND(B2211="", D2211&lt;&gt;""), A2210, A2210+1)</f>
        <v>2205</v>
      </c>
      <c r="R2211" t="b">
        <f>AND(ISNUMBER(FIND($E2211,Tables!$I$2)), ISNUMBER(FIND($D2211,Tables!$J$2)), $E2211&lt;&gt;"")</f>
        <v>0</v>
      </c>
    </row>
    <row r="2212" spans="1:18" x14ac:dyDescent="0.25">
      <c r="A2212">
        <f>IF(AND(B2212="", D2212&lt;&gt;""), A2211, A2211+1)</f>
        <v>2206</v>
      </c>
      <c r="R2212" t="b">
        <f>AND(ISNUMBER(FIND($E2212,Tables!$I$2)), ISNUMBER(FIND($D2212,Tables!$J$2)), $E2212&lt;&gt;"")</f>
        <v>0</v>
      </c>
    </row>
    <row r="2213" spans="1:18" x14ac:dyDescent="0.25">
      <c r="A2213">
        <f>IF(AND(B2213="", D2213&lt;&gt;""), A2212, A2212+1)</f>
        <v>2207</v>
      </c>
      <c r="R2213" t="b">
        <f>AND(ISNUMBER(FIND($E2213,Tables!$I$2)), ISNUMBER(FIND($D2213,Tables!$J$2)), $E2213&lt;&gt;"")</f>
        <v>0</v>
      </c>
    </row>
    <row r="2214" spans="1:18" x14ac:dyDescent="0.25">
      <c r="A2214">
        <f>IF(AND(B2214="", D2214&lt;&gt;""), A2213, A2213+1)</f>
        <v>2208</v>
      </c>
      <c r="R2214" t="b">
        <f>AND(ISNUMBER(FIND($E2214,Tables!$I$2)), ISNUMBER(FIND($D2214,Tables!$J$2)), $E2214&lt;&gt;"")</f>
        <v>0</v>
      </c>
    </row>
    <row r="2215" spans="1:18" x14ac:dyDescent="0.25">
      <c r="A2215">
        <f>IF(AND(B2215="", D2215&lt;&gt;""), A2214, A2214+1)</f>
        <v>2209</v>
      </c>
      <c r="R2215" t="b">
        <f>AND(ISNUMBER(FIND($E2215,Tables!$I$2)), ISNUMBER(FIND($D2215,Tables!$J$2)), $E2215&lt;&gt;"")</f>
        <v>0</v>
      </c>
    </row>
    <row r="2216" spans="1:18" x14ac:dyDescent="0.25">
      <c r="A2216">
        <f>IF(AND(B2216="", D2216&lt;&gt;""), A2215, A2215+1)</f>
        <v>2210</v>
      </c>
      <c r="R2216" t="b">
        <f>AND(ISNUMBER(FIND($E2216,Tables!$I$2)), ISNUMBER(FIND($D2216,Tables!$J$2)), $E2216&lt;&gt;"")</f>
        <v>0</v>
      </c>
    </row>
    <row r="2217" spans="1:18" x14ac:dyDescent="0.25">
      <c r="A2217">
        <f>IF(AND(B2217="", D2217&lt;&gt;""), A2216, A2216+1)</f>
        <v>2211</v>
      </c>
      <c r="R2217" t="b">
        <f>AND(ISNUMBER(FIND($E2217,Tables!$I$2)), ISNUMBER(FIND($D2217,Tables!$J$2)), $E2217&lt;&gt;"")</f>
        <v>0</v>
      </c>
    </row>
    <row r="2218" spans="1:18" x14ac:dyDescent="0.25">
      <c r="A2218">
        <f>IF(AND(B2218="", D2218&lt;&gt;""), A2217, A2217+1)</f>
        <v>2212</v>
      </c>
      <c r="R2218" t="b">
        <f>AND(ISNUMBER(FIND($E2218,Tables!$I$2)), ISNUMBER(FIND($D2218,Tables!$J$2)), $E2218&lt;&gt;"")</f>
        <v>0</v>
      </c>
    </row>
    <row r="2219" spans="1:18" x14ac:dyDescent="0.25">
      <c r="A2219">
        <f>IF(AND(B2219="", D2219&lt;&gt;""), A2218, A2218+1)</f>
        <v>2213</v>
      </c>
      <c r="R2219" t="b">
        <f>AND(ISNUMBER(FIND($E2219,Tables!$I$2)), ISNUMBER(FIND($D2219,Tables!$J$2)), $E2219&lt;&gt;"")</f>
        <v>0</v>
      </c>
    </row>
    <row r="2220" spans="1:18" x14ac:dyDescent="0.25">
      <c r="A2220">
        <f>IF(AND(B2220="", D2220&lt;&gt;""), A2219, A2219+1)</f>
        <v>2214</v>
      </c>
      <c r="R2220" t="b">
        <f>AND(ISNUMBER(FIND($E2220,Tables!$I$2)), ISNUMBER(FIND($D2220,Tables!$J$2)), $E2220&lt;&gt;"")</f>
        <v>0</v>
      </c>
    </row>
    <row r="2221" spans="1:18" x14ac:dyDescent="0.25">
      <c r="A2221">
        <f>IF(AND(B2221="", D2221&lt;&gt;""), A2220, A2220+1)</f>
        <v>2215</v>
      </c>
      <c r="R2221" t="b">
        <f>AND(ISNUMBER(FIND($E2221,Tables!$I$2)), ISNUMBER(FIND($D2221,Tables!$J$2)), $E2221&lt;&gt;"")</f>
        <v>0</v>
      </c>
    </row>
    <row r="2222" spans="1:18" x14ac:dyDescent="0.25">
      <c r="A2222">
        <f>IF(AND(B2222="", D2222&lt;&gt;""), A2221, A2221+1)</f>
        <v>2216</v>
      </c>
      <c r="R2222" t="b">
        <f>AND(ISNUMBER(FIND($E2222,Tables!$I$2)), ISNUMBER(FIND($D2222,Tables!$J$2)), $E2222&lt;&gt;"")</f>
        <v>0</v>
      </c>
    </row>
    <row r="2223" spans="1:18" x14ac:dyDescent="0.25">
      <c r="A2223">
        <f>IF(AND(B2223="", D2223&lt;&gt;""), A2222, A2222+1)</f>
        <v>2217</v>
      </c>
      <c r="R2223" t="b">
        <f>AND(ISNUMBER(FIND($E2223,Tables!$I$2)), ISNUMBER(FIND($D2223,Tables!$J$2)), $E2223&lt;&gt;"")</f>
        <v>0</v>
      </c>
    </row>
    <row r="2224" spans="1:18" x14ac:dyDescent="0.25">
      <c r="A2224">
        <f>IF(AND(B2224="", D2224&lt;&gt;""), A2223, A2223+1)</f>
        <v>2218</v>
      </c>
      <c r="R2224" t="b">
        <f>AND(ISNUMBER(FIND($E2224,Tables!$I$2)), ISNUMBER(FIND($D2224,Tables!$J$2)), $E2224&lt;&gt;"")</f>
        <v>0</v>
      </c>
    </row>
    <row r="2225" spans="1:18" x14ac:dyDescent="0.25">
      <c r="A2225">
        <f>IF(AND(B2225="", D2225&lt;&gt;""), A2224, A2224+1)</f>
        <v>2219</v>
      </c>
      <c r="R2225" t="b">
        <f>AND(ISNUMBER(FIND($E2225,Tables!$I$2)), ISNUMBER(FIND($D2225,Tables!$J$2)), $E2225&lt;&gt;"")</f>
        <v>0</v>
      </c>
    </row>
    <row r="2226" spans="1:18" x14ac:dyDescent="0.25">
      <c r="A2226">
        <f>IF(AND(B2226="", D2226&lt;&gt;""), A2225, A2225+1)</f>
        <v>2220</v>
      </c>
      <c r="R2226" t="b">
        <f>AND(ISNUMBER(FIND($E2226,Tables!$I$2)), ISNUMBER(FIND($D2226,Tables!$J$2)), $E2226&lt;&gt;"")</f>
        <v>0</v>
      </c>
    </row>
    <row r="2227" spans="1:18" x14ac:dyDescent="0.25">
      <c r="A2227">
        <f>IF(AND(B2227="", D2227&lt;&gt;""), A2226, A2226+1)</f>
        <v>2221</v>
      </c>
      <c r="R2227" t="b">
        <f>AND(ISNUMBER(FIND($E2227,Tables!$I$2)), ISNUMBER(FIND($D2227,Tables!$J$2)), $E2227&lt;&gt;"")</f>
        <v>0</v>
      </c>
    </row>
    <row r="2228" spans="1:18" x14ac:dyDescent="0.25">
      <c r="A2228">
        <f>IF(AND(B2228="", D2228&lt;&gt;""), A2227, A2227+1)</f>
        <v>2222</v>
      </c>
      <c r="R2228" t="b">
        <f>AND(ISNUMBER(FIND($E2228,Tables!$I$2)), ISNUMBER(FIND($D2228,Tables!$J$2)), $E2228&lt;&gt;"")</f>
        <v>0</v>
      </c>
    </row>
    <row r="2229" spans="1:18" x14ac:dyDescent="0.25">
      <c r="A2229">
        <f>IF(AND(B2229="", D2229&lt;&gt;""), A2228, A2228+1)</f>
        <v>2223</v>
      </c>
      <c r="R2229" t="b">
        <f>AND(ISNUMBER(FIND($E2229,Tables!$I$2)), ISNUMBER(FIND($D2229,Tables!$J$2)), $E2229&lt;&gt;"")</f>
        <v>0</v>
      </c>
    </row>
    <row r="2230" spans="1:18" x14ac:dyDescent="0.25">
      <c r="A2230">
        <f>IF(AND(B2230="", D2230&lt;&gt;""), A2229, A2229+1)</f>
        <v>2224</v>
      </c>
      <c r="R2230" t="b">
        <f>AND(ISNUMBER(FIND($E2230,Tables!$I$2)), ISNUMBER(FIND($D2230,Tables!$J$2)), $E2230&lt;&gt;"")</f>
        <v>0</v>
      </c>
    </row>
    <row r="2231" spans="1:18" x14ac:dyDescent="0.25">
      <c r="A2231">
        <f>IF(AND(B2231="", D2231&lt;&gt;""), A2230, A2230+1)</f>
        <v>2225</v>
      </c>
      <c r="R2231" t="b">
        <f>AND(ISNUMBER(FIND($E2231,Tables!$I$2)), ISNUMBER(FIND($D2231,Tables!$J$2)), $E2231&lt;&gt;"")</f>
        <v>0</v>
      </c>
    </row>
    <row r="2232" spans="1:18" x14ac:dyDescent="0.25">
      <c r="A2232">
        <f>IF(AND(B2232="", D2232&lt;&gt;""), A2231, A2231+1)</f>
        <v>2226</v>
      </c>
      <c r="R2232" t="b">
        <f>AND(ISNUMBER(FIND($E2232,Tables!$I$2)), ISNUMBER(FIND($D2232,Tables!$J$2)), $E2232&lt;&gt;"")</f>
        <v>0</v>
      </c>
    </row>
    <row r="2233" spans="1:18" x14ac:dyDescent="0.25">
      <c r="A2233">
        <f>IF(AND(B2233="", D2233&lt;&gt;""), A2232, A2232+1)</f>
        <v>2227</v>
      </c>
      <c r="R2233" t="b">
        <f>AND(ISNUMBER(FIND($E2233,Tables!$I$2)), ISNUMBER(FIND($D2233,Tables!$J$2)), $E2233&lt;&gt;"")</f>
        <v>0</v>
      </c>
    </row>
    <row r="2234" spans="1:18" x14ac:dyDescent="0.25">
      <c r="A2234">
        <f>IF(AND(B2234="", D2234&lt;&gt;""), A2233, A2233+1)</f>
        <v>2228</v>
      </c>
      <c r="R2234" t="b">
        <f>AND(ISNUMBER(FIND($E2234,Tables!$I$2)), ISNUMBER(FIND($D2234,Tables!$J$2)), $E2234&lt;&gt;"")</f>
        <v>0</v>
      </c>
    </row>
    <row r="2235" spans="1:18" x14ac:dyDescent="0.25">
      <c r="A2235">
        <f>IF(AND(B2235="", D2235&lt;&gt;""), A2234, A2234+1)</f>
        <v>2229</v>
      </c>
      <c r="R2235" t="b">
        <f>AND(ISNUMBER(FIND($E2235,Tables!$I$2)), ISNUMBER(FIND($D2235,Tables!$J$2)), $E2235&lt;&gt;"")</f>
        <v>0</v>
      </c>
    </row>
    <row r="2236" spans="1:18" x14ac:dyDescent="0.25">
      <c r="A2236">
        <f>IF(AND(B2236="", D2236&lt;&gt;""), A2235, A2235+1)</f>
        <v>2230</v>
      </c>
      <c r="R2236" t="b">
        <f>AND(ISNUMBER(FIND($E2236,Tables!$I$2)), ISNUMBER(FIND($D2236,Tables!$J$2)), $E2236&lt;&gt;"")</f>
        <v>0</v>
      </c>
    </row>
    <row r="2237" spans="1:18" x14ac:dyDescent="0.25">
      <c r="A2237">
        <f>IF(AND(B2237="", D2237&lt;&gt;""), A2236, A2236+1)</f>
        <v>2231</v>
      </c>
      <c r="R2237" t="b">
        <f>AND(ISNUMBER(FIND($E2237,Tables!$I$2)), ISNUMBER(FIND($D2237,Tables!$J$2)), $E2237&lt;&gt;"")</f>
        <v>0</v>
      </c>
    </row>
    <row r="2238" spans="1:18" x14ac:dyDescent="0.25">
      <c r="A2238">
        <f>IF(AND(B2238="", D2238&lt;&gt;""), A2237, A2237+1)</f>
        <v>2232</v>
      </c>
      <c r="R2238" t="b">
        <f>AND(ISNUMBER(FIND($E2238,Tables!$I$2)), ISNUMBER(FIND($D2238,Tables!$J$2)), $E2238&lt;&gt;"")</f>
        <v>0</v>
      </c>
    </row>
    <row r="2239" spans="1:18" x14ac:dyDescent="0.25">
      <c r="A2239">
        <f>IF(AND(B2239="", D2239&lt;&gt;""), A2238, A2238+1)</f>
        <v>2233</v>
      </c>
      <c r="R2239" t="b">
        <f>AND(ISNUMBER(FIND($E2239,Tables!$I$2)), ISNUMBER(FIND($D2239,Tables!$J$2)), $E2239&lt;&gt;"")</f>
        <v>0</v>
      </c>
    </row>
    <row r="2240" spans="1:18" x14ac:dyDescent="0.25">
      <c r="A2240">
        <f>IF(AND(B2240="", D2240&lt;&gt;""), A2239, A2239+1)</f>
        <v>2234</v>
      </c>
      <c r="R2240" t="b">
        <f>AND(ISNUMBER(FIND($E2240,Tables!$I$2)), ISNUMBER(FIND($D2240,Tables!$J$2)), $E2240&lt;&gt;"")</f>
        <v>0</v>
      </c>
    </row>
    <row r="2241" spans="1:18" x14ac:dyDescent="0.25">
      <c r="A2241">
        <f>IF(AND(B2241="", D2241&lt;&gt;""), A2240, A2240+1)</f>
        <v>2235</v>
      </c>
      <c r="R2241" t="b">
        <f>AND(ISNUMBER(FIND($E2241,Tables!$I$2)), ISNUMBER(FIND($D2241,Tables!$J$2)), $E2241&lt;&gt;"")</f>
        <v>0</v>
      </c>
    </row>
    <row r="2242" spans="1:18" x14ac:dyDescent="0.25">
      <c r="A2242">
        <f>IF(AND(B2242="", D2242&lt;&gt;""), A2241, A2241+1)</f>
        <v>2236</v>
      </c>
      <c r="R2242" t="b">
        <f>AND(ISNUMBER(FIND($E2242,Tables!$I$2)), ISNUMBER(FIND($D2242,Tables!$J$2)), $E2242&lt;&gt;"")</f>
        <v>0</v>
      </c>
    </row>
    <row r="2243" spans="1:18" x14ac:dyDescent="0.25">
      <c r="A2243">
        <f>IF(AND(B2243="", D2243&lt;&gt;""), A2242, A2242+1)</f>
        <v>2237</v>
      </c>
      <c r="R2243" t="b">
        <f>AND(ISNUMBER(FIND($E2243,Tables!$I$2)), ISNUMBER(FIND($D2243,Tables!$J$2)), $E2243&lt;&gt;"")</f>
        <v>0</v>
      </c>
    </row>
    <row r="2244" spans="1:18" x14ac:dyDescent="0.25">
      <c r="A2244">
        <f>IF(AND(B2244="", D2244&lt;&gt;""), A2243, A2243+1)</f>
        <v>2238</v>
      </c>
      <c r="R2244" t="b">
        <f>AND(ISNUMBER(FIND($E2244,Tables!$I$2)), ISNUMBER(FIND($D2244,Tables!$J$2)), $E2244&lt;&gt;"")</f>
        <v>0</v>
      </c>
    </row>
    <row r="2245" spans="1:18" x14ac:dyDescent="0.25">
      <c r="A2245">
        <f>IF(AND(B2245="", D2245&lt;&gt;""), A2244, A2244+1)</f>
        <v>2239</v>
      </c>
      <c r="R2245" t="b">
        <f>AND(ISNUMBER(FIND($E2245,Tables!$I$2)), ISNUMBER(FIND($D2245,Tables!$J$2)), $E2245&lt;&gt;"")</f>
        <v>0</v>
      </c>
    </row>
    <row r="2246" spans="1:18" x14ac:dyDescent="0.25">
      <c r="A2246">
        <f>IF(AND(B2246="", D2246&lt;&gt;""), A2245, A2245+1)</f>
        <v>2240</v>
      </c>
      <c r="R2246" t="b">
        <f>AND(ISNUMBER(FIND($E2246,Tables!$I$2)), ISNUMBER(FIND($D2246,Tables!$J$2)), $E2246&lt;&gt;"")</f>
        <v>0</v>
      </c>
    </row>
    <row r="2247" spans="1:18" x14ac:dyDescent="0.25">
      <c r="A2247">
        <f>IF(AND(B2247="", D2247&lt;&gt;""), A2246, A2246+1)</f>
        <v>2241</v>
      </c>
      <c r="R2247" t="b">
        <f>AND(ISNUMBER(FIND($E2247,Tables!$I$2)), ISNUMBER(FIND($D2247,Tables!$J$2)), $E2247&lt;&gt;"")</f>
        <v>0</v>
      </c>
    </row>
    <row r="2248" spans="1:18" x14ac:dyDescent="0.25">
      <c r="A2248">
        <f>IF(AND(B2248="", D2248&lt;&gt;""), A2247, A2247+1)</f>
        <v>2242</v>
      </c>
      <c r="R2248" t="b">
        <f>AND(ISNUMBER(FIND($E2248,Tables!$I$2)), ISNUMBER(FIND($D2248,Tables!$J$2)), $E2248&lt;&gt;"")</f>
        <v>0</v>
      </c>
    </row>
    <row r="2249" spans="1:18" x14ac:dyDescent="0.25">
      <c r="A2249">
        <f>IF(AND(B2249="", D2249&lt;&gt;""), A2248, A2248+1)</f>
        <v>2243</v>
      </c>
      <c r="R2249" t="b">
        <f>AND(ISNUMBER(FIND($E2249,Tables!$I$2)), ISNUMBER(FIND($D2249,Tables!$J$2)), $E2249&lt;&gt;"")</f>
        <v>0</v>
      </c>
    </row>
    <row r="2250" spans="1:18" x14ac:dyDescent="0.25">
      <c r="A2250">
        <f>IF(AND(B2250="", D2250&lt;&gt;""), A2249, A2249+1)</f>
        <v>2244</v>
      </c>
      <c r="R2250" t="b">
        <f>AND(ISNUMBER(FIND($E2250,Tables!$I$2)), ISNUMBER(FIND($D2250,Tables!$J$2)), $E2250&lt;&gt;"")</f>
        <v>0</v>
      </c>
    </row>
    <row r="2251" spans="1:18" x14ac:dyDescent="0.25">
      <c r="A2251">
        <f>IF(AND(B2251="", D2251&lt;&gt;""), A2250, A2250+1)</f>
        <v>2245</v>
      </c>
      <c r="R2251" t="b">
        <f>AND(ISNUMBER(FIND($E2251,Tables!$I$2)), ISNUMBER(FIND($D2251,Tables!$J$2)), $E2251&lt;&gt;"")</f>
        <v>0</v>
      </c>
    </row>
    <row r="2252" spans="1:18" x14ac:dyDescent="0.25">
      <c r="A2252">
        <f>IF(AND(B2252="", D2252&lt;&gt;""), A2251, A2251+1)</f>
        <v>2246</v>
      </c>
      <c r="R2252" t="b">
        <f>AND(ISNUMBER(FIND($E2252,Tables!$I$2)), ISNUMBER(FIND($D2252,Tables!$J$2)), $E2252&lt;&gt;"")</f>
        <v>0</v>
      </c>
    </row>
    <row r="2253" spans="1:18" x14ac:dyDescent="0.25">
      <c r="A2253">
        <f>IF(AND(B2253="", D2253&lt;&gt;""), A2252, A2252+1)</f>
        <v>2247</v>
      </c>
      <c r="R2253" t="b">
        <f>AND(ISNUMBER(FIND($E2253,Tables!$I$2)), ISNUMBER(FIND($D2253,Tables!$J$2)), $E2253&lt;&gt;"")</f>
        <v>0</v>
      </c>
    </row>
    <row r="2254" spans="1:18" x14ac:dyDescent="0.25">
      <c r="A2254">
        <f>IF(AND(B2254="", D2254&lt;&gt;""), A2253, A2253+1)</f>
        <v>2248</v>
      </c>
      <c r="R2254" t="b">
        <f>AND(ISNUMBER(FIND($E2254,Tables!$I$2)), ISNUMBER(FIND($D2254,Tables!$J$2)), $E2254&lt;&gt;"")</f>
        <v>0</v>
      </c>
    </row>
    <row r="2255" spans="1:18" x14ac:dyDescent="0.25">
      <c r="A2255">
        <f>IF(AND(B2255="", D2255&lt;&gt;""), A2254, A2254+1)</f>
        <v>2249</v>
      </c>
      <c r="R2255" t="b">
        <f>AND(ISNUMBER(FIND($E2255,Tables!$I$2)), ISNUMBER(FIND($D2255,Tables!$J$2)), $E2255&lt;&gt;"")</f>
        <v>0</v>
      </c>
    </row>
    <row r="2256" spans="1:18" x14ac:dyDescent="0.25">
      <c r="A2256">
        <f>IF(AND(B2256="", D2256&lt;&gt;""), A2255, A2255+1)</f>
        <v>2250</v>
      </c>
      <c r="R2256" t="b">
        <f>AND(ISNUMBER(FIND($E2256,Tables!$I$2)), ISNUMBER(FIND($D2256,Tables!$J$2)), $E2256&lt;&gt;"")</f>
        <v>0</v>
      </c>
    </row>
    <row r="2257" spans="1:18" x14ac:dyDescent="0.25">
      <c r="A2257">
        <f>IF(AND(B2257="", D2257&lt;&gt;""), A2256, A2256+1)</f>
        <v>2251</v>
      </c>
      <c r="R2257" t="b">
        <f>AND(ISNUMBER(FIND($E2257,Tables!$I$2)), ISNUMBER(FIND($D2257,Tables!$J$2)), $E2257&lt;&gt;"")</f>
        <v>0</v>
      </c>
    </row>
    <row r="2258" spans="1:18" x14ac:dyDescent="0.25">
      <c r="A2258">
        <f>IF(AND(B2258="", D2258&lt;&gt;""), A2257, A2257+1)</f>
        <v>2252</v>
      </c>
      <c r="R2258" t="b">
        <f>AND(ISNUMBER(FIND($E2258,Tables!$I$2)), ISNUMBER(FIND($D2258,Tables!$J$2)), $E2258&lt;&gt;"")</f>
        <v>0</v>
      </c>
    </row>
    <row r="2259" spans="1:18" x14ac:dyDescent="0.25">
      <c r="A2259">
        <f>IF(AND(B2259="", D2259&lt;&gt;""), A2258, A2258+1)</f>
        <v>2253</v>
      </c>
      <c r="R2259" t="b">
        <f>AND(ISNUMBER(FIND($E2259,Tables!$I$2)), ISNUMBER(FIND($D2259,Tables!$J$2)), $E2259&lt;&gt;"")</f>
        <v>0</v>
      </c>
    </row>
    <row r="2260" spans="1:18" x14ac:dyDescent="0.25">
      <c r="A2260">
        <f>IF(AND(B2260="", D2260&lt;&gt;""), A2259, A2259+1)</f>
        <v>2254</v>
      </c>
      <c r="R2260" t="b">
        <f>AND(ISNUMBER(FIND($E2260,Tables!$I$2)), ISNUMBER(FIND($D2260,Tables!$J$2)), $E2260&lt;&gt;"")</f>
        <v>0</v>
      </c>
    </row>
    <row r="2261" spans="1:18" x14ac:dyDescent="0.25">
      <c r="A2261">
        <f>IF(AND(B2261="", D2261&lt;&gt;""), A2260, A2260+1)</f>
        <v>2255</v>
      </c>
      <c r="R2261" t="b">
        <f>AND(ISNUMBER(FIND($E2261,Tables!$I$2)), ISNUMBER(FIND($D2261,Tables!$J$2)), $E2261&lt;&gt;"")</f>
        <v>0</v>
      </c>
    </row>
    <row r="2262" spans="1:18" x14ac:dyDescent="0.25">
      <c r="A2262">
        <f>IF(AND(B2262="", D2262&lt;&gt;""), A2261, A2261+1)</f>
        <v>2256</v>
      </c>
      <c r="R2262" t="b">
        <f>AND(ISNUMBER(FIND($E2262,Tables!$I$2)), ISNUMBER(FIND($D2262,Tables!$J$2)), $E2262&lt;&gt;"")</f>
        <v>0</v>
      </c>
    </row>
    <row r="2263" spans="1:18" x14ac:dyDescent="0.25">
      <c r="A2263">
        <f>IF(AND(B2263="", D2263&lt;&gt;""), A2262, A2262+1)</f>
        <v>2257</v>
      </c>
      <c r="R2263" t="b">
        <f>AND(ISNUMBER(FIND($E2263,Tables!$I$2)), ISNUMBER(FIND($D2263,Tables!$J$2)), $E2263&lt;&gt;"")</f>
        <v>0</v>
      </c>
    </row>
    <row r="2264" spans="1:18" x14ac:dyDescent="0.25">
      <c r="A2264">
        <f>IF(AND(B2264="", D2264&lt;&gt;""), A2263, A2263+1)</f>
        <v>2258</v>
      </c>
      <c r="R2264" t="b">
        <f>AND(ISNUMBER(FIND($E2264,Tables!$I$2)), ISNUMBER(FIND($D2264,Tables!$J$2)), $E2264&lt;&gt;"")</f>
        <v>0</v>
      </c>
    </row>
    <row r="2265" spans="1:18" x14ac:dyDescent="0.25">
      <c r="A2265">
        <f>IF(AND(B2265="", D2265&lt;&gt;""), A2264, A2264+1)</f>
        <v>2259</v>
      </c>
      <c r="R2265" t="b">
        <f>AND(ISNUMBER(FIND($E2265,Tables!$I$2)), ISNUMBER(FIND($D2265,Tables!$J$2)), $E2265&lt;&gt;"")</f>
        <v>0</v>
      </c>
    </row>
    <row r="2266" spans="1:18" x14ac:dyDescent="0.25">
      <c r="A2266">
        <f>IF(AND(B2266="", D2266&lt;&gt;""), A2265, A2265+1)</f>
        <v>2260</v>
      </c>
      <c r="R2266" t="b">
        <f>AND(ISNUMBER(FIND($E2266,Tables!$I$2)), ISNUMBER(FIND($D2266,Tables!$J$2)), $E2266&lt;&gt;"")</f>
        <v>0</v>
      </c>
    </row>
    <row r="2267" spans="1:18" x14ac:dyDescent="0.25">
      <c r="A2267">
        <f>IF(AND(B2267="", D2267&lt;&gt;""), A2266, A2266+1)</f>
        <v>2261</v>
      </c>
      <c r="R2267" t="b">
        <f>AND(ISNUMBER(FIND($E2267,Tables!$I$2)), ISNUMBER(FIND($D2267,Tables!$J$2)), $E2267&lt;&gt;"")</f>
        <v>0</v>
      </c>
    </row>
    <row r="2268" spans="1:18" x14ac:dyDescent="0.25">
      <c r="A2268">
        <f>IF(AND(B2268="", D2268&lt;&gt;""), A2267, A2267+1)</f>
        <v>2262</v>
      </c>
      <c r="R2268" t="b">
        <f>AND(ISNUMBER(FIND($E2268,Tables!$I$2)), ISNUMBER(FIND($D2268,Tables!$J$2)), $E2268&lt;&gt;"")</f>
        <v>0</v>
      </c>
    </row>
    <row r="2269" spans="1:18" x14ac:dyDescent="0.25">
      <c r="A2269">
        <f>IF(AND(B2269="", D2269&lt;&gt;""), A2268, A2268+1)</f>
        <v>2263</v>
      </c>
      <c r="R2269" t="b">
        <f>AND(ISNUMBER(FIND($E2269,Tables!$I$2)), ISNUMBER(FIND($D2269,Tables!$J$2)), $E2269&lt;&gt;"")</f>
        <v>0</v>
      </c>
    </row>
    <row r="2270" spans="1:18" x14ac:dyDescent="0.25">
      <c r="A2270">
        <f>IF(AND(B2270="", D2270&lt;&gt;""), A2269, A2269+1)</f>
        <v>2264</v>
      </c>
      <c r="R2270" t="b">
        <f>AND(ISNUMBER(FIND($E2270,Tables!$I$2)), ISNUMBER(FIND($D2270,Tables!$J$2)), $E2270&lt;&gt;"")</f>
        <v>0</v>
      </c>
    </row>
    <row r="2271" spans="1:18" x14ac:dyDescent="0.25">
      <c r="A2271">
        <f>IF(AND(B2271="", D2271&lt;&gt;""), A2270, A2270+1)</f>
        <v>2265</v>
      </c>
      <c r="R2271" t="b">
        <f>AND(ISNUMBER(FIND($E2271,Tables!$I$2)), ISNUMBER(FIND($D2271,Tables!$J$2)), $E2271&lt;&gt;"")</f>
        <v>0</v>
      </c>
    </row>
    <row r="2272" spans="1:18" x14ac:dyDescent="0.25">
      <c r="A2272">
        <f>IF(AND(B2272="", D2272&lt;&gt;""), A2271, A2271+1)</f>
        <v>2266</v>
      </c>
      <c r="R2272" t="b">
        <f>AND(ISNUMBER(FIND($E2272,Tables!$I$2)), ISNUMBER(FIND($D2272,Tables!$J$2)), $E2272&lt;&gt;"")</f>
        <v>0</v>
      </c>
    </row>
    <row r="2273" spans="1:18" x14ac:dyDescent="0.25">
      <c r="A2273">
        <f>IF(AND(B2273="", D2273&lt;&gt;""), A2272, A2272+1)</f>
        <v>2267</v>
      </c>
      <c r="R2273" t="b">
        <f>AND(ISNUMBER(FIND($E2273,Tables!$I$2)), ISNUMBER(FIND($D2273,Tables!$J$2)), $E2273&lt;&gt;"")</f>
        <v>0</v>
      </c>
    </row>
    <row r="2274" spans="1:18" x14ac:dyDescent="0.25">
      <c r="A2274">
        <f>IF(AND(B2274="", D2274&lt;&gt;""), A2273, A2273+1)</f>
        <v>2268</v>
      </c>
      <c r="R2274" t="b">
        <f>AND(ISNUMBER(FIND($E2274,Tables!$I$2)), ISNUMBER(FIND($D2274,Tables!$J$2)), $E2274&lt;&gt;"")</f>
        <v>0</v>
      </c>
    </row>
    <row r="2275" spans="1:18" x14ac:dyDescent="0.25">
      <c r="A2275">
        <f>IF(AND(B2275="", D2275&lt;&gt;""), A2274, A2274+1)</f>
        <v>2269</v>
      </c>
      <c r="R2275" t="b">
        <f>AND(ISNUMBER(FIND($E2275,Tables!$I$2)), ISNUMBER(FIND($D2275,Tables!$J$2)), $E2275&lt;&gt;"")</f>
        <v>0</v>
      </c>
    </row>
    <row r="2276" spans="1:18" x14ac:dyDescent="0.25">
      <c r="A2276">
        <f>IF(AND(B2276="", D2276&lt;&gt;""), A2275, A2275+1)</f>
        <v>2270</v>
      </c>
      <c r="R2276" t="b">
        <f>AND(ISNUMBER(FIND($E2276,Tables!$I$2)), ISNUMBER(FIND($D2276,Tables!$J$2)), $E2276&lt;&gt;"")</f>
        <v>0</v>
      </c>
    </row>
    <row r="2277" spans="1:18" x14ac:dyDescent="0.25">
      <c r="A2277">
        <f>IF(AND(B2277="", D2277&lt;&gt;""), A2276, A2276+1)</f>
        <v>2271</v>
      </c>
      <c r="R2277" t="b">
        <f>AND(ISNUMBER(FIND($E2277,Tables!$I$2)), ISNUMBER(FIND($D2277,Tables!$J$2)), $E2277&lt;&gt;"")</f>
        <v>0</v>
      </c>
    </row>
    <row r="2278" spans="1:18" x14ac:dyDescent="0.25">
      <c r="A2278">
        <f>IF(AND(B2278="", D2278&lt;&gt;""), A2277, A2277+1)</f>
        <v>2272</v>
      </c>
      <c r="R2278" t="b">
        <f>AND(ISNUMBER(FIND($E2278,Tables!$I$2)), ISNUMBER(FIND($D2278,Tables!$J$2)), $E2278&lt;&gt;"")</f>
        <v>0</v>
      </c>
    </row>
    <row r="2279" spans="1:18" x14ac:dyDescent="0.25">
      <c r="A2279">
        <f>IF(AND(B2279="", D2279&lt;&gt;""), A2278, A2278+1)</f>
        <v>2273</v>
      </c>
      <c r="R2279" t="b">
        <f>AND(ISNUMBER(FIND($E2279,Tables!$I$2)), ISNUMBER(FIND($D2279,Tables!$J$2)), $E2279&lt;&gt;"")</f>
        <v>0</v>
      </c>
    </row>
    <row r="2280" spans="1:18" x14ac:dyDescent="0.25">
      <c r="A2280">
        <f>IF(AND(B2280="", D2280&lt;&gt;""), A2279, A2279+1)</f>
        <v>2274</v>
      </c>
      <c r="R2280" t="b">
        <f>AND(ISNUMBER(FIND($E2280,Tables!$I$2)), ISNUMBER(FIND($D2280,Tables!$J$2)), $E2280&lt;&gt;"")</f>
        <v>0</v>
      </c>
    </row>
    <row r="2281" spans="1:18" x14ac:dyDescent="0.25">
      <c r="A2281">
        <f>IF(AND(B2281="", D2281&lt;&gt;""), A2280, A2280+1)</f>
        <v>2275</v>
      </c>
      <c r="R2281" t="b">
        <f>AND(ISNUMBER(FIND($E2281,Tables!$I$2)), ISNUMBER(FIND($D2281,Tables!$J$2)), $E2281&lt;&gt;"")</f>
        <v>0</v>
      </c>
    </row>
    <row r="2282" spans="1:18" x14ac:dyDescent="0.25">
      <c r="A2282">
        <f>IF(AND(B2282="", D2282&lt;&gt;""), A2281, A2281+1)</f>
        <v>2276</v>
      </c>
      <c r="R2282" t="b">
        <f>AND(ISNUMBER(FIND($E2282,Tables!$I$2)), ISNUMBER(FIND($D2282,Tables!$J$2)), $E2282&lt;&gt;"")</f>
        <v>0</v>
      </c>
    </row>
    <row r="2283" spans="1:18" x14ac:dyDescent="0.25">
      <c r="A2283">
        <f>IF(AND(B2283="", D2283&lt;&gt;""), A2282, A2282+1)</f>
        <v>2277</v>
      </c>
      <c r="R2283" t="b">
        <f>AND(ISNUMBER(FIND($E2283,Tables!$I$2)), ISNUMBER(FIND($D2283,Tables!$J$2)), $E2283&lt;&gt;"")</f>
        <v>0</v>
      </c>
    </row>
    <row r="2284" spans="1:18" x14ac:dyDescent="0.25">
      <c r="A2284">
        <f>IF(AND(B2284="", D2284&lt;&gt;""), A2283, A2283+1)</f>
        <v>2278</v>
      </c>
      <c r="R2284" t="b">
        <f>AND(ISNUMBER(FIND($E2284,Tables!$I$2)), ISNUMBER(FIND($D2284,Tables!$J$2)), $E2284&lt;&gt;"")</f>
        <v>0</v>
      </c>
    </row>
    <row r="2285" spans="1:18" x14ac:dyDescent="0.25">
      <c r="A2285">
        <f>IF(AND(B2285="", D2285&lt;&gt;""), A2284, A2284+1)</f>
        <v>2279</v>
      </c>
      <c r="R2285" t="b">
        <f>AND(ISNUMBER(FIND($E2285,Tables!$I$2)), ISNUMBER(FIND($D2285,Tables!$J$2)), $E2285&lt;&gt;"")</f>
        <v>0</v>
      </c>
    </row>
    <row r="2286" spans="1:18" x14ac:dyDescent="0.25">
      <c r="A2286">
        <f>IF(AND(B2286="", D2286&lt;&gt;""), A2285, A2285+1)</f>
        <v>2280</v>
      </c>
      <c r="R2286" t="b">
        <f>AND(ISNUMBER(FIND($E2286,Tables!$I$2)), ISNUMBER(FIND($D2286,Tables!$J$2)), $E2286&lt;&gt;"")</f>
        <v>0</v>
      </c>
    </row>
    <row r="2287" spans="1:18" x14ac:dyDescent="0.25">
      <c r="A2287">
        <f>IF(AND(B2287="", D2287&lt;&gt;""), A2286, A2286+1)</f>
        <v>2281</v>
      </c>
      <c r="R2287" t="b">
        <f>AND(ISNUMBER(FIND($E2287,Tables!$I$2)), ISNUMBER(FIND($D2287,Tables!$J$2)), $E2287&lt;&gt;"")</f>
        <v>0</v>
      </c>
    </row>
    <row r="2288" spans="1:18" x14ac:dyDescent="0.25">
      <c r="A2288">
        <f>IF(AND(B2288="", D2288&lt;&gt;""), A2287, A2287+1)</f>
        <v>2282</v>
      </c>
      <c r="R2288" t="b">
        <f>AND(ISNUMBER(FIND($E2288,Tables!$I$2)), ISNUMBER(FIND($D2288,Tables!$J$2)), $E2288&lt;&gt;"")</f>
        <v>0</v>
      </c>
    </row>
    <row r="2289" spans="1:18" x14ac:dyDescent="0.25">
      <c r="A2289">
        <f>IF(AND(B2289="", D2289&lt;&gt;""), A2288, A2288+1)</f>
        <v>2283</v>
      </c>
      <c r="R2289" t="b">
        <f>AND(ISNUMBER(FIND($E2289,Tables!$I$2)), ISNUMBER(FIND($D2289,Tables!$J$2)), $E2289&lt;&gt;"")</f>
        <v>0</v>
      </c>
    </row>
    <row r="2290" spans="1:18" x14ac:dyDescent="0.25">
      <c r="A2290">
        <f>IF(AND(B2290="", D2290&lt;&gt;""), A2289, A2289+1)</f>
        <v>2284</v>
      </c>
      <c r="R2290" t="b">
        <f>AND(ISNUMBER(FIND($E2290,Tables!$I$2)), ISNUMBER(FIND($D2290,Tables!$J$2)), $E2290&lt;&gt;"")</f>
        <v>0</v>
      </c>
    </row>
    <row r="2291" spans="1:18" x14ac:dyDescent="0.25">
      <c r="A2291">
        <f>IF(AND(B2291="", D2291&lt;&gt;""), A2290, A2290+1)</f>
        <v>2285</v>
      </c>
      <c r="R2291" t="b">
        <f>AND(ISNUMBER(FIND($E2291,Tables!$I$2)), ISNUMBER(FIND($D2291,Tables!$J$2)), $E2291&lt;&gt;"")</f>
        <v>0</v>
      </c>
    </row>
    <row r="2292" spans="1:18" x14ac:dyDescent="0.25">
      <c r="A2292">
        <f>IF(AND(B2292="", D2292&lt;&gt;""), A2291, A2291+1)</f>
        <v>2286</v>
      </c>
      <c r="R2292" t="b">
        <f>AND(ISNUMBER(FIND($E2292,Tables!$I$2)), ISNUMBER(FIND($D2292,Tables!$J$2)), $E2292&lt;&gt;"")</f>
        <v>0</v>
      </c>
    </row>
    <row r="2293" spans="1:18" x14ac:dyDescent="0.25">
      <c r="A2293">
        <f>IF(AND(B2293="", D2293&lt;&gt;""), A2292, A2292+1)</f>
        <v>2287</v>
      </c>
      <c r="R2293" t="b">
        <f>AND(ISNUMBER(FIND($E2293,Tables!$I$2)), ISNUMBER(FIND($D2293,Tables!$J$2)), $E2293&lt;&gt;"")</f>
        <v>0</v>
      </c>
    </row>
    <row r="2294" spans="1:18" x14ac:dyDescent="0.25">
      <c r="A2294">
        <f>IF(AND(B2294="", D2294&lt;&gt;""), A2293, A2293+1)</f>
        <v>2288</v>
      </c>
      <c r="R2294" t="b">
        <f>AND(ISNUMBER(FIND($E2294,Tables!$I$2)), ISNUMBER(FIND($D2294,Tables!$J$2)), $E2294&lt;&gt;"")</f>
        <v>0</v>
      </c>
    </row>
    <row r="2295" spans="1:18" x14ac:dyDescent="0.25">
      <c r="A2295">
        <f>IF(AND(B2295="", D2295&lt;&gt;""), A2294, A2294+1)</f>
        <v>2289</v>
      </c>
      <c r="R2295" t="b">
        <f>AND(ISNUMBER(FIND($E2295,Tables!$I$2)), ISNUMBER(FIND($D2295,Tables!$J$2)), $E2295&lt;&gt;"")</f>
        <v>0</v>
      </c>
    </row>
    <row r="2296" spans="1:18" x14ac:dyDescent="0.25">
      <c r="A2296">
        <f>IF(AND(B2296="", D2296&lt;&gt;""), A2295, A2295+1)</f>
        <v>2290</v>
      </c>
      <c r="R2296" t="b">
        <f>AND(ISNUMBER(FIND($E2296,Tables!$I$2)), ISNUMBER(FIND($D2296,Tables!$J$2)), $E2296&lt;&gt;"")</f>
        <v>0</v>
      </c>
    </row>
    <row r="2297" spans="1:18" x14ac:dyDescent="0.25">
      <c r="A2297">
        <f>IF(AND(B2297="", D2297&lt;&gt;""), A2296, A2296+1)</f>
        <v>2291</v>
      </c>
      <c r="R2297" t="b">
        <f>AND(ISNUMBER(FIND($E2297,Tables!$I$2)), ISNUMBER(FIND($D2297,Tables!$J$2)), $E2297&lt;&gt;"")</f>
        <v>0</v>
      </c>
    </row>
    <row r="2298" spans="1:18" x14ac:dyDescent="0.25">
      <c r="A2298">
        <f>IF(AND(B2298="", D2298&lt;&gt;""), A2297, A2297+1)</f>
        <v>2292</v>
      </c>
      <c r="R2298" t="b">
        <f>AND(ISNUMBER(FIND($E2298,Tables!$I$2)), ISNUMBER(FIND($D2298,Tables!$J$2)), $E2298&lt;&gt;"")</f>
        <v>0</v>
      </c>
    </row>
    <row r="2299" spans="1:18" x14ac:dyDescent="0.25">
      <c r="A2299">
        <f>IF(AND(B2299="", D2299&lt;&gt;""), A2298, A2298+1)</f>
        <v>2293</v>
      </c>
      <c r="R2299" t="b">
        <f>AND(ISNUMBER(FIND($E2299,Tables!$I$2)), ISNUMBER(FIND($D2299,Tables!$J$2)), $E2299&lt;&gt;"")</f>
        <v>0</v>
      </c>
    </row>
    <row r="2300" spans="1:18" x14ac:dyDescent="0.25">
      <c r="A2300">
        <f>IF(AND(B2300="", D2300&lt;&gt;""), A2299, A2299+1)</f>
        <v>2294</v>
      </c>
      <c r="R2300" t="b">
        <f>AND(ISNUMBER(FIND($E2300,Tables!$I$2)), ISNUMBER(FIND($D2300,Tables!$J$2)), $E2300&lt;&gt;"")</f>
        <v>0</v>
      </c>
    </row>
    <row r="2301" spans="1:18" x14ac:dyDescent="0.25">
      <c r="A2301">
        <f>IF(AND(B2301="", D2301&lt;&gt;""), A2300, A2300+1)</f>
        <v>2295</v>
      </c>
      <c r="R2301" t="b">
        <f>AND(ISNUMBER(FIND($E2301,Tables!$I$2)), ISNUMBER(FIND($D2301,Tables!$J$2)), $E2301&lt;&gt;"")</f>
        <v>0</v>
      </c>
    </row>
    <row r="2302" spans="1:18" x14ac:dyDescent="0.25">
      <c r="A2302">
        <f>IF(AND(B2302="", D2302&lt;&gt;""), A2301, A2301+1)</f>
        <v>2296</v>
      </c>
      <c r="R2302" t="b">
        <f>AND(ISNUMBER(FIND($E2302,Tables!$I$2)), ISNUMBER(FIND($D2302,Tables!$J$2)), $E2302&lt;&gt;"")</f>
        <v>0</v>
      </c>
    </row>
    <row r="2303" spans="1:18" x14ac:dyDescent="0.25">
      <c r="A2303">
        <f>IF(AND(B2303="", D2303&lt;&gt;""), A2302, A2302+1)</f>
        <v>2297</v>
      </c>
      <c r="R2303" t="b">
        <f>AND(ISNUMBER(FIND($E2303,Tables!$I$2)), ISNUMBER(FIND($D2303,Tables!$J$2)), $E2303&lt;&gt;"")</f>
        <v>0</v>
      </c>
    </row>
    <row r="2304" spans="1:18" x14ac:dyDescent="0.25">
      <c r="A2304">
        <f>IF(AND(B2304="", D2304&lt;&gt;""), A2303, A2303+1)</f>
        <v>2298</v>
      </c>
      <c r="R2304" t="b">
        <f>AND(ISNUMBER(FIND($E2304,Tables!$I$2)), ISNUMBER(FIND($D2304,Tables!$J$2)), $E2304&lt;&gt;"")</f>
        <v>0</v>
      </c>
    </row>
    <row r="2305" spans="1:18" x14ac:dyDescent="0.25">
      <c r="A2305">
        <f>IF(AND(B2305="", D2305&lt;&gt;""), A2304, A2304+1)</f>
        <v>2299</v>
      </c>
      <c r="R2305" t="b">
        <f>AND(ISNUMBER(FIND($E2305,Tables!$I$2)), ISNUMBER(FIND($D2305,Tables!$J$2)), $E2305&lt;&gt;"")</f>
        <v>0</v>
      </c>
    </row>
    <row r="2306" spans="1:18" x14ac:dyDescent="0.25">
      <c r="A2306">
        <f>IF(AND(B2306="", D2306&lt;&gt;""), A2305, A2305+1)</f>
        <v>2300</v>
      </c>
      <c r="R2306" t="b">
        <f>AND(ISNUMBER(FIND($E2306,Tables!$I$2)), ISNUMBER(FIND($D2306,Tables!$J$2)), $E2306&lt;&gt;"")</f>
        <v>0</v>
      </c>
    </row>
    <row r="2307" spans="1:18" x14ac:dyDescent="0.25">
      <c r="A2307">
        <f>IF(AND(B2307="", D2307&lt;&gt;""), A2306, A2306+1)</f>
        <v>2301</v>
      </c>
      <c r="R2307" t="b">
        <f>AND(ISNUMBER(FIND($E2307,Tables!$I$2)), ISNUMBER(FIND($D2307,Tables!$J$2)), $E2307&lt;&gt;"")</f>
        <v>0</v>
      </c>
    </row>
    <row r="2308" spans="1:18" x14ac:dyDescent="0.25">
      <c r="A2308">
        <f>IF(AND(B2308="", D2308&lt;&gt;""), A2307, A2307+1)</f>
        <v>2302</v>
      </c>
      <c r="R2308" t="b">
        <f>AND(ISNUMBER(FIND($E2308,Tables!$I$2)), ISNUMBER(FIND($D2308,Tables!$J$2)), $E2308&lt;&gt;"")</f>
        <v>0</v>
      </c>
    </row>
    <row r="2309" spans="1:18" x14ac:dyDescent="0.25">
      <c r="A2309">
        <f>IF(AND(B2309="", D2309&lt;&gt;""), A2308, A2308+1)</f>
        <v>2303</v>
      </c>
      <c r="R2309" t="b">
        <f>AND(ISNUMBER(FIND($E2309,Tables!$I$2)), ISNUMBER(FIND($D2309,Tables!$J$2)), $E2309&lt;&gt;"")</f>
        <v>0</v>
      </c>
    </row>
    <row r="2310" spans="1:18" x14ac:dyDescent="0.25">
      <c r="A2310">
        <f>IF(AND(B2310="", D2310&lt;&gt;""), A2309, A2309+1)</f>
        <v>2304</v>
      </c>
      <c r="R2310" t="b">
        <f>AND(ISNUMBER(FIND($E2310,Tables!$I$2)), ISNUMBER(FIND($D2310,Tables!$J$2)), $E2310&lt;&gt;"")</f>
        <v>0</v>
      </c>
    </row>
    <row r="2311" spans="1:18" x14ac:dyDescent="0.25">
      <c r="A2311">
        <f>IF(AND(B2311="", D2311&lt;&gt;""), A2310, A2310+1)</f>
        <v>2305</v>
      </c>
      <c r="R2311" t="b">
        <f>AND(ISNUMBER(FIND($E2311,Tables!$I$2)), ISNUMBER(FIND($D2311,Tables!$J$2)), $E2311&lt;&gt;"")</f>
        <v>0</v>
      </c>
    </row>
    <row r="2312" spans="1:18" x14ac:dyDescent="0.25">
      <c r="A2312">
        <f>IF(AND(B2312="", D2312&lt;&gt;""), A2311, A2311+1)</f>
        <v>2306</v>
      </c>
      <c r="R2312" t="b">
        <f>AND(ISNUMBER(FIND($E2312,Tables!$I$2)), ISNUMBER(FIND($D2312,Tables!$J$2)), $E2312&lt;&gt;"")</f>
        <v>0</v>
      </c>
    </row>
    <row r="2313" spans="1:18" x14ac:dyDescent="0.25">
      <c r="A2313">
        <f>IF(AND(B2313="", D2313&lt;&gt;""), A2312, A2312+1)</f>
        <v>2307</v>
      </c>
      <c r="R2313" t="b">
        <f>AND(ISNUMBER(FIND($E2313,Tables!$I$2)), ISNUMBER(FIND($D2313,Tables!$J$2)), $E2313&lt;&gt;"")</f>
        <v>0</v>
      </c>
    </row>
    <row r="2314" spans="1:18" x14ac:dyDescent="0.25">
      <c r="A2314">
        <f>IF(AND(B2314="", D2314&lt;&gt;""), A2313, A2313+1)</f>
        <v>2308</v>
      </c>
      <c r="R2314" t="b">
        <f>AND(ISNUMBER(FIND($E2314,Tables!$I$2)), ISNUMBER(FIND($D2314,Tables!$J$2)), $E2314&lt;&gt;"")</f>
        <v>0</v>
      </c>
    </row>
    <row r="2315" spans="1:18" x14ac:dyDescent="0.25">
      <c r="A2315">
        <f>IF(AND(B2315="", D2315&lt;&gt;""), A2314, A2314+1)</f>
        <v>2309</v>
      </c>
      <c r="R2315" t="b">
        <f>AND(ISNUMBER(FIND($E2315,Tables!$I$2)), ISNUMBER(FIND($D2315,Tables!$J$2)), $E2315&lt;&gt;"")</f>
        <v>0</v>
      </c>
    </row>
    <row r="2316" spans="1:18" x14ac:dyDescent="0.25">
      <c r="A2316">
        <f>IF(AND(B2316="", D2316&lt;&gt;""), A2315, A2315+1)</f>
        <v>2310</v>
      </c>
      <c r="R2316" t="b">
        <f>AND(ISNUMBER(FIND($E2316,Tables!$I$2)), ISNUMBER(FIND($D2316,Tables!$J$2)), $E2316&lt;&gt;"")</f>
        <v>0</v>
      </c>
    </row>
    <row r="2317" spans="1:18" x14ac:dyDescent="0.25">
      <c r="A2317">
        <f>IF(AND(B2317="", D2317&lt;&gt;""), A2316, A2316+1)</f>
        <v>2311</v>
      </c>
      <c r="R2317" t="b">
        <f>AND(ISNUMBER(FIND($E2317,Tables!$I$2)), ISNUMBER(FIND($D2317,Tables!$J$2)), $E2317&lt;&gt;"")</f>
        <v>0</v>
      </c>
    </row>
    <row r="2318" spans="1:18" x14ac:dyDescent="0.25">
      <c r="A2318">
        <f>IF(AND(B2318="", D2318&lt;&gt;""), A2317, A2317+1)</f>
        <v>2312</v>
      </c>
      <c r="R2318" t="b">
        <f>AND(ISNUMBER(FIND($E2318,Tables!$I$2)), ISNUMBER(FIND($D2318,Tables!$J$2)), $E2318&lt;&gt;"")</f>
        <v>0</v>
      </c>
    </row>
    <row r="2319" spans="1:18" x14ac:dyDescent="0.25">
      <c r="A2319">
        <f>IF(AND(B2319="", D2319&lt;&gt;""), A2318, A2318+1)</f>
        <v>2313</v>
      </c>
      <c r="R2319" t="b">
        <f>AND(ISNUMBER(FIND($E2319,Tables!$I$2)), ISNUMBER(FIND($D2319,Tables!$J$2)), $E2319&lt;&gt;"")</f>
        <v>0</v>
      </c>
    </row>
    <row r="2320" spans="1:18" x14ac:dyDescent="0.25">
      <c r="A2320">
        <f>IF(AND(B2320="", D2320&lt;&gt;""), A2319, A2319+1)</f>
        <v>2314</v>
      </c>
      <c r="R2320" t="b">
        <f>AND(ISNUMBER(FIND($E2320,Tables!$I$2)), ISNUMBER(FIND($D2320,Tables!$J$2)), $E2320&lt;&gt;"")</f>
        <v>0</v>
      </c>
    </row>
    <row r="2321" spans="1:18" x14ac:dyDescent="0.25">
      <c r="A2321">
        <f>IF(AND(B2321="", D2321&lt;&gt;""), A2320, A2320+1)</f>
        <v>2315</v>
      </c>
      <c r="R2321" t="b">
        <f>AND(ISNUMBER(FIND($E2321,Tables!$I$2)), ISNUMBER(FIND($D2321,Tables!$J$2)), $E2321&lt;&gt;"")</f>
        <v>0</v>
      </c>
    </row>
    <row r="2322" spans="1:18" x14ac:dyDescent="0.25">
      <c r="A2322">
        <f>IF(AND(B2322="", D2322&lt;&gt;""), A2321, A2321+1)</f>
        <v>2316</v>
      </c>
      <c r="R2322" t="b">
        <f>AND(ISNUMBER(FIND($E2322,Tables!$I$2)), ISNUMBER(FIND($D2322,Tables!$J$2)), $E2322&lt;&gt;"")</f>
        <v>0</v>
      </c>
    </row>
    <row r="2323" spans="1:18" x14ac:dyDescent="0.25">
      <c r="A2323">
        <f>IF(AND(B2323="", D2323&lt;&gt;""), A2322, A2322+1)</f>
        <v>2317</v>
      </c>
      <c r="R2323" t="b">
        <f>AND(ISNUMBER(FIND($E2323,Tables!$I$2)), ISNUMBER(FIND($D2323,Tables!$J$2)), $E2323&lt;&gt;"")</f>
        <v>0</v>
      </c>
    </row>
    <row r="2324" spans="1:18" x14ac:dyDescent="0.25">
      <c r="A2324">
        <f>IF(AND(B2324="", D2324&lt;&gt;""), A2323, A2323+1)</f>
        <v>2318</v>
      </c>
      <c r="R2324" t="b">
        <f>AND(ISNUMBER(FIND($E2324,Tables!$I$2)), ISNUMBER(FIND($D2324,Tables!$J$2)), $E2324&lt;&gt;"")</f>
        <v>0</v>
      </c>
    </row>
    <row r="2325" spans="1:18" x14ac:dyDescent="0.25">
      <c r="A2325">
        <f>IF(AND(B2325="", D2325&lt;&gt;""), A2324, A2324+1)</f>
        <v>2319</v>
      </c>
      <c r="R2325" t="b">
        <f>AND(ISNUMBER(FIND($E2325,Tables!$I$2)), ISNUMBER(FIND($D2325,Tables!$J$2)), $E2325&lt;&gt;"")</f>
        <v>0</v>
      </c>
    </row>
    <row r="2326" spans="1:18" x14ac:dyDescent="0.25">
      <c r="A2326">
        <f>IF(AND(B2326="", D2326&lt;&gt;""), A2325, A2325+1)</f>
        <v>2320</v>
      </c>
      <c r="R2326" t="b">
        <f>AND(ISNUMBER(FIND($E2326,Tables!$I$2)), ISNUMBER(FIND($D2326,Tables!$J$2)), $E2326&lt;&gt;"")</f>
        <v>0</v>
      </c>
    </row>
    <row r="2327" spans="1:18" x14ac:dyDescent="0.25">
      <c r="A2327">
        <f>IF(AND(B2327="", D2327&lt;&gt;""), A2326, A2326+1)</f>
        <v>2321</v>
      </c>
      <c r="R2327" t="b">
        <f>AND(ISNUMBER(FIND($E2327,Tables!$I$2)), ISNUMBER(FIND($D2327,Tables!$J$2)), $E2327&lt;&gt;"")</f>
        <v>0</v>
      </c>
    </row>
    <row r="2328" spans="1:18" x14ac:dyDescent="0.25">
      <c r="A2328">
        <f>IF(AND(B2328="", D2328&lt;&gt;""), A2327, A2327+1)</f>
        <v>2322</v>
      </c>
      <c r="R2328" t="b">
        <f>AND(ISNUMBER(FIND($E2328,Tables!$I$2)), ISNUMBER(FIND($D2328,Tables!$J$2)), $E2328&lt;&gt;"")</f>
        <v>0</v>
      </c>
    </row>
    <row r="2329" spans="1:18" x14ac:dyDescent="0.25">
      <c r="A2329">
        <f>IF(AND(B2329="", D2329&lt;&gt;""), A2328, A2328+1)</f>
        <v>2323</v>
      </c>
      <c r="R2329" t="b">
        <f>AND(ISNUMBER(FIND($E2329,Tables!$I$2)), ISNUMBER(FIND($D2329,Tables!$J$2)), $E2329&lt;&gt;"")</f>
        <v>0</v>
      </c>
    </row>
    <row r="2330" spans="1:18" x14ac:dyDescent="0.25">
      <c r="A2330">
        <f>IF(AND(B2330="", D2330&lt;&gt;""), A2329, A2329+1)</f>
        <v>2324</v>
      </c>
      <c r="R2330" t="b">
        <f>AND(ISNUMBER(FIND($E2330,Tables!$I$2)), ISNUMBER(FIND($D2330,Tables!$J$2)), $E2330&lt;&gt;"")</f>
        <v>0</v>
      </c>
    </row>
    <row r="2331" spans="1:18" x14ac:dyDescent="0.25">
      <c r="A2331">
        <f>IF(AND(B2331="", D2331&lt;&gt;""), A2330, A2330+1)</f>
        <v>2325</v>
      </c>
      <c r="R2331" t="b">
        <f>AND(ISNUMBER(FIND($E2331,Tables!$I$2)), ISNUMBER(FIND($D2331,Tables!$J$2)), $E2331&lt;&gt;"")</f>
        <v>0</v>
      </c>
    </row>
    <row r="2332" spans="1:18" x14ac:dyDescent="0.25">
      <c r="A2332">
        <f>IF(AND(B2332="", D2332&lt;&gt;""), A2331, A2331+1)</f>
        <v>2326</v>
      </c>
      <c r="R2332" t="b">
        <f>AND(ISNUMBER(FIND($E2332,Tables!$I$2)), ISNUMBER(FIND($D2332,Tables!$J$2)), $E2332&lt;&gt;"")</f>
        <v>0</v>
      </c>
    </row>
    <row r="2333" spans="1:18" x14ac:dyDescent="0.25">
      <c r="A2333">
        <f>IF(AND(B2333="", D2333&lt;&gt;""), A2332, A2332+1)</f>
        <v>2327</v>
      </c>
      <c r="R2333" t="b">
        <f>AND(ISNUMBER(FIND($E2333,Tables!$I$2)), ISNUMBER(FIND($D2333,Tables!$J$2)), $E2333&lt;&gt;"")</f>
        <v>0</v>
      </c>
    </row>
    <row r="2334" spans="1:18" x14ac:dyDescent="0.25">
      <c r="A2334">
        <f>IF(AND(B2334="", D2334&lt;&gt;""), A2333, A2333+1)</f>
        <v>2328</v>
      </c>
      <c r="R2334" t="b">
        <f>AND(ISNUMBER(FIND($E2334,Tables!$I$2)), ISNUMBER(FIND($D2334,Tables!$J$2)), $E2334&lt;&gt;"")</f>
        <v>0</v>
      </c>
    </row>
    <row r="2335" spans="1:18" x14ac:dyDescent="0.25">
      <c r="A2335">
        <f>IF(AND(B2335="", D2335&lt;&gt;""), A2334, A2334+1)</f>
        <v>2329</v>
      </c>
      <c r="R2335" t="b">
        <f>AND(ISNUMBER(FIND($E2335,Tables!$I$2)), ISNUMBER(FIND($D2335,Tables!$J$2)), $E2335&lt;&gt;"")</f>
        <v>0</v>
      </c>
    </row>
    <row r="2336" spans="1:18" x14ac:dyDescent="0.25">
      <c r="A2336">
        <f>IF(AND(B2336="", D2336&lt;&gt;""), A2335, A2335+1)</f>
        <v>2330</v>
      </c>
      <c r="R2336" t="b">
        <f>AND(ISNUMBER(FIND($E2336,Tables!$I$2)), ISNUMBER(FIND($D2336,Tables!$J$2)), $E2336&lt;&gt;"")</f>
        <v>0</v>
      </c>
    </row>
    <row r="2337" spans="1:18" x14ac:dyDescent="0.25">
      <c r="A2337">
        <f>IF(AND(B2337="", D2337&lt;&gt;""), A2336, A2336+1)</f>
        <v>2331</v>
      </c>
      <c r="R2337" t="b">
        <f>AND(ISNUMBER(FIND($E2337,Tables!$I$2)), ISNUMBER(FIND($D2337,Tables!$J$2)), $E2337&lt;&gt;"")</f>
        <v>0</v>
      </c>
    </row>
    <row r="2338" spans="1:18" x14ac:dyDescent="0.25">
      <c r="A2338">
        <f>IF(AND(B2338="", D2338&lt;&gt;""), A2337, A2337+1)</f>
        <v>2332</v>
      </c>
      <c r="R2338" t="b">
        <f>AND(ISNUMBER(FIND($E2338,Tables!$I$2)), ISNUMBER(FIND($D2338,Tables!$J$2)), $E2338&lt;&gt;"")</f>
        <v>0</v>
      </c>
    </row>
    <row r="2339" spans="1:18" x14ac:dyDescent="0.25">
      <c r="A2339">
        <f>IF(AND(B2339="", D2339&lt;&gt;""), A2338, A2338+1)</f>
        <v>2333</v>
      </c>
      <c r="R2339" t="b">
        <f>AND(ISNUMBER(FIND($E2339,Tables!$I$2)), ISNUMBER(FIND($D2339,Tables!$J$2)), $E2339&lt;&gt;"")</f>
        <v>0</v>
      </c>
    </row>
    <row r="2340" spans="1:18" x14ac:dyDescent="0.25">
      <c r="A2340">
        <f>IF(AND(B2340="", D2340&lt;&gt;""), A2339, A2339+1)</f>
        <v>2334</v>
      </c>
      <c r="R2340" t="b">
        <f>AND(ISNUMBER(FIND($E2340,Tables!$I$2)), ISNUMBER(FIND($D2340,Tables!$J$2)), $E2340&lt;&gt;"")</f>
        <v>0</v>
      </c>
    </row>
    <row r="2341" spans="1:18" x14ac:dyDescent="0.25">
      <c r="A2341">
        <f>IF(AND(B2341="", D2341&lt;&gt;""), A2340, A2340+1)</f>
        <v>2335</v>
      </c>
      <c r="R2341" t="b">
        <f>AND(ISNUMBER(FIND($E2341,Tables!$I$2)), ISNUMBER(FIND($D2341,Tables!$J$2)), $E2341&lt;&gt;"")</f>
        <v>0</v>
      </c>
    </row>
    <row r="2342" spans="1:18" x14ac:dyDescent="0.25">
      <c r="A2342">
        <f>IF(AND(B2342="", D2342&lt;&gt;""), A2341, A2341+1)</f>
        <v>2336</v>
      </c>
      <c r="R2342" t="b">
        <f>AND(ISNUMBER(FIND($E2342,Tables!$I$2)), ISNUMBER(FIND($D2342,Tables!$J$2)), $E2342&lt;&gt;"")</f>
        <v>0</v>
      </c>
    </row>
    <row r="2343" spans="1:18" x14ac:dyDescent="0.25">
      <c r="A2343">
        <f>IF(AND(B2343="", D2343&lt;&gt;""), A2342, A2342+1)</f>
        <v>2337</v>
      </c>
      <c r="R2343" t="b">
        <f>AND(ISNUMBER(FIND($E2343,Tables!$I$2)), ISNUMBER(FIND($D2343,Tables!$J$2)), $E2343&lt;&gt;"")</f>
        <v>0</v>
      </c>
    </row>
    <row r="2344" spans="1:18" x14ac:dyDescent="0.25">
      <c r="A2344">
        <f>IF(AND(B2344="", D2344&lt;&gt;""), A2343, A2343+1)</f>
        <v>2338</v>
      </c>
      <c r="R2344" t="b">
        <f>AND(ISNUMBER(FIND($E2344,Tables!$I$2)), ISNUMBER(FIND($D2344,Tables!$J$2)), $E2344&lt;&gt;"")</f>
        <v>0</v>
      </c>
    </row>
    <row r="2345" spans="1:18" x14ac:dyDescent="0.25">
      <c r="A2345">
        <f>IF(AND(B2345="", D2345&lt;&gt;""), A2344, A2344+1)</f>
        <v>2339</v>
      </c>
      <c r="R2345" t="b">
        <f>AND(ISNUMBER(FIND($E2345,Tables!$I$2)), ISNUMBER(FIND($D2345,Tables!$J$2)), $E2345&lt;&gt;"")</f>
        <v>0</v>
      </c>
    </row>
    <row r="2346" spans="1:18" x14ac:dyDescent="0.25">
      <c r="A2346">
        <f>IF(AND(B2346="", D2346&lt;&gt;""), A2345, A2345+1)</f>
        <v>2340</v>
      </c>
      <c r="R2346" t="b">
        <f>AND(ISNUMBER(FIND($E2346,Tables!$I$2)), ISNUMBER(FIND($D2346,Tables!$J$2)), $E2346&lt;&gt;"")</f>
        <v>0</v>
      </c>
    </row>
    <row r="2347" spans="1:18" x14ac:dyDescent="0.25">
      <c r="A2347">
        <f>IF(AND(B2347="", D2347&lt;&gt;""), A2346, A2346+1)</f>
        <v>2341</v>
      </c>
      <c r="R2347" t="b">
        <f>AND(ISNUMBER(FIND($E2347,Tables!$I$2)), ISNUMBER(FIND($D2347,Tables!$J$2)), $E2347&lt;&gt;"")</f>
        <v>0</v>
      </c>
    </row>
    <row r="2348" spans="1:18" x14ac:dyDescent="0.25">
      <c r="A2348">
        <f>IF(AND(B2348="", D2348&lt;&gt;""), A2347, A2347+1)</f>
        <v>2342</v>
      </c>
      <c r="R2348" t="b">
        <f>AND(ISNUMBER(FIND($E2348,Tables!$I$2)), ISNUMBER(FIND($D2348,Tables!$J$2)), $E2348&lt;&gt;"")</f>
        <v>0</v>
      </c>
    </row>
    <row r="2349" spans="1:18" x14ac:dyDescent="0.25">
      <c r="A2349">
        <f>IF(AND(B2349="", D2349&lt;&gt;""), A2348, A2348+1)</f>
        <v>2343</v>
      </c>
      <c r="R2349" t="b">
        <f>AND(ISNUMBER(FIND($E2349,Tables!$I$2)), ISNUMBER(FIND($D2349,Tables!$J$2)), $E2349&lt;&gt;"")</f>
        <v>0</v>
      </c>
    </row>
    <row r="2350" spans="1:18" x14ac:dyDescent="0.25">
      <c r="A2350">
        <f>IF(AND(B2350="", D2350&lt;&gt;""), A2349, A2349+1)</f>
        <v>2344</v>
      </c>
      <c r="R2350" t="b">
        <f>AND(ISNUMBER(FIND($E2350,Tables!$I$2)), ISNUMBER(FIND($D2350,Tables!$J$2)), $E2350&lt;&gt;"")</f>
        <v>0</v>
      </c>
    </row>
    <row r="2351" spans="1:18" x14ac:dyDescent="0.25">
      <c r="A2351">
        <f>IF(AND(B2351="", D2351&lt;&gt;""), A2350, A2350+1)</f>
        <v>2345</v>
      </c>
      <c r="R2351" t="b">
        <f>AND(ISNUMBER(FIND($E2351,Tables!$I$2)), ISNUMBER(FIND($D2351,Tables!$J$2)), $E2351&lt;&gt;"")</f>
        <v>0</v>
      </c>
    </row>
    <row r="2352" spans="1:18" x14ac:dyDescent="0.25">
      <c r="A2352">
        <f>IF(AND(B2352="", D2352&lt;&gt;""), A2351, A2351+1)</f>
        <v>2346</v>
      </c>
      <c r="R2352" t="b">
        <f>AND(ISNUMBER(FIND($E2352,Tables!$I$2)), ISNUMBER(FIND($D2352,Tables!$J$2)), $E2352&lt;&gt;"")</f>
        <v>0</v>
      </c>
    </row>
    <row r="2353" spans="1:18" x14ac:dyDescent="0.25">
      <c r="A2353">
        <f>IF(AND(B2353="", D2353&lt;&gt;""), A2352, A2352+1)</f>
        <v>2347</v>
      </c>
      <c r="R2353" t="b">
        <f>AND(ISNUMBER(FIND($E2353,Tables!$I$2)), ISNUMBER(FIND($D2353,Tables!$J$2)), $E2353&lt;&gt;"")</f>
        <v>0</v>
      </c>
    </row>
    <row r="2354" spans="1:18" x14ac:dyDescent="0.25">
      <c r="A2354">
        <f>IF(AND(B2354="", D2354&lt;&gt;""), A2353, A2353+1)</f>
        <v>2348</v>
      </c>
      <c r="R2354" t="b">
        <f>AND(ISNUMBER(FIND($E2354,Tables!$I$2)), ISNUMBER(FIND($D2354,Tables!$J$2)), $E2354&lt;&gt;"")</f>
        <v>0</v>
      </c>
    </row>
    <row r="2355" spans="1:18" x14ac:dyDescent="0.25">
      <c r="A2355">
        <f>IF(AND(B2355="", D2355&lt;&gt;""), A2354, A2354+1)</f>
        <v>2349</v>
      </c>
      <c r="R2355" t="b">
        <f>AND(ISNUMBER(FIND($E2355,Tables!$I$2)), ISNUMBER(FIND($D2355,Tables!$J$2)), $E2355&lt;&gt;"")</f>
        <v>0</v>
      </c>
    </row>
    <row r="2356" spans="1:18" x14ac:dyDescent="0.25">
      <c r="A2356">
        <f>IF(AND(B2356="", D2356&lt;&gt;""), A2355, A2355+1)</f>
        <v>2350</v>
      </c>
      <c r="R2356" t="b">
        <f>AND(ISNUMBER(FIND($E2356,Tables!$I$2)), ISNUMBER(FIND($D2356,Tables!$J$2)), $E2356&lt;&gt;"")</f>
        <v>0</v>
      </c>
    </row>
    <row r="2357" spans="1:18" x14ac:dyDescent="0.25">
      <c r="A2357">
        <f>IF(AND(B2357="", D2357&lt;&gt;""), A2356, A2356+1)</f>
        <v>2351</v>
      </c>
      <c r="R2357" t="b">
        <f>AND(ISNUMBER(FIND($E2357,Tables!$I$2)), ISNUMBER(FIND($D2357,Tables!$J$2)), $E2357&lt;&gt;"")</f>
        <v>0</v>
      </c>
    </row>
    <row r="2358" spans="1:18" x14ac:dyDescent="0.25">
      <c r="A2358">
        <f>IF(AND(B2358="", D2358&lt;&gt;""), A2357, A2357+1)</f>
        <v>2352</v>
      </c>
      <c r="R2358" t="b">
        <f>AND(ISNUMBER(FIND($E2358,Tables!$I$2)), ISNUMBER(FIND($D2358,Tables!$J$2)), $E2358&lt;&gt;"")</f>
        <v>0</v>
      </c>
    </row>
    <row r="2359" spans="1:18" x14ac:dyDescent="0.25">
      <c r="A2359">
        <f>IF(AND(B2359="", D2359&lt;&gt;""), A2358, A2358+1)</f>
        <v>2353</v>
      </c>
      <c r="R2359" t="b">
        <f>AND(ISNUMBER(FIND($E2359,Tables!$I$2)), ISNUMBER(FIND($D2359,Tables!$J$2)), $E2359&lt;&gt;"")</f>
        <v>0</v>
      </c>
    </row>
    <row r="2360" spans="1:18" x14ac:dyDescent="0.25">
      <c r="A2360">
        <f>IF(AND(B2360="", D2360&lt;&gt;""), A2359, A2359+1)</f>
        <v>2354</v>
      </c>
      <c r="R2360" t="b">
        <f>AND(ISNUMBER(FIND($E2360,Tables!$I$2)), ISNUMBER(FIND($D2360,Tables!$J$2)), $E2360&lt;&gt;"")</f>
        <v>0</v>
      </c>
    </row>
    <row r="2361" spans="1:18" x14ac:dyDescent="0.25">
      <c r="A2361">
        <f>IF(AND(B2361="", D2361&lt;&gt;""), A2360, A2360+1)</f>
        <v>2355</v>
      </c>
      <c r="R2361" t="b">
        <f>AND(ISNUMBER(FIND($E2361,Tables!$I$2)), ISNUMBER(FIND($D2361,Tables!$J$2)), $E2361&lt;&gt;"")</f>
        <v>0</v>
      </c>
    </row>
    <row r="2362" spans="1:18" x14ac:dyDescent="0.25">
      <c r="A2362">
        <f>IF(AND(B2362="", D2362&lt;&gt;""), A2361, A2361+1)</f>
        <v>2356</v>
      </c>
      <c r="R2362" t="b">
        <f>AND(ISNUMBER(FIND($E2362,Tables!$I$2)), ISNUMBER(FIND($D2362,Tables!$J$2)), $E2362&lt;&gt;"")</f>
        <v>0</v>
      </c>
    </row>
    <row r="2363" spans="1:18" x14ac:dyDescent="0.25">
      <c r="A2363">
        <f>IF(AND(B2363="", D2363&lt;&gt;""), A2362, A2362+1)</f>
        <v>2357</v>
      </c>
      <c r="R2363" t="b">
        <f>AND(ISNUMBER(FIND($E2363,Tables!$I$2)), ISNUMBER(FIND($D2363,Tables!$J$2)), $E2363&lt;&gt;"")</f>
        <v>0</v>
      </c>
    </row>
    <row r="2364" spans="1:18" x14ac:dyDescent="0.25">
      <c r="A2364">
        <f>IF(AND(B2364="", D2364&lt;&gt;""), A2363, A2363+1)</f>
        <v>2358</v>
      </c>
      <c r="R2364" t="b">
        <f>AND(ISNUMBER(FIND($E2364,Tables!$I$2)), ISNUMBER(FIND($D2364,Tables!$J$2)), $E2364&lt;&gt;"")</f>
        <v>0</v>
      </c>
    </row>
    <row r="2365" spans="1:18" x14ac:dyDescent="0.25">
      <c r="A2365">
        <f>IF(AND(B2365="", D2365&lt;&gt;""), A2364, A2364+1)</f>
        <v>2359</v>
      </c>
      <c r="R2365" t="b">
        <f>AND(ISNUMBER(FIND($E2365,Tables!$I$2)), ISNUMBER(FIND($D2365,Tables!$J$2)), $E2365&lt;&gt;"")</f>
        <v>0</v>
      </c>
    </row>
    <row r="2366" spans="1:18" x14ac:dyDescent="0.25">
      <c r="A2366">
        <f>IF(AND(B2366="", D2366&lt;&gt;""), A2365, A2365+1)</f>
        <v>2360</v>
      </c>
      <c r="R2366" t="b">
        <f>AND(ISNUMBER(FIND($E2366,Tables!$I$2)), ISNUMBER(FIND($D2366,Tables!$J$2)), $E2366&lt;&gt;"")</f>
        <v>0</v>
      </c>
    </row>
    <row r="2367" spans="1:18" x14ac:dyDescent="0.25">
      <c r="A2367">
        <f>IF(AND(B2367="", D2367&lt;&gt;""), A2366, A2366+1)</f>
        <v>2361</v>
      </c>
      <c r="R2367" t="b">
        <f>AND(ISNUMBER(FIND($E2367,Tables!$I$2)), ISNUMBER(FIND($D2367,Tables!$J$2)), $E2367&lt;&gt;"")</f>
        <v>0</v>
      </c>
    </row>
    <row r="2368" spans="1:18" x14ac:dyDescent="0.25">
      <c r="A2368">
        <f>IF(AND(B2368="", D2368&lt;&gt;""), A2367, A2367+1)</f>
        <v>2362</v>
      </c>
      <c r="R2368" t="b">
        <f>AND(ISNUMBER(FIND($E2368,Tables!$I$2)), ISNUMBER(FIND($D2368,Tables!$J$2)), $E2368&lt;&gt;"")</f>
        <v>0</v>
      </c>
    </row>
    <row r="2369" spans="1:18" x14ac:dyDescent="0.25">
      <c r="A2369">
        <f>IF(AND(B2369="", D2369&lt;&gt;""), A2368, A2368+1)</f>
        <v>2363</v>
      </c>
      <c r="R2369" t="b">
        <f>AND(ISNUMBER(FIND($E2369,Tables!$I$2)), ISNUMBER(FIND($D2369,Tables!$J$2)), $E2369&lt;&gt;"")</f>
        <v>0</v>
      </c>
    </row>
    <row r="2370" spans="1:18" x14ac:dyDescent="0.25">
      <c r="A2370">
        <f>IF(AND(B2370="", D2370&lt;&gt;""), A2369, A2369+1)</f>
        <v>2364</v>
      </c>
      <c r="R2370" t="b">
        <f>AND(ISNUMBER(FIND($E2370,Tables!$I$2)), ISNUMBER(FIND($D2370,Tables!$J$2)), $E2370&lt;&gt;"")</f>
        <v>0</v>
      </c>
    </row>
    <row r="2371" spans="1:18" x14ac:dyDescent="0.25">
      <c r="A2371">
        <f>IF(AND(B2371="", D2371&lt;&gt;""), A2370, A2370+1)</f>
        <v>2365</v>
      </c>
      <c r="R2371" t="b">
        <f>AND(ISNUMBER(FIND($E2371,Tables!$I$2)), ISNUMBER(FIND($D2371,Tables!$J$2)), $E2371&lt;&gt;"")</f>
        <v>0</v>
      </c>
    </row>
    <row r="2372" spans="1:18" x14ac:dyDescent="0.25">
      <c r="A2372">
        <f>IF(AND(B2372="", D2372&lt;&gt;""), A2371, A2371+1)</f>
        <v>2366</v>
      </c>
      <c r="R2372" t="b">
        <f>AND(ISNUMBER(FIND($E2372,Tables!$I$2)), ISNUMBER(FIND($D2372,Tables!$J$2)), $E2372&lt;&gt;"")</f>
        <v>0</v>
      </c>
    </row>
    <row r="2373" spans="1:18" x14ac:dyDescent="0.25">
      <c r="A2373">
        <f>IF(AND(B2373="", D2373&lt;&gt;""), A2372, A2372+1)</f>
        <v>2367</v>
      </c>
      <c r="R2373" t="b">
        <f>AND(ISNUMBER(FIND($E2373,Tables!$I$2)), ISNUMBER(FIND($D2373,Tables!$J$2)), $E2373&lt;&gt;"")</f>
        <v>0</v>
      </c>
    </row>
    <row r="2374" spans="1:18" x14ac:dyDescent="0.25">
      <c r="A2374">
        <f>IF(AND(B2374="", D2374&lt;&gt;""), A2373, A2373+1)</f>
        <v>2368</v>
      </c>
      <c r="R2374" t="b">
        <f>AND(ISNUMBER(FIND($E2374,Tables!$I$2)), ISNUMBER(FIND($D2374,Tables!$J$2)), $E2374&lt;&gt;"")</f>
        <v>0</v>
      </c>
    </row>
    <row r="2375" spans="1:18" x14ac:dyDescent="0.25">
      <c r="A2375">
        <f>IF(AND(B2375="", D2375&lt;&gt;""), A2374, A2374+1)</f>
        <v>2369</v>
      </c>
      <c r="R2375" t="b">
        <f>AND(ISNUMBER(FIND($E2375,Tables!$I$2)), ISNUMBER(FIND($D2375,Tables!$J$2)), $E2375&lt;&gt;"")</f>
        <v>0</v>
      </c>
    </row>
    <row r="2376" spans="1:18" x14ac:dyDescent="0.25">
      <c r="A2376">
        <f>IF(AND(B2376="", D2376&lt;&gt;""), A2375, A2375+1)</f>
        <v>2370</v>
      </c>
      <c r="R2376" t="b">
        <f>AND(ISNUMBER(FIND($E2376,Tables!$I$2)), ISNUMBER(FIND($D2376,Tables!$J$2)), $E2376&lt;&gt;"")</f>
        <v>0</v>
      </c>
    </row>
    <row r="2377" spans="1:18" x14ac:dyDescent="0.25">
      <c r="A2377">
        <f>IF(AND(B2377="", D2377&lt;&gt;""), A2376, A2376+1)</f>
        <v>2371</v>
      </c>
      <c r="R2377" t="b">
        <f>AND(ISNUMBER(FIND($E2377,Tables!$I$2)), ISNUMBER(FIND($D2377,Tables!$J$2)), $E2377&lt;&gt;"")</f>
        <v>0</v>
      </c>
    </row>
    <row r="2378" spans="1:18" x14ac:dyDescent="0.25">
      <c r="A2378">
        <f>IF(AND(B2378="", D2378&lt;&gt;""), A2377, A2377+1)</f>
        <v>2372</v>
      </c>
      <c r="R2378" t="b">
        <f>AND(ISNUMBER(FIND($E2378,Tables!$I$2)), ISNUMBER(FIND($D2378,Tables!$J$2)), $E2378&lt;&gt;"")</f>
        <v>0</v>
      </c>
    </row>
    <row r="2379" spans="1:18" x14ac:dyDescent="0.25">
      <c r="A2379">
        <f>IF(AND(B2379="", D2379&lt;&gt;""), A2378, A2378+1)</f>
        <v>2373</v>
      </c>
      <c r="R2379" t="b">
        <f>AND(ISNUMBER(FIND($E2379,Tables!$I$2)), ISNUMBER(FIND($D2379,Tables!$J$2)), $E2379&lt;&gt;"")</f>
        <v>0</v>
      </c>
    </row>
    <row r="2380" spans="1:18" x14ac:dyDescent="0.25">
      <c r="A2380">
        <f>IF(AND(B2380="", D2380&lt;&gt;""), A2379, A2379+1)</f>
        <v>2374</v>
      </c>
      <c r="R2380" t="b">
        <f>AND(ISNUMBER(FIND($E2380,Tables!$I$2)), ISNUMBER(FIND($D2380,Tables!$J$2)), $E2380&lt;&gt;"")</f>
        <v>0</v>
      </c>
    </row>
    <row r="2381" spans="1:18" x14ac:dyDescent="0.25">
      <c r="A2381">
        <f>IF(AND(B2381="", D2381&lt;&gt;""), A2380, A2380+1)</f>
        <v>2375</v>
      </c>
      <c r="R2381" t="b">
        <f>AND(ISNUMBER(FIND($E2381,Tables!$I$2)), ISNUMBER(FIND($D2381,Tables!$J$2)), $E2381&lt;&gt;"")</f>
        <v>0</v>
      </c>
    </row>
    <row r="2382" spans="1:18" x14ac:dyDescent="0.25">
      <c r="A2382">
        <f>IF(AND(B2382="", D2382&lt;&gt;""), A2381, A2381+1)</f>
        <v>2376</v>
      </c>
      <c r="R2382" t="b">
        <f>AND(ISNUMBER(FIND($E2382,Tables!$I$2)), ISNUMBER(FIND($D2382,Tables!$J$2)), $E2382&lt;&gt;"")</f>
        <v>0</v>
      </c>
    </row>
    <row r="2383" spans="1:18" x14ac:dyDescent="0.25">
      <c r="A2383">
        <f>IF(AND(B2383="", D2383&lt;&gt;""), A2382, A2382+1)</f>
        <v>2377</v>
      </c>
      <c r="R2383" t="b">
        <f>AND(ISNUMBER(FIND($E2383,Tables!$I$2)), ISNUMBER(FIND($D2383,Tables!$J$2)), $E2383&lt;&gt;"")</f>
        <v>0</v>
      </c>
    </row>
    <row r="2384" spans="1:18" x14ac:dyDescent="0.25">
      <c r="A2384">
        <f>IF(AND(B2384="", D2384&lt;&gt;""), A2383, A2383+1)</f>
        <v>2378</v>
      </c>
      <c r="R2384" t="b">
        <f>AND(ISNUMBER(FIND($E2384,Tables!$I$2)), ISNUMBER(FIND($D2384,Tables!$J$2)), $E2384&lt;&gt;"")</f>
        <v>0</v>
      </c>
    </row>
    <row r="2385" spans="1:18" x14ac:dyDescent="0.25">
      <c r="A2385">
        <f>IF(AND(B2385="", D2385&lt;&gt;""), A2384, A2384+1)</f>
        <v>2379</v>
      </c>
      <c r="R2385" t="b">
        <f>AND(ISNUMBER(FIND($E2385,Tables!$I$2)), ISNUMBER(FIND($D2385,Tables!$J$2)), $E2385&lt;&gt;"")</f>
        <v>0</v>
      </c>
    </row>
    <row r="2386" spans="1:18" x14ac:dyDescent="0.25">
      <c r="A2386">
        <f>IF(AND(B2386="", D2386&lt;&gt;""), A2385, A2385+1)</f>
        <v>2380</v>
      </c>
      <c r="R2386" t="b">
        <f>AND(ISNUMBER(FIND($E2386,Tables!$I$2)), ISNUMBER(FIND($D2386,Tables!$J$2)), $E2386&lt;&gt;"")</f>
        <v>0</v>
      </c>
    </row>
    <row r="2387" spans="1:18" x14ac:dyDescent="0.25">
      <c r="A2387">
        <f>IF(AND(B2387="", D2387&lt;&gt;""), A2386, A2386+1)</f>
        <v>2381</v>
      </c>
      <c r="R2387" t="b">
        <f>AND(ISNUMBER(FIND($E2387,Tables!$I$2)), ISNUMBER(FIND($D2387,Tables!$J$2)), $E2387&lt;&gt;"")</f>
        <v>0</v>
      </c>
    </row>
    <row r="2388" spans="1:18" x14ac:dyDescent="0.25">
      <c r="A2388">
        <f>IF(AND(B2388="", D2388&lt;&gt;""), A2387, A2387+1)</f>
        <v>2382</v>
      </c>
      <c r="R2388" t="b">
        <f>AND(ISNUMBER(FIND($E2388,Tables!$I$2)), ISNUMBER(FIND($D2388,Tables!$J$2)), $E2388&lt;&gt;"")</f>
        <v>0</v>
      </c>
    </row>
    <row r="2389" spans="1:18" x14ac:dyDescent="0.25">
      <c r="A2389">
        <f>IF(AND(B2389="", D2389&lt;&gt;""), A2388, A2388+1)</f>
        <v>2383</v>
      </c>
      <c r="R2389" t="b">
        <f>AND(ISNUMBER(FIND($E2389,Tables!$I$2)), ISNUMBER(FIND($D2389,Tables!$J$2)), $E2389&lt;&gt;"")</f>
        <v>0</v>
      </c>
    </row>
    <row r="2390" spans="1:18" x14ac:dyDescent="0.25">
      <c r="A2390">
        <f>IF(AND(B2390="", D2390&lt;&gt;""), A2389, A2389+1)</f>
        <v>2384</v>
      </c>
      <c r="R2390" t="b">
        <f>AND(ISNUMBER(FIND($E2390,Tables!$I$2)), ISNUMBER(FIND($D2390,Tables!$J$2)), $E2390&lt;&gt;"")</f>
        <v>0</v>
      </c>
    </row>
    <row r="2391" spans="1:18" x14ac:dyDescent="0.25">
      <c r="A2391">
        <f>IF(AND(B2391="", D2391&lt;&gt;""), A2390, A2390+1)</f>
        <v>2385</v>
      </c>
      <c r="R2391" t="b">
        <f>AND(ISNUMBER(FIND($E2391,Tables!$I$2)), ISNUMBER(FIND($D2391,Tables!$J$2)), $E2391&lt;&gt;"")</f>
        <v>0</v>
      </c>
    </row>
    <row r="2392" spans="1:18" x14ac:dyDescent="0.25">
      <c r="A2392">
        <f>IF(AND(B2392="", D2392&lt;&gt;""), A2391, A2391+1)</f>
        <v>2386</v>
      </c>
      <c r="R2392" t="b">
        <f>AND(ISNUMBER(FIND($E2392,Tables!$I$2)), ISNUMBER(FIND($D2392,Tables!$J$2)), $E2392&lt;&gt;"")</f>
        <v>0</v>
      </c>
    </row>
    <row r="2393" spans="1:18" x14ac:dyDescent="0.25">
      <c r="A2393">
        <f>IF(AND(B2393="", D2393&lt;&gt;""), A2392, A2392+1)</f>
        <v>2387</v>
      </c>
      <c r="R2393" t="b">
        <f>AND(ISNUMBER(FIND($E2393,Tables!$I$2)), ISNUMBER(FIND($D2393,Tables!$J$2)), $E2393&lt;&gt;"")</f>
        <v>0</v>
      </c>
    </row>
    <row r="2394" spans="1:18" x14ac:dyDescent="0.25">
      <c r="A2394">
        <f>IF(AND(B2394="", D2394&lt;&gt;""), A2393, A2393+1)</f>
        <v>2388</v>
      </c>
      <c r="R2394" t="b">
        <f>AND(ISNUMBER(FIND($E2394,Tables!$I$2)), ISNUMBER(FIND($D2394,Tables!$J$2)), $E2394&lt;&gt;"")</f>
        <v>0</v>
      </c>
    </row>
    <row r="2395" spans="1:18" x14ac:dyDescent="0.25">
      <c r="A2395">
        <f>IF(AND(B2395="", D2395&lt;&gt;""), A2394, A2394+1)</f>
        <v>2389</v>
      </c>
      <c r="R2395" t="b">
        <f>AND(ISNUMBER(FIND($E2395,Tables!$I$2)), ISNUMBER(FIND($D2395,Tables!$J$2)), $E2395&lt;&gt;"")</f>
        <v>0</v>
      </c>
    </row>
    <row r="2396" spans="1:18" x14ac:dyDescent="0.25">
      <c r="A2396">
        <f>IF(AND(B2396="", D2396&lt;&gt;""), A2395, A2395+1)</f>
        <v>2390</v>
      </c>
      <c r="R2396" t="b">
        <f>AND(ISNUMBER(FIND($E2396,Tables!$I$2)), ISNUMBER(FIND($D2396,Tables!$J$2)), $E2396&lt;&gt;"")</f>
        <v>0</v>
      </c>
    </row>
    <row r="2397" spans="1:18" x14ac:dyDescent="0.25">
      <c r="A2397">
        <f>IF(AND(B2397="", D2397&lt;&gt;""), A2396, A2396+1)</f>
        <v>2391</v>
      </c>
      <c r="R2397" t="b">
        <f>AND(ISNUMBER(FIND($E2397,Tables!$I$2)), ISNUMBER(FIND($D2397,Tables!$J$2)), $E2397&lt;&gt;"")</f>
        <v>0</v>
      </c>
    </row>
    <row r="2398" spans="1:18" x14ac:dyDescent="0.25">
      <c r="A2398">
        <f>IF(AND(B2398="", D2398&lt;&gt;""), A2397, A2397+1)</f>
        <v>2392</v>
      </c>
      <c r="R2398" t="b">
        <f>AND(ISNUMBER(FIND($E2398,Tables!$I$2)), ISNUMBER(FIND($D2398,Tables!$J$2)), $E2398&lt;&gt;"")</f>
        <v>0</v>
      </c>
    </row>
    <row r="2399" spans="1:18" x14ac:dyDescent="0.25">
      <c r="A2399">
        <f>IF(AND(B2399="", D2399&lt;&gt;""), A2398, A2398+1)</f>
        <v>2393</v>
      </c>
      <c r="R2399" t="b">
        <f>AND(ISNUMBER(FIND($E2399,Tables!$I$2)), ISNUMBER(FIND($D2399,Tables!$J$2)), $E2399&lt;&gt;"")</f>
        <v>0</v>
      </c>
    </row>
    <row r="2400" spans="1:18" x14ac:dyDescent="0.25">
      <c r="A2400">
        <f>IF(AND(B2400="", D2400&lt;&gt;""), A2399, A2399+1)</f>
        <v>2394</v>
      </c>
      <c r="R2400" t="b">
        <f>AND(ISNUMBER(FIND($E2400,Tables!$I$2)), ISNUMBER(FIND($D2400,Tables!$J$2)), $E2400&lt;&gt;"")</f>
        <v>0</v>
      </c>
    </row>
    <row r="2401" spans="1:18" x14ac:dyDescent="0.25">
      <c r="A2401">
        <f>IF(AND(B2401="", D2401&lt;&gt;""), A2400, A2400+1)</f>
        <v>2395</v>
      </c>
      <c r="R2401" t="b">
        <f>AND(ISNUMBER(FIND($E2401,Tables!$I$2)), ISNUMBER(FIND($D2401,Tables!$J$2)), $E2401&lt;&gt;"")</f>
        <v>0</v>
      </c>
    </row>
    <row r="2402" spans="1:18" x14ac:dyDescent="0.25">
      <c r="A2402">
        <f>IF(AND(B2402="", D2402&lt;&gt;""), A2401, A2401+1)</f>
        <v>2396</v>
      </c>
      <c r="R2402" t="b">
        <f>AND(ISNUMBER(FIND($E2402,Tables!$I$2)), ISNUMBER(FIND($D2402,Tables!$J$2)), $E2402&lt;&gt;"")</f>
        <v>0</v>
      </c>
    </row>
    <row r="2403" spans="1:18" x14ac:dyDescent="0.25">
      <c r="A2403">
        <f>IF(AND(B2403="", D2403&lt;&gt;""), A2402, A2402+1)</f>
        <v>2397</v>
      </c>
      <c r="R2403" t="b">
        <f>AND(ISNUMBER(FIND($E2403,Tables!$I$2)), ISNUMBER(FIND($D2403,Tables!$J$2)), $E2403&lt;&gt;"")</f>
        <v>0</v>
      </c>
    </row>
    <row r="2404" spans="1:18" x14ac:dyDescent="0.25">
      <c r="A2404">
        <f>IF(AND(B2404="", D2404&lt;&gt;""), A2403, A2403+1)</f>
        <v>2398</v>
      </c>
      <c r="R2404" t="b">
        <f>AND(ISNUMBER(FIND($E2404,Tables!$I$2)), ISNUMBER(FIND($D2404,Tables!$J$2)), $E2404&lt;&gt;"")</f>
        <v>0</v>
      </c>
    </row>
    <row r="2405" spans="1:18" x14ac:dyDescent="0.25">
      <c r="A2405">
        <f>IF(AND(B2405="", D2405&lt;&gt;""), A2404, A2404+1)</f>
        <v>2399</v>
      </c>
      <c r="R2405" t="b">
        <f>AND(ISNUMBER(FIND($E2405,Tables!$I$2)), ISNUMBER(FIND($D2405,Tables!$J$2)), $E2405&lt;&gt;"")</f>
        <v>0</v>
      </c>
    </row>
    <row r="2406" spans="1:18" x14ac:dyDescent="0.25">
      <c r="A2406">
        <f>IF(AND(B2406="", D2406&lt;&gt;""), A2405, A2405+1)</f>
        <v>2400</v>
      </c>
      <c r="R2406" t="b">
        <f>AND(ISNUMBER(FIND($E2406,Tables!$I$2)), ISNUMBER(FIND($D2406,Tables!$J$2)), $E2406&lt;&gt;"")</f>
        <v>0</v>
      </c>
    </row>
    <row r="2407" spans="1:18" x14ac:dyDescent="0.25">
      <c r="A2407">
        <f>IF(AND(B2407="", D2407&lt;&gt;""), A2406, A2406+1)</f>
        <v>2401</v>
      </c>
      <c r="R2407" t="b">
        <f>AND(ISNUMBER(FIND($E2407,Tables!$I$2)), ISNUMBER(FIND($D2407,Tables!$J$2)), $E2407&lt;&gt;"")</f>
        <v>0</v>
      </c>
    </row>
    <row r="2408" spans="1:18" x14ac:dyDescent="0.25">
      <c r="A2408">
        <f>IF(AND(B2408="", D2408&lt;&gt;""), A2407, A2407+1)</f>
        <v>2402</v>
      </c>
      <c r="R2408" t="b">
        <f>AND(ISNUMBER(FIND($E2408,Tables!$I$2)), ISNUMBER(FIND($D2408,Tables!$J$2)), $E2408&lt;&gt;"")</f>
        <v>0</v>
      </c>
    </row>
    <row r="2409" spans="1:18" x14ac:dyDescent="0.25">
      <c r="A2409">
        <f>IF(AND(B2409="", D2409&lt;&gt;""), A2408, A2408+1)</f>
        <v>2403</v>
      </c>
      <c r="R2409" t="b">
        <f>AND(ISNUMBER(FIND($E2409,Tables!$I$2)), ISNUMBER(FIND($D2409,Tables!$J$2)), $E2409&lt;&gt;"")</f>
        <v>0</v>
      </c>
    </row>
    <row r="2410" spans="1:18" x14ac:dyDescent="0.25">
      <c r="A2410">
        <f>IF(AND(B2410="", D2410&lt;&gt;""), A2409, A2409+1)</f>
        <v>2404</v>
      </c>
      <c r="R2410" t="b">
        <f>AND(ISNUMBER(FIND($E2410,Tables!$I$2)), ISNUMBER(FIND($D2410,Tables!$J$2)), $E2410&lt;&gt;"")</f>
        <v>0</v>
      </c>
    </row>
    <row r="2411" spans="1:18" x14ac:dyDescent="0.25">
      <c r="A2411">
        <f>IF(AND(B2411="", D2411&lt;&gt;""), A2410, A2410+1)</f>
        <v>2405</v>
      </c>
      <c r="R2411" t="b">
        <f>AND(ISNUMBER(FIND($E2411,Tables!$I$2)), ISNUMBER(FIND($D2411,Tables!$J$2)), $E2411&lt;&gt;"")</f>
        <v>0</v>
      </c>
    </row>
    <row r="2412" spans="1:18" x14ac:dyDescent="0.25">
      <c r="A2412">
        <f>IF(AND(B2412="", D2412&lt;&gt;""), A2411, A2411+1)</f>
        <v>2406</v>
      </c>
      <c r="R2412" t="b">
        <f>AND(ISNUMBER(FIND($E2412,Tables!$I$2)), ISNUMBER(FIND($D2412,Tables!$J$2)), $E2412&lt;&gt;"")</f>
        <v>0</v>
      </c>
    </row>
    <row r="2413" spans="1:18" x14ac:dyDescent="0.25">
      <c r="A2413">
        <f>IF(AND(B2413="", D2413&lt;&gt;""), A2412, A2412+1)</f>
        <v>2407</v>
      </c>
      <c r="R2413" t="b">
        <f>AND(ISNUMBER(FIND($E2413,Tables!$I$2)), ISNUMBER(FIND($D2413,Tables!$J$2)), $E2413&lt;&gt;"")</f>
        <v>0</v>
      </c>
    </row>
    <row r="2414" spans="1:18" x14ac:dyDescent="0.25">
      <c r="A2414">
        <f>IF(AND(B2414="", D2414&lt;&gt;""), A2413, A2413+1)</f>
        <v>2408</v>
      </c>
      <c r="R2414" t="b">
        <f>AND(ISNUMBER(FIND($E2414,Tables!$I$2)), ISNUMBER(FIND($D2414,Tables!$J$2)), $E2414&lt;&gt;"")</f>
        <v>0</v>
      </c>
    </row>
    <row r="2415" spans="1:18" x14ac:dyDescent="0.25">
      <c r="A2415">
        <f>IF(AND(B2415="", D2415&lt;&gt;""), A2414, A2414+1)</f>
        <v>2409</v>
      </c>
      <c r="R2415" t="b">
        <f>AND(ISNUMBER(FIND($E2415,Tables!$I$2)), ISNUMBER(FIND($D2415,Tables!$J$2)), $E2415&lt;&gt;"")</f>
        <v>0</v>
      </c>
    </row>
    <row r="2416" spans="1:18" x14ac:dyDescent="0.25">
      <c r="A2416">
        <f>IF(AND(B2416="", D2416&lt;&gt;""), A2415, A2415+1)</f>
        <v>2410</v>
      </c>
      <c r="R2416" t="b">
        <f>AND(ISNUMBER(FIND($E2416,Tables!$I$2)), ISNUMBER(FIND($D2416,Tables!$J$2)), $E2416&lt;&gt;"")</f>
        <v>0</v>
      </c>
    </row>
    <row r="2417" spans="1:18" x14ac:dyDescent="0.25">
      <c r="A2417">
        <f>IF(AND(B2417="", D2417&lt;&gt;""), A2416, A2416+1)</f>
        <v>2411</v>
      </c>
      <c r="R2417" t="b">
        <f>AND(ISNUMBER(FIND($E2417,Tables!$I$2)), ISNUMBER(FIND($D2417,Tables!$J$2)), $E2417&lt;&gt;"")</f>
        <v>0</v>
      </c>
    </row>
    <row r="2418" spans="1:18" x14ac:dyDescent="0.25">
      <c r="A2418">
        <f>IF(AND(B2418="", D2418&lt;&gt;""), A2417, A2417+1)</f>
        <v>2412</v>
      </c>
      <c r="R2418" t="b">
        <f>AND(ISNUMBER(FIND($E2418,Tables!$I$2)), ISNUMBER(FIND($D2418,Tables!$J$2)), $E2418&lt;&gt;"")</f>
        <v>0</v>
      </c>
    </row>
    <row r="2419" spans="1:18" x14ac:dyDescent="0.25">
      <c r="A2419">
        <f>IF(AND(B2419="", D2419&lt;&gt;""), A2418, A2418+1)</f>
        <v>2413</v>
      </c>
      <c r="R2419" t="b">
        <f>AND(ISNUMBER(FIND($E2419,Tables!$I$2)), ISNUMBER(FIND($D2419,Tables!$J$2)), $E2419&lt;&gt;"")</f>
        <v>0</v>
      </c>
    </row>
    <row r="2420" spans="1:18" x14ac:dyDescent="0.25">
      <c r="A2420">
        <f>IF(AND(B2420="", D2420&lt;&gt;""), A2419, A2419+1)</f>
        <v>2414</v>
      </c>
      <c r="R2420" t="b">
        <f>AND(ISNUMBER(FIND($E2420,Tables!$I$2)), ISNUMBER(FIND($D2420,Tables!$J$2)), $E2420&lt;&gt;"")</f>
        <v>0</v>
      </c>
    </row>
    <row r="2421" spans="1:18" x14ac:dyDescent="0.25">
      <c r="A2421">
        <f>IF(AND(B2421="", D2421&lt;&gt;""), A2420, A2420+1)</f>
        <v>2415</v>
      </c>
      <c r="R2421" t="b">
        <f>AND(ISNUMBER(FIND($E2421,Tables!$I$2)), ISNUMBER(FIND($D2421,Tables!$J$2)), $E2421&lt;&gt;"")</f>
        <v>0</v>
      </c>
    </row>
    <row r="2422" spans="1:18" x14ac:dyDescent="0.25">
      <c r="A2422">
        <f>IF(AND(B2422="", D2422&lt;&gt;""), A2421, A2421+1)</f>
        <v>2416</v>
      </c>
      <c r="R2422" t="b">
        <f>AND(ISNUMBER(FIND($E2422,Tables!$I$2)), ISNUMBER(FIND($D2422,Tables!$J$2)), $E2422&lt;&gt;"")</f>
        <v>0</v>
      </c>
    </row>
    <row r="2423" spans="1:18" x14ac:dyDescent="0.25">
      <c r="A2423">
        <f>IF(AND(B2423="", D2423&lt;&gt;""), A2422, A2422+1)</f>
        <v>2417</v>
      </c>
      <c r="R2423" t="b">
        <f>AND(ISNUMBER(FIND($E2423,Tables!$I$2)), ISNUMBER(FIND($D2423,Tables!$J$2)), $E2423&lt;&gt;"")</f>
        <v>0</v>
      </c>
    </row>
    <row r="2424" spans="1:18" x14ac:dyDescent="0.25">
      <c r="A2424">
        <f>IF(AND(B2424="", D2424&lt;&gt;""), A2423, A2423+1)</f>
        <v>2418</v>
      </c>
      <c r="R2424" t="b">
        <f>AND(ISNUMBER(FIND($E2424,Tables!$I$2)), ISNUMBER(FIND($D2424,Tables!$J$2)), $E2424&lt;&gt;"")</f>
        <v>0</v>
      </c>
    </row>
    <row r="2425" spans="1:18" x14ac:dyDescent="0.25">
      <c r="A2425">
        <f>IF(AND(B2425="", D2425&lt;&gt;""), A2424, A2424+1)</f>
        <v>2419</v>
      </c>
      <c r="R2425" t="b">
        <f>AND(ISNUMBER(FIND($E2425,Tables!$I$2)), ISNUMBER(FIND($D2425,Tables!$J$2)), $E2425&lt;&gt;"")</f>
        <v>0</v>
      </c>
    </row>
    <row r="2426" spans="1:18" x14ac:dyDescent="0.25">
      <c r="A2426">
        <f>IF(AND(B2426="", D2426&lt;&gt;""), A2425, A2425+1)</f>
        <v>2420</v>
      </c>
      <c r="R2426" t="b">
        <f>AND(ISNUMBER(FIND($E2426,Tables!$I$2)), ISNUMBER(FIND($D2426,Tables!$J$2)), $E2426&lt;&gt;"")</f>
        <v>0</v>
      </c>
    </row>
    <row r="2427" spans="1:18" x14ac:dyDescent="0.25">
      <c r="A2427">
        <f>IF(AND(B2427="", D2427&lt;&gt;""), A2426, A2426+1)</f>
        <v>2421</v>
      </c>
      <c r="R2427" t="b">
        <f>AND(ISNUMBER(FIND($E2427,Tables!$I$2)), ISNUMBER(FIND($D2427,Tables!$J$2)), $E2427&lt;&gt;"")</f>
        <v>0</v>
      </c>
    </row>
    <row r="2428" spans="1:18" x14ac:dyDescent="0.25">
      <c r="A2428">
        <f>IF(AND(B2428="", D2428&lt;&gt;""), A2427, A2427+1)</f>
        <v>2422</v>
      </c>
      <c r="R2428" t="b">
        <f>AND(ISNUMBER(FIND($E2428,Tables!$I$2)), ISNUMBER(FIND($D2428,Tables!$J$2)), $E2428&lt;&gt;"")</f>
        <v>0</v>
      </c>
    </row>
    <row r="2429" spans="1:18" x14ac:dyDescent="0.25">
      <c r="A2429">
        <f>IF(AND(B2429="", D2429&lt;&gt;""), A2428, A2428+1)</f>
        <v>2423</v>
      </c>
      <c r="R2429" t="b">
        <f>AND(ISNUMBER(FIND($E2429,Tables!$I$2)), ISNUMBER(FIND($D2429,Tables!$J$2)), $E2429&lt;&gt;"")</f>
        <v>0</v>
      </c>
    </row>
    <row r="2430" spans="1:18" x14ac:dyDescent="0.25">
      <c r="A2430">
        <f>IF(AND(B2430="", D2430&lt;&gt;""), A2429, A2429+1)</f>
        <v>2424</v>
      </c>
      <c r="R2430" t="b">
        <f>AND(ISNUMBER(FIND($E2430,Tables!$I$2)), ISNUMBER(FIND($D2430,Tables!$J$2)), $E2430&lt;&gt;"")</f>
        <v>0</v>
      </c>
    </row>
    <row r="2431" spans="1:18" x14ac:dyDescent="0.25">
      <c r="A2431">
        <f>IF(AND(B2431="", D2431&lt;&gt;""), A2430, A2430+1)</f>
        <v>2425</v>
      </c>
      <c r="R2431" t="b">
        <f>AND(ISNUMBER(FIND($E2431,Tables!$I$2)), ISNUMBER(FIND($D2431,Tables!$J$2)), $E2431&lt;&gt;"")</f>
        <v>0</v>
      </c>
    </row>
    <row r="2432" spans="1:18" x14ac:dyDescent="0.25">
      <c r="A2432">
        <f>IF(AND(B2432="", D2432&lt;&gt;""), A2431, A2431+1)</f>
        <v>2426</v>
      </c>
      <c r="R2432" t="b">
        <f>AND(ISNUMBER(FIND($E2432,Tables!$I$2)), ISNUMBER(FIND($D2432,Tables!$J$2)), $E2432&lt;&gt;"")</f>
        <v>0</v>
      </c>
    </row>
    <row r="2433" spans="1:18" x14ac:dyDescent="0.25">
      <c r="A2433">
        <f>IF(AND(B2433="", D2433&lt;&gt;""), A2432, A2432+1)</f>
        <v>2427</v>
      </c>
      <c r="R2433" t="b">
        <f>AND(ISNUMBER(FIND($E2433,Tables!$I$2)), ISNUMBER(FIND($D2433,Tables!$J$2)), $E2433&lt;&gt;"")</f>
        <v>0</v>
      </c>
    </row>
    <row r="2434" spans="1:18" x14ac:dyDescent="0.25">
      <c r="A2434">
        <f>IF(AND(B2434="", D2434&lt;&gt;""), A2433, A2433+1)</f>
        <v>2428</v>
      </c>
      <c r="R2434" t="b">
        <f>AND(ISNUMBER(FIND($E2434,Tables!$I$2)), ISNUMBER(FIND($D2434,Tables!$J$2)), $E2434&lt;&gt;"")</f>
        <v>0</v>
      </c>
    </row>
    <row r="2435" spans="1:18" x14ac:dyDescent="0.25">
      <c r="A2435">
        <f>IF(AND(B2435="", D2435&lt;&gt;""), A2434, A2434+1)</f>
        <v>2429</v>
      </c>
      <c r="R2435" t="b">
        <f>AND(ISNUMBER(FIND($E2435,Tables!$I$2)), ISNUMBER(FIND($D2435,Tables!$J$2)), $E2435&lt;&gt;"")</f>
        <v>0</v>
      </c>
    </row>
    <row r="2436" spans="1:18" x14ac:dyDescent="0.25">
      <c r="A2436">
        <f>IF(AND(B2436="", D2436&lt;&gt;""), A2435, A2435+1)</f>
        <v>2430</v>
      </c>
      <c r="R2436" t="b">
        <f>AND(ISNUMBER(FIND($E2436,Tables!$I$2)), ISNUMBER(FIND($D2436,Tables!$J$2)), $E2436&lt;&gt;"")</f>
        <v>0</v>
      </c>
    </row>
    <row r="2437" spans="1:18" x14ac:dyDescent="0.25">
      <c r="A2437">
        <f>IF(AND(B2437="", D2437&lt;&gt;""), A2436, A2436+1)</f>
        <v>2431</v>
      </c>
      <c r="R2437" t="b">
        <f>AND(ISNUMBER(FIND($E2437,Tables!$I$2)), ISNUMBER(FIND($D2437,Tables!$J$2)), $E2437&lt;&gt;"")</f>
        <v>0</v>
      </c>
    </row>
    <row r="2438" spans="1:18" x14ac:dyDescent="0.25">
      <c r="A2438">
        <f>IF(AND(B2438="", D2438&lt;&gt;""), A2437, A2437+1)</f>
        <v>2432</v>
      </c>
      <c r="R2438" t="b">
        <f>AND(ISNUMBER(FIND($E2438,Tables!$I$2)), ISNUMBER(FIND($D2438,Tables!$J$2)), $E2438&lt;&gt;"")</f>
        <v>0</v>
      </c>
    </row>
    <row r="2439" spans="1:18" x14ac:dyDescent="0.25">
      <c r="A2439">
        <f>IF(AND(B2439="", D2439&lt;&gt;""), A2438, A2438+1)</f>
        <v>2433</v>
      </c>
      <c r="R2439" t="b">
        <f>AND(ISNUMBER(FIND($E2439,Tables!$I$2)), ISNUMBER(FIND($D2439,Tables!$J$2)), $E2439&lt;&gt;"")</f>
        <v>0</v>
      </c>
    </row>
    <row r="2440" spans="1:18" x14ac:dyDescent="0.25">
      <c r="A2440">
        <f>IF(AND(B2440="", D2440&lt;&gt;""), A2439, A2439+1)</f>
        <v>2434</v>
      </c>
      <c r="R2440" t="b">
        <f>AND(ISNUMBER(FIND($E2440,Tables!$I$2)), ISNUMBER(FIND($D2440,Tables!$J$2)), $E2440&lt;&gt;"")</f>
        <v>0</v>
      </c>
    </row>
    <row r="2441" spans="1:18" x14ac:dyDescent="0.25">
      <c r="A2441">
        <f>IF(AND(B2441="", D2441&lt;&gt;""), A2440, A2440+1)</f>
        <v>2435</v>
      </c>
      <c r="R2441" t="b">
        <f>AND(ISNUMBER(FIND($E2441,Tables!$I$2)), ISNUMBER(FIND($D2441,Tables!$J$2)), $E2441&lt;&gt;"")</f>
        <v>0</v>
      </c>
    </row>
    <row r="2442" spans="1:18" x14ac:dyDescent="0.25">
      <c r="A2442">
        <f>IF(AND(B2442="", D2442&lt;&gt;""), A2441, A2441+1)</f>
        <v>2436</v>
      </c>
      <c r="R2442" t="b">
        <f>AND(ISNUMBER(FIND($E2442,Tables!$I$2)), ISNUMBER(FIND($D2442,Tables!$J$2)), $E2442&lt;&gt;"")</f>
        <v>0</v>
      </c>
    </row>
    <row r="2443" spans="1:18" x14ac:dyDescent="0.25">
      <c r="A2443">
        <f>IF(AND(B2443="", D2443&lt;&gt;""), A2442, A2442+1)</f>
        <v>2437</v>
      </c>
      <c r="R2443" t="b">
        <f>AND(ISNUMBER(FIND($E2443,Tables!$I$2)), ISNUMBER(FIND($D2443,Tables!$J$2)), $E2443&lt;&gt;"")</f>
        <v>0</v>
      </c>
    </row>
    <row r="2444" spans="1:18" x14ac:dyDescent="0.25">
      <c r="A2444">
        <f>IF(AND(B2444="", D2444&lt;&gt;""), A2443, A2443+1)</f>
        <v>2438</v>
      </c>
      <c r="R2444" t="b">
        <f>AND(ISNUMBER(FIND($E2444,Tables!$I$2)), ISNUMBER(FIND($D2444,Tables!$J$2)), $E2444&lt;&gt;"")</f>
        <v>0</v>
      </c>
    </row>
    <row r="2445" spans="1:18" x14ac:dyDescent="0.25">
      <c r="A2445">
        <f>IF(AND(B2445="", D2445&lt;&gt;""), A2444, A2444+1)</f>
        <v>2439</v>
      </c>
      <c r="R2445" t="b">
        <f>AND(ISNUMBER(FIND($E2445,Tables!$I$2)), ISNUMBER(FIND($D2445,Tables!$J$2)), $E2445&lt;&gt;"")</f>
        <v>0</v>
      </c>
    </row>
    <row r="2446" spans="1:18" x14ac:dyDescent="0.25">
      <c r="A2446">
        <f>IF(AND(B2446="", D2446&lt;&gt;""), A2445, A2445+1)</f>
        <v>2440</v>
      </c>
      <c r="R2446" t="b">
        <f>AND(ISNUMBER(FIND($E2446,Tables!$I$2)), ISNUMBER(FIND($D2446,Tables!$J$2)), $E2446&lt;&gt;"")</f>
        <v>0</v>
      </c>
    </row>
    <row r="2447" spans="1:18" x14ac:dyDescent="0.25">
      <c r="A2447">
        <f>IF(AND(B2447="", D2447&lt;&gt;""), A2446, A2446+1)</f>
        <v>2441</v>
      </c>
      <c r="R2447" t="b">
        <f>AND(ISNUMBER(FIND($E2447,Tables!$I$2)), ISNUMBER(FIND($D2447,Tables!$J$2)), $E2447&lt;&gt;"")</f>
        <v>0</v>
      </c>
    </row>
    <row r="2448" spans="1:18" x14ac:dyDescent="0.25">
      <c r="A2448">
        <f>IF(AND(B2448="", D2448&lt;&gt;""), A2447, A2447+1)</f>
        <v>2442</v>
      </c>
      <c r="R2448" t="b">
        <f>AND(ISNUMBER(FIND($E2448,Tables!$I$2)), ISNUMBER(FIND($D2448,Tables!$J$2)), $E2448&lt;&gt;"")</f>
        <v>0</v>
      </c>
    </row>
    <row r="2449" spans="1:18" x14ac:dyDescent="0.25">
      <c r="A2449">
        <f>IF(AND(B2449="", D2449&lt;&gt;""), A2448, A2448+1)</f>
        <v>2443</v>
      </c>
      <c r="R2449" t="b">
        <f>AND(ISNUMBER(FIND($E2449,Tables!$I$2)), ISNUMBER(FIND($D2449,Tables!$J$2)), $E2449&lt;&gt;"")</f>
        <v>0</v>
      </c>
    </row>
    <row r="2450" spans="1:18" x14ac:dyDescent="0.25">
      <c r="A2450">
        <f>IF(AND(B2450="", D2450&lt;&gt;""), A2449, A2449+1)</f>
        <v>2444</v>
      </c>
      <c r="R2450" t="b">
        <f>AND(ISNUMBER(FIND($E2450,Tables!$I$2)), ISNUMBER(FIND($D2450,Tables!$J$2)), $E2450&lt;&gt;"")</f>
        <v>0</v>
      </c>
    </row>
    <row r="2451" spans="1:18" x14ac:dyDescent="0.25">
      <c r="A2451">
        <f>IF(AND(B2451="", D2451&lt;&gt;""), A2450, A2450+1)</f>
        <v>2445</v>
      </c>
      <c r="R2451" t="b">
        <f>AND(ISNUMBER(FIND($E2451,Tables!$I$2)), ISNUMBER(FIND($D2451,Tables!$J$2)), $E2451&lt;&gt;"")</f>
        <v>0</v>
      </c>
    </row>
    <row r="2452" spans="1:18" x14ac:dyDescent="0.25">
      <c r="A2452">
        <f>IF(AND(B2452="", D2452&lt;&gt;""), A2451, A2451+1)</f>
        <v>2446</v>
      </c>
      <c r="R2452" t="b">
        <f>AND(ISNUMBER(FIND($E2452,Tables!$I$2)), ISNUMBER(FIND($D2452,Tables!$J$2)), $E2452&lt;&gt;"")</f>
        <v>0</v>
      </c>
    </row>
    <row r="2453" spans="1:18" x14ac:dyDescent="0.25">
      <c r="A2453">
        <f>IF(AND(B2453="", D2453&lt;&gt;""), A2452, A2452+1)</f>
        <v>2447</v>
      </c>
      <c r="R2453" t="b">
        <f>AND(ISNUMBER(FIND($E2453,Tables!$I$2)), ISNUMBER(FIND($D2453,Tables!$J$2)), $E2453&lt;&gt;"")</f>
        <v>0</v>
      </c>
    </row>
    <row r="2454" spans="1:18" x14ac:dyDescent="0.25">
      <c r="A2454">
        <f>IF(AND(B2454="", D2454&lt;&gt;""), A2453, A2453+1)</f>
        <v>2448</v>
      </c>
      <c r="R2454" t="b">
        <f>AND(ISNUMBER(FIND($E2454,Tables!$I$2)), ISNUMBER(FIND($D2454,Tables!$J$2)), $E2454&lt;&gt;"")</f>
        <v>0</v>
      </c>
    </row>
    <row r="2455" spans="1:18" x14ac:dyDescent="0.25">
      <c r="A2455">
        <f>IF(AND(B2455="", D2455&lt;&gt;""), A2454, A2454+1)</f>
        <v>2449</v>
      </c>
      <c r="R2455" t="b">
        <f>AND(ISNUMBER(FIND($E2455,Tables!$I$2)), ISNUMBER(FIND($D2455,Tables!$J$2)), $E2455&lt;&gt;"")</f>
        <v>0</v>
      </c>
    </row>
    <row r="2456" spans="1:18" x14ac:dyDescent="0.25">
      <c r="A2456">
        <f>IF(AND(B2456="", D2456&lt;&gt;""), A2455, A2455+1)</f>
        <v>2450</v>
      </c>
      <c r="R2456" t="b">
        <f>AND(ISNUMBER(FIND($E2456,Tables!$I$2)), ISNUMBER(FIND($D2456,Tables!$J$2)), $E2456&lt;&gt;"")</f>
        <v>0</v>
      </c>
    </row>
    <row r="2457" spans="1:18" x14ac:dyDescent="0.25">
      <c r="A2457">
        <f>IF(AND(B2457="", D2457&lt;&gt;""), A2456, A2456+1)</f>
        <v>2451</v>
      </c>
      <c r="R2457" t="b">
        <f>AND(ISNUMBER(FIND($E2457,Tables!$I$2)), ISNUMBER(FIND($D2457,Tables!$J$2)), $E2457&lt;&gt;"")</f>
        <v>0</v>
      </c>
    </row>
    <row r="2458" spans="1:18" x14ac:dyDescent="0.25">
      <c r="A2458">
        <f>IF(AND(B2458="", D2458&lt;&gt;""), A2457, A2457+1)</f>
        <v>2452</v>
      </c>
      <c r="R2458" t="b">
        <f>AND(ISNUMBER(FIND($E2458,Tables!$I$2)), ISNUMBER(FIND($D2458,Tables!$J$2)), $E2458&lt;&gt;"")</f>
        <v>0</v>
      </c>
    </row>
    <row r="2459" spans="1:18" x14ac:dyDescent="0.25">
      <c r="A2459">
        <f>IF(AND(B2459="", D2459&lt;&gt;""), A2458, A2458+1)</f>
        <v>2453</v>
      </c>
      <c r="R2459" t="b">
        <f>AND(ISNUMBER(FIND($E2459,Tables!$I$2)), ISNUMBER(FIND($D2459,Tables!$J$2)), $E2459&lt;&gt;"")</f>
        <v>0</v>
      </c>
    </row>
    <row r="2460" spans="1:18" x14ac:dyDescent="0.25">
      <c r="A2460">
        <f>IF(AND(B2460="", D2460&lt;&gt;""), A2459, A2459+1)</f>
        <v>2454</v>
      </c>
      <c r="R2460" t="b">
        <f>AND(ISNUMBER(FIND($E2460,Tables!$I$2)), ISNUMBER(FIND($D2460,Tables!$J$2)), $E2460&lt;&gt;"")</f>
        <v>0</v>
      </c>
    </row>
    <row r="2461" spans="1:18" x14ac:dyDescent="0.25">
      <c r="A2461">
        <f>IF(AND(B2461="", D2461&lt;&gt;""), A2460, A2460+1)</f>
        <v>2455</v>
      </c>
      <c r="R2461" t="b">
        <f>AND(ISNUMBER(FIND($E2461,Tables!$I$2)), ISNUMBER(FIND($D2461,Tables!$J$2)), $E2461&lt;&gt;"")</f>
        <v>0</v>
      </c>
    </row>
    <row r="2462" spans="1:18" x14ac:dyDescent="0.25">
      <c r="A2462">
        <f>IF(AND(B2462="", D2462&lt;&gt;""), A2461, A2461+1)</f>
        <v>2456</v>
      </c>
      <c r="R2462" t="b">
        <f>AND(ISNUMBER(FIND($E2462,Tables!$I$2)), ISNUMBER(FIND($D2462,Tables!$J$2)), $E2462&lt;&gt;"")</f>
        <v>0</v>
      </c>
    </row>
    <row r="2463" spans="1:18" x14ac:dyDescent="0.25">
      <c r="A2463">
        <f>IF(AND(B2463="", D2463&lt;&gt;""), A2462, A2462+1)</f>
        <v>2457</v>
      </c>
      <c r="R2463" t="b">
        <f>AND(ISNUMBER(FIND($E2463,Tables!$I$2)), ISNUMBER(FIND($D2463,Tables!$J$2)), $E2463&lt;&gt;"")</f>
        <v>0</v>
      </c>
    </row>
    <row r="2464" spans="1:18" x14ac:dyDescent="0.25">
      <c r="A2464">
        <f>IF(AND(B2464="", D2464&lt;&gt;""), A2463, A2463+1)</f>
        <v>2458</v>
      </c>
      <c r="R2464" t="b">
        <f>AND(ISNUMBER(FIND($E2464,Tables!$I$2)), ISNUMBER(FIND($D2464,Tables!$J$2)), $E2464&lt;&gt;"")</f>
        <v>0</v>
      </c>
    </row>
    <row r="2465" spans="1:18" x14ac:dyDescent="0.25">
      <c r="A2465">
        <f>IF(AND(B2465="", D2465&lt;&gt;""), A2464, A2464+1)</f>
        <v>2459</v>
      </c>
      <c r="R2465" t="b">
        <f>AND(ISNUMBER(FIND($E2465,Tables!$I$2)), ISNUMBER(FIND($D2465,Tables!$J$2)), $E2465&lt;&gt;"")</f>
        <v>0</v>
      </c>
    </row>
    <row r="2466" spans="1:18" x14ac:dyDescent="0.25">
      <c r="A2466">
        <f>IF(AND(B2466="", D2466&lt;&gt;""), A2465, A2465+1)</f>
        <v>2460</v>
      </c>
      <c r="R2466" t="b">
        <f>AND(ISNUMBER(FIND($E2466,Tables!$I$2)), ISNUMBER(FIND($D2466,Tables!$J$2)), $E2466&lt;&gt;"")</f>
        <v>0</v>
      </c>
    </row>
    <row r="2467" spans="1:18" x14ac:dyDescent="0.25">
      <c r="A2467">
        <f>IF(AND(B2467="", D2467&lt;&gt;""), A2466, A2466+1)</f>
        <v>2461</v>
      </c>
      <c r="R2467" t="b">
        <f>AND(ISNUMBER(FIND($E2467,Tables!$I$2)), ISNUMBER(FIND($D2467,Tables!$J$2)), $E2467&lt;&gt;"")</f>
        <v>0</v>
      </c>
    </row>
    <row r="2468" spans="1:18" x14ac:dyDescent="0.25">
      <c r="A2468">
        <f>IF(AND(B2468="", D2468&lt;&gt;""), A2467, A2467+1)</f>
        <v>2462</v>
      </c>
      <c r="R2468" t="b">
        <f>AND(ISNUMBER(FIND($E2468,Tables!$I$2)), ISNUMBER(FIND($D2468,Tables!$J$2)), $E2468&lt;&gt;"")</f>
        <v>0</v>
      </c>
    </row>
    <row r="2469" spans="1:18" x14ac:dyDescent="0.25">
      <c r="A2469">
        <f>IF(AND(B2469="", D2469&lt;&gt;""), A2468, A2468+1)</f>
        <v>2463</v>
      </c>
      <c r="R2469" t="b">
        <f>AND(ISNUMBER(FIND($E2469,Tables!$I$2)), ISNUMBER(FIND($D2469,Tables!$J$2)), $E2469&lt;&gt;"")</f>
        <v>0</v>
      </c>
    </row>
    <row r="2470" spans="1:18" x14ac:dyDescent="0.25">
      <c r="A2470">
        <f>IF(AND(B2470="", D2470&lt;&gt;""), A2469, A2469+1)</f>
        <v>2464</v>
      </c>
      <c r="R2470" t="b">
        <f>AND(ISNUMBER(FIND($E2470,Tables!$I$2)), ISNUMBER(FIND($D2470,Tables!$J$2)), $E2470&lt;&gt;"")</f>
        <v>0</v>
      </c>
    </row>
    <row r="2471" spans="1:18" x14ac:dyDescent="0.25">
      <c r="A2471">
        <f>IF(AND(B2471="", D2471&lt;&gt;""), A2470, A2470+1)</f>
        <v>2465</v>
      </c>
      <c r="R2471" t="b">
        <f>AND(ISNUMBER(FIND($E2471,Tables!$I$2)), ISNUMBER(FIND($D2471,Tables!$J$2)), $E2471&lt;&gt;"")</f>
        <v>0</v>
      </c>
    </row>
    <row r="2472" spans="1:18" x14ac:dyDescent="0.25">
      <c r="A2472">
        <f>IF(AND(B2472="", D2472&lt;&gt;""), A2471, A2471+1)</f>
        <v>2466</v>
      </c>
      <c r="R2472" t="b">
        <f>AND(ISNUMBER(FIND($E2472,Tables!$I$2)), ISNUMBER(FIND($D2472,Tables!$J$2)), $E2472&lt;&gt;"")</f>
        <v>0</v>
      </c>
    </row>
    <row r="2473" spans="1:18" x14ac:dyDescent="0.25">
      <c r="A2473">
        <f>IF(AND(B2473="", D2473&lt;&gt;""), A2472, A2472+1)</f>
        <v>2467</v>
      </c>
      <c r="R2473" t="b">
        <f>AND(ISNUMBER(FIND($E2473,Tables!$I$2)), ISNUMBER(FIND($D2473,Tables!$J$2)), $E2473&lt;&gt;"")</f>
        <v>0</v>
      </c>
    </row>
    <row r="2474" spans="1:18" x14ac:dyDescent="0.25">
      <c r="A2474">
        <f>IF(AND(B2474="", D2474&lt;&gt;""), A2473, A2473+1)</f>
        <v>2468</v>
      </c>
      <c r="R2474" t="b">
        <f>AND(ISNUMBER(FIND($E2474,Tables!$I$2)), ISNUMBER(FIND($D2474,Tables!$J$2)), $E2474&lt;&gt;"")</f>
        <v>0</v>
      </c>
    </row>
    <row r="2475" spans="1:18" x14ac:dyDescent="0.25">
      <c r="A2475">
        <f>IF(AND(B2475="", D2475&lt;&gt;""), A2474, A2474+1)</f>
        <v>2469</v>
      </c>
      <c r="R2475" t="b">
        <f>AND(ISNUMBER(FIND($E2475,Tables!$I$2)), ISNUMBER(FIND($D2475,Tables!$J$2)), $E2475&lt;&gt;"")</f>
        <v>0</v>
      </c>
    </row>
    <row r="2476" spans="1:18" x14ac:dyDescent="0.25">
      <c r="A2476">
        <f>IF(AND(B2476="", D2476&lt;&gt;""), A2475, A2475+1)</f>
        <v>2470</v>
      </c>
      <c r="R2476" t="b">
        <f>AND(ISNUMBER(FIND($E2476,Tables!$I$2)), ISNUMBER(FIND($D2476,Tables!$J$2)), $E2476&lt;&gt;"")</f>
        <v>0</v>
      </c>
    </row>
    <row r="2477" spans="1:18" x14ac:dyDescent="0.25">
      <c r="A2477">
        <f>IF(AND(B2477="", D2477&lt;&gt;""), A2476, A2476+1)</f>
        <v>2471</v>
      </c>
      <c r="R2477" t="b">
        <f>AND(ISNUMBER(FIND($E2477,Tables!$I$2)), ISNUMBER(FIND($D2477,Tables!$J$2)), $E2477&lt;&gt;"")</f>
        <v>0</v>
      </c>
    </row>
    <row r="2478" spans="1:18" x14ac:dyDescent="0.25">
      <c r="A2478">
        <f>IF(AND(B2478="", D2478&lt;&gt;""), A2477, A2477+1)</f>
        <v>2472</v>
      </c>
      <c r="R2478" t="b">
        <f>AND(ISNUMBER(FIND($E2478,Tables!$I$2)), ISNUMBER(FIND($D2478,Tables!$J$2)), $E2478&lt;&gt;"")</f>
        <v>0</v>
      </c>
    </row>
    <row r="2479" spans="1:18" x14ac:dyDescent="0.25">
      <c r="A2479">
        <f>IF(AND(B2479="", D2479&lt;&gt;""), A2478, A2478+1)</f>
        <v>2473</v>
      </c>
      <c r="R2479" t="b">
        <f>AND(ISNUMBER(FIND($E2479,Tables!$I$2)), ISNUMBER(FIND($D2479,Tables!$J$2)), $E2479&lt;&gt;"")</f>
        <v>0</v>
      </c>
    </row>
    <row r="2480" spans="1:18" x14ac:dyDescent="0.25">
      <c r="A2480">
        <f>IF(AND(B2480="", D2480&lt;&gt;""), A2479, A2479+1)</f>
        <v>2474</v>
      </c>
      <c r="R2480" t="b">
        <f>AND(ISNUMBER(FIND($E2480,Tables!$I$2)), ISNUMBER(FIND($D2480,Tables!$J$2)), $E2480&lt;&gt;"")</f>
        <v>0</v>
      </c>
    </row>
    <row r="2481" spans="1:18" x14ac:dyDescent="0.25">
      <c r="A2481">
        <f>IF(AND(B2481="", D2481&lt;&gt;""), A2480, A2480+1)</f>
        <v>2475</v>
      </c>
      <c r="R2481" t="b">
        <f>AND(ISNUMBER(FIND($E2481,Tables!$I$2)), ISNUMBER(FIND($D2481,Tables!$J$2)), $E2481&lt;&gt;"")</f>
        <v>0</v>
      </c>
    </row>
    <row r="2482" spans="1:18" x14ac:dyDescent="0.25">
      <c r="A2482">
        <f>IF(AND(B2482="", D2482&lt;&gt;""), A2481, A2481+1)</f>
        <v>2476</v>
      </c>
      <c r="R2482" t="b">
        <f>AND(ISNUMBER(FIND($E2482,Tables!$I$2)), ISNUMBER(FIND($D2482,Tables!$J$2)), $E2482&lt;&gt;"")</f>
        <v>0</v>
      </c>
    </row>
    <row r="2483" spans="1:18" x14ac:dyDescent="0.25">
      <c r="A2483">
        <f>IF(AND(B2483="", D2483&lt;&gt;""), A2482, A2482+1)</f>
        <v>2477</v>
      </c>
      <c r="R2483" t="b">
        <f>AND(ISNUMBER(FIND($E2483,Tables!$I$2)), ISNUMBER(FIND($D2483,Tables!$J$2)), $E2483&lt;&gt;"")</f>
        <v>0</v>
      </c>
    </row>
    <row r="2484" spans="1:18" x14ac:dyDescent="0.25">
      <c r="A2484">
        <f>IF(AND(B2484="", D2484&lt;&gt;""), A2483, A2483+1)</f>
        <v>2478</v>
      </c>
      <c r="R2484" t="b">
        <f>AND(ISNUMBER(FIND($E2484,Tables!$I$2)), ISNUMBER(FIND($D2484,Tables!$J$2)), $E2484&lt;&gt;"")</f>
        <v>0</v>
      </c>
    </row>
    <row r="2485" spans="1:18" x14ac:dyDescent="0.25">
      <c r="A2485">
        <f>IF(AND(B2485="", D2485&lt;&gt;""), A2484, A2484+1)</f>
        <v>2479</v>
      </c>
      <c r="R2485" t="b">
        <f>AND(ISNUMBER(FIND($E2485,Tables!$I$2)), ISNUMBER(FIND($D2485,Tables!$J$2)), $E2485&lt;&gt;"")</f>
        <v>0</v>
      </c>
    </row>
    <row r="2486" spans="1:18" x14ac:dyDescent="0.25">
      <c r="A2486">
        <f>IF(AND(B2486="", D2486&lt;&gt;""), A2485, A2485+1)</f>
        <v>2480</v>
      </c>
      <c r="R2486" t="b">
        <f>AND(ISNUMBER(FIND($E2486,Tables!$I$2)), ISNUMBER(FIND($D2486,Tables!$J$2)), $E2486&lt;&gt;"")</f>
        <v>0</v>
      </c>
    </row>
    <row r="2487" spans="1:18" x14ac:dyDescent="0.25">
      <c r="A2487">
        <f>IF(AND(B2487="", D2487&lt;&gt;""), A2486, A2486+1)</f>
        <v>2481</v>
      </c>
      <c r="R2487" t="b">
        <f>AND(ISNUMBER(FIND($E2487,Tables!$I$2)), ISNUMBER(FIND($D2487,Tables!$J$2)), $E2487&lt;&gt;"")</f>
        <v>0</v>
      </c>
    </row>
    <row r="2488" spans="1:18" x14ac:dyDescent="0.25">
      <c r="A2488">
        <f>IF(AND(B2488="", D2488&lt;&gt;""), A2487, A2487+1)</f>
        <v>2482</v>
      </c>
      <c r="R2488" t="b">
        <f>AND(ISNUMBER(FIND($E2488,Tables!$I$2)), ISNUMBER(FIND($D2488,Tables!$J$2)), $E2488&lt;&gt;"")</f>
        <v>0</v>
      </c>
    </row>
    <row r="2489" spans="1:18" x14ac:dyDescent="0.25">
      <c r="A2489">
        <f>IF(AND(B2489="", D2489&lt;&gt;""), A2488, A2488+1)</f>
        <v>2483</v>
      </c>
      <c r="R2489" t="b">
        <f>AND(ISNUMBER(FIND($E2489,Tables!$I$2)), ISNUMBER(FIND($D2489,Tables!$J$2)), $E2489&lt;&gt;"")</f>
        <v>0</v>
      </c>
    </row>
    <row r="2490" spans="1:18" x14ac:dyDescent="0.25">
      <c r="A2490">
        <f>IF(AND(B2490="", D2490&lt;&gt;""), A2489, A2489+1)</f>
        <v>2484</v>
      </c>
      <c r="R2490" t="b">
        <f>AND(ISNUMBER(FIND($E2490,Tables!$I$2)), ISNUMBER(FIND($D2490,Tables!$J$2)), $E2490&lt;&gt;"")</f>
        <v>0</v>
      </c>
    </row>
    <row r="2491" spans="1:18" x14ac:dyDescent="0.25">
      <c r="A2491">
        <f>IF(AND(B2491="", D2491&lt;&gt;""), A2490, A2490+1)</f>
        <v>2485</v>
      </c>
      <c r="R2491" t="b">
        <f>AND(ISNUMBER(FIND($E2491,Tables!$I$2)), ISNUMBER(FIND($D2491,Tables!$J$2)), $E2491&lt;&gt;"")</f>
        <v>0</v>
      </c>
    </row>
    <row r="2492" spans="1:18" x14ac:dyDescent="0.25">
      <c r="A2492">
        <f>IF(AND(B2492="", D2492&lt;&gt;""), A2491, A2491+1)</f>
        <v>2486</v>
      </c>
      <c r="R2492" t="b">
        <f>AND(ISNUMBER(FIND($E2492,Tables!$I$2)), ISNUMBER(FIND($D2492,Tables!$J$2)), $E2492&lt;&gt;"")</f>
        <v>0</v>
      </c>
    </row>
    <row r="2493" spans="1:18" x14ac:dyDescent="0.25">
      <c r="A2493">
        <f>IF(AND(B2493="", D2493&lt;&gt;""), A2492, A2492+1)</f>
        <v>2487</v>
      </c>
      <c r="R2493" t="b">
        <f>AND(ISNUMBER(FIND($E2493,Tables!$I$2)), ISNUMBER(FIND($D2493,Tables!$J$2)), $E2493&lt;&gt;"")</f>
        <v>0</v>
      </c>
    </row>
    <row r="2494" spans="1:18" x14ac:dyDescent="0.25">
      <c r="A2494">
        <f>IF(AND(B2494="", D2494&lt;&gt;""), A2493, A2493+1)</f>
        <v>2488</v>
      </c>
      <c r="R2494" t="b">
        <f>AND(ISNUMBER(FIND($E2494,Tables!$I$2)), ISNUMBER(FIND($D2494,Tables!$J$2)), $E2494&lt;&gt;"")</f>
        <v>0</v>
      </c>
    </row>
    <row r="2495" spans="1:18" x14ac:dyDescent="0.25">
      <c r="A2495">
        <f>IF(AND(B2495="", D2495&lt;&gt;""), A2494, A2494+1)</f>
        <v>2489</v>
      </c>
      <c r="R2495" t="b">
        <f>AND(ISNUMBER(FIND($E2495,Tables!$I$2)), ISNUMBER(FIND($D2495,Tables!$J$2)), $E2495&lt;&gt;"")</f>
        <v>0</v>
      </c>
    </row>
    <row r="2496" spans="1:18" x14ac:dyDescent="0.25">
      <c r="A2496">
        <f>IF(AND(B2496="", D2496&lt;&gt;""), A2495, A2495+1)</f>
        <v>2490</v>
      </c>
      <c r="R2496" t="b">
        <f>AND(ISNUMBER(FIND($E2496,Tables!$I$2)), ISNUMBER(FIND($D2496,Tables!$J$2)), $E2496&lt;&gt;"")</f>
        <v>0</v>
      </c>
    </row>
    <row r="2497" spans="1:18" x14ac:dyDescent="0.25">
      <c r="A2497">
        <f>IF(AND(B2497="", D2497&lt;&gt;""), A2496, A2496+1)</f>
        <v>2491</v>
      </c>
      <c r="R2497" t="b">
        <f>AND(ISNUMBER(FIND($E2497,Tables!$I$2)), ISNUMBER(FIND($D2497,Tables!$J$2)), $E2497&lt;&gt;"")</f>
        <v>0</v>
      </c>
    </row>
    <row r="2498" spans="1:18" x14ac:dyDescent="0.25">
      <c r="A2498">
        <f>IF(AND(B2498="", D2498&lt;&gt;""), A2497, A2497+1)</f>
        <v>2492</v>
      </c>
      <c r="R2498" t="b">
        <f>AND(ISNUMBER(FIND($E2498,Tables!$I$2)), ISNUMBER(FIND($D2498,Tables!$J$2)), $E2498&lt;&gt;"")</f>
        <v>0</v>
      </c>
    </row>
    <row r="2499" spans="1:18" x14ac:dyDescent="0.25">
      <c r="A2499">
        <f>IF(AND(B2499="", D2499&lt;&gt;""), A2498, A2498+1)</f>
        <v>2493</v>
      </c>
      <c r="R2499" t="b">
        <f>AND(ISNUMBER(FIND($E2499,Tables!$I$2)), ISNUMBER(FIND($D2499,Tables!$J$2)), $E2499&lt;&gt;"")</f>
        <v>0</v>
      </c>
    </row>
    <row r="2500" spans="1:18" x14ac:dyDescent="0.25">
      <c r="A2500">
        <f>IF(AND(B2500="", D2500&lt;&gt;""), A2499, A2499+1)</f>
        <v>2494</v>
      </c>
      <c r="R2500" t="b">
        <f>AND(ISNUMBER(FIND($E2500,Tables!$I$2)), ISNUMBER(FIND($D2500,Tables!$J$2)), $E2500&lt;&gt;"")</f>
        <v>0</v>
      </c>
    </row>
    <row r="2501" spans="1:18" x14ac:dyDescent="0.25">
      <c r="A2501">
        <f>IF(AND(B2501="", D2501&lt;&gt;""), A2500, A2500+1)</f>
        <v>2495</v>
      </c>
      <c r="R2501" t="b">
        <f>AND(ISNUMBER(FIND($E2501,Tables!$I$2)), ISNUMBER(FIND($D2501,Tables!$J$2)), $E2501&lt;&gt;"")</f>
        <v>0</v>
      </c>
    </row>
    <row r="2502" spans="1:18" x14ac:dyDescent="0.25">
      <c r="A2502">
        <f>IF(AND(B2502="", D2502&lt;&gt;""), A2501, A2501+1)</f>
        <v>2496</v>
      </c>
      <c r="R2502" t="b">
        <f>AND(ISNUMBER(FIND($E2502,Tables!$I$2)), ISNUMBER(FIND($D2502,Tables!$J$2)), $E2502&lt;&gt;"")</f>
        <v>0</v>
      </c>
    </row>
    <row r="2503" spans="1:18" x14ac:dyDescent="0.25">
      <c r="A2503">
        <f>IF(AND(B2503="", D2503&lt;&gt;""), A2502, A2502+1)</f>
        <v>2497</v>
      </c>
      <c r="R2503" t="b">
        <f>AND(ISNUMBER(FIND($E2503,Tables!$I$2)), ISNUMBER(FIND($D2503,Tables!$J$2)), $E2503&lt;&gt;"")</f>
        <v>0</v>
      </c>
    </row>
    <row r="2504" spans="1:18" x14ac:dyDescent="0.25">
      <c r="A2504">
        <f>IF(AND(B2504="", D2504&lt;&gt;""), A2503, A2503+1)</f>
        <v>2498</v>
      </c>
      <c r="R2504" t="b">
        <f>AND(ISNUMBER(FIND($E2504,Tables!$I$2)), ISNUMBER(FIND($D2504,Tables!$J$2)), $E2504&lt;&gt;"")</f>
        <v>0</v>
      </c>
    </row>
    <row r="2505" spans="1:18" x14ac:dyDescent="0.25">
      <c r="A2505">
        <f>IF(AND(B2505="", D2505&lt;&gt;""), A2504, A2504+1)</f>
        <v>2499</v>
      </c>
      <c r="R2505" t="b">
        <f>AND(ISNUMBER(FIND($E2505,Tables!$I$2)), ISNUMBER(FIND($D2505,Tables!$J$2)), $E2505&lt;&gt;"")</f>
        <v>0</v>
      </c>
    </row>
    <row r="2506" spans="1:18" x14ac:dyDescent="0.25">
      <c r="A2506">
        <f>IF(AND(B2506="", D2506&lt;&gt;""), A2505, A2505+1)</f>
        <v>2500</v>
      </c>
      <c r="R2506" t="b">
        <f>AND(ISNUMBER(FIND($E2506,Tables!$I$2)), ISNUMBER(FIND($D2506,Tables!$J$2)), $E2506&lt;&gt;"")</f>
        <v>0</v>
      </c>
    </row>
    <row r="2507" spans="1:18" x14ac:dyDescent="0.25">
      <c r="A2507">
        <f>IF(AND(B2507="", D2507&lt;&gt;""), A2506, A2506+1)</f>
        <v>2501</v>
      </c>
      <c r="R2507" t="b">
        <f>AND(ISNUMBER(FIND($E2507,Tables!$I$2)), ISNUMBER(FIND($D2507,Tables!$J$2)), $E2507&lt;&gt;"")</f>
        <v>0</v>
      </c>
    </row>
    <row r="2508" spans="1:18" x14ac:dyDescent="0.25">
      <c r="A2508">
        <f>IF(AND(B2508="", D2508&lt;&gt;""), A2507, A2507+1)</f>
        <v>2502</v>
      </c>
      <c r="R2508" t="b">
        <f>AND(ISNUMBER(FIND($E2508,Tables!$I$2)), ISNUMBER(FIND($D2508,Tables!$J$2)), $E2508&lt;&gt;"")</f>
        <v>0</v>
      </c>
    </row>
    <row r="2509" spans="1:18" x14ac:dyDescent="0.25">
      <c r="A2509">
        <f>IF(AND(B2509="", D2509&lt;&gt;""), A2508, A2508+1)</f>
        <v>2503</v>
      </c>
      <c r="R2509" t="b">
        <f>AND(ISNUMBER(FIND($E2509,Tables!$I$2)), ISNUMBER(FIND($D2509,Tables!$J$2)), $E2509&lt;&gt;"")</f>
        <v>0</v>
      </c>
    </row>
    <row r="2510" spans="1:18" x14ac:dyDescent="0.25">
      <c r="A2510">
        <f>IF(AND(B2510="", D2510&lt;&gt;""), A2509, A2509+1)</f>
        <v>2504</v>
      </c>
      <c r="R2510" t="b">
        <f>AND(ISNUMBER(FIND($E2510,Tables!$I$2)), ISNUMBER(FIND($D2510,Tables!$J$2)), $E2510&lt;&gt;"")</f>
        <v>0</v>
      </c>
    </row>
    <row r="2511" spans="1:18" x14ac:dyDescent="0.25">
      <c r="A2511">
        <f>IF(AND(B2511="", D2511&lt;&gt;""), A2510, A2510+1)</f>
        <v>2505</v>
      </c>
      <c r="R2511" t="b">
        <f>AND(ISNUMBER(FIND($E2511,Tables!$I$2)), ISNUMBER(FIND($D2511,Tables!$J$2)), $E2511&lt;&gt;"")</f>
        <v>0</v>
      </c>
    </row>
    <row r="2512" spans="1:18" x14ac:dyDescent="0.25">
      <c r="A2512">
        <f>IF(AND(B2512="", D2512&lt;&gt;""), A2511, A2511+1)</f>
        <v>2506</v>
      </c>
      <c r="R2512" t="b">
        <f>AND(ISNUMBER(FIND($E2512,Tables!$I$2)), ISNUMBER(FIND($D2512,Tables!$J$2)), $E2512&lt;&gt;"")</f>
        <v>0</v>
      </c>
    </row>
    <row r="2513" spans="1:18" x14ac:dyDescent="0.25">
      <c r="A2513">
        <f>IF(AND(B2513="", D2513&lt;&gt;""), A2512, A2512+1)</f>
        <v>2507</v>
      </c>
      <c r="R2513" t="b">
        <f>AND(ISNUMBER(FIND($E2513,Tables!$I$2)), ISNUMBER(FIND($D2513,Tables!$J$2)), $E2513&lt;&gt;"")</f>
        <v>0</v>
      </c>
    </row>
    <row r="2514" spans="1:18" x14ac:dyDescent="0.25">
      <c r="A2514">
        <f>IF(AND(B2514="", D2514&lt;&gt;""), A2513, A2513+1)</f>
        <v>2508</v>
      </c>
      <c r="R2514" t="b">
        <f>AND(ISNUMBER(FIND($E2514,Tables!$I$2)), ISNUMBER(FIND($D2514,Tables!$J$2)), $E2514&lt;&gt;"")</f>
        <v>0</v>
      </c>
    </row>
    <row r="2515" spans="1:18" x14ac:dyDescent="0.25">
      <c r="A2515">
        <f>IF(AND(B2515="", D2515&lt;&gt;""), A2514, A2514+1)</f>
        <v>2509</v>
      </c>
      <c r="R2515" t="b">
        <f>AND(ISNUMBER(FIND($E2515,Tables!$I$2)), ISNUMBER(FIND($D2515,Tables!$J$2)), $E2515&lt;&gt;"")</f>
        <v>0</v>
      </c>
    </row>
    <row r="2516" spans="1:18" x14ac:dyDescent="0.25">
      <c r="A2516">
        <f>IF(AND(B2516="", D2516&lt;&gt;""), A2515, A2515+1)</f>
        <v>2510</v>
      </c>
      <c r="R2516" t="b">
        <f>AND(ISNUMBER(FIND($E2516,Tables!$I$2)), ISNUMBER(FIND($D2516,Tables!$J$2)), $E2516&lt;&gt;"")</f>
        <v>0</v>
      </c>
    </row>
    <row r="2517" spans="1:18" x14ac:dyDescent="0.25">
      <c r="A2517">
        <f>IF(AND(B2517="", D2517&lt;&gt;""), A2516, A2516+1)</f>
        <v>2511</v>
      </c>
      <c r="R2517" t="b">
        <f>AND(ISNUMBER(FIND($E2517,Tables!$I$2)), ISNUMBER(FIND($D2517,Tables!$J$2)), $E2517&lt;&gt;"")</f>
        <v>0</v>
      </c>
    </row>
    <row r="2518" spans="1:18" x14ac:dyDescent="0.25">
      <c r="A2518">
        <f>IF(AND(B2518="", D2518&lt;&gt;""), A2517, A2517+1)</f>
        <v>2512</v>
      </c>
      <c r="R2518" t="b">
        <f>AND(ISNUMBER(FIND($E2518,Tables!$I$2)), ISNUMBER(FIND($D2518,Tables!$J$2)), $E2518&lt;&gt;"")</f>
        <v>0</v>
      </c>
    </row>
    <row r="2519" spans="1:18" x14ac:dyDescent="0.25">
      <c r="A2519">
        <f>IF(AND(B2519="", D2519&lt;&gt;""), A2518, A2518+1)</f>
        <v>2513</v>
      </c>
      <c r="R2519" t="b">
        <f>AND(ISNUMBER(FIND($E2519,Tables!$I$2)), ISNUMBER(FIND($D2519,Tables!$J$2)), $E2519&lt;&gt;"")</f>
        <v>0</v>
      </c>
    </row>
    <row r="2520" spans="1:18" x14ac:dyDescent="0.25">
      <c r="A2520">
        <f>IF(AND(B2520="", D2520&lt;&gt;""), A2519, A2519+1)</f>
        <v>2514</v>
      </c>
      <c r="R2520" t="b">
        <f>AND(ISNUMBER(FIND($E2520,Tables!$I$2)), ISNUMBER(FIND($D2520,Tables!$J$2)), $E2520&lt;&gt;"")</f>
        <v>0</v>
      </c>
    </row>
    <row r="2521" spans="1:18" x14ac:dyDescent="0.25">
      <c r="A2521">
        <f>IF(AND(B2521="", D2521&lt;&gt;""), A2520, A2520+1)</f>
        <v>2515</v>
      </c>
      <c r="R2521" t="b">
        <f>AND(ISNUMBER(FIND($E2521,Tables!$I$2)), ISNUMBER(FIND($D2521,Tables!$J$2)), $E2521&lt;&gt;"")</f>
        <v>0</v>
      </c>
    </row>
    <row r="2522" spans="1:18" x14ac:dyDescent="0.25">
      <c r="A2522">
        <f>IF(AND(B2522="", D2522&lt;&gt;""), A2521, A2521+1)</f>
        <v>2516</v>
      </c>
      <c r="R2522" t="b">
        <f>AND(ISNUMBER(FIND($E2522,Tables!$I$2)), ISNUMBER(FIND($D2522,Tables!$J$2)), $E2522&lt;&gt;"")</f>
        <v>0</v>
      </c>
    </row>
    <row r="2523" spans="1:18" x14ac:dyDescent="0.25">
      <c r="A2523">
        <f>IF(AND(B2523="", D2523&lt;&gt;""), A2522, A2522+1)</f>
        <v>2517</v>
      </c>
      <c r="R2523" t="b">
        <f>AND(ISNUMBER(FIND($E2523,Tables!$I$2)), ISNUMBER(FIND($D2523,Tables!$J$2)), $E2523&lt;&gt;"")</f>
        <v>0</v>
      </c>
    </row>
    <row r="2524" spans="1:18" x14ac:dyDescent="0.25">
      <c r="A2524">
        <f>IF(AND(B2524="", D2524&lt;&gt;""), A2523, A2523+1)</f>
        <v>2518</v>
      </c>
      <c r="R2524" t="b">
        <f>AND(ISNUMBER(FIND($E2524,Tables!$I$2)), ISNUMBER(FIND($D2524,Tables!$J$2)), $E2524&lt;&gt;"")</f>
        <v>0</v>
      </c>
    </row>
    <row r="2525" spans="1:18" x14ac:dyDescent="0.25">
      <c r="A2525">
        <f>IF(AND(B2525="", D2525&lt;&gt;""), A2524, A2524+1)</f>
        <v>2519</v>
      </c>
      <c r="R2525" t="b">
        <f>AND(ISNUMBER(FIND($E2525,Tables!$I$2)), ISNUMBER(FIND($D2525,Tables!$J$2)), $E2525&lt;&gt;"")</f>
        <v>0</v>
      </c>
    </row>
    <row r="2526" spans="1:18" x14ac:dyDescent="0.25">
      <c r="A2526">
        <f>IF(AND(B2526="", D2526&lt;&gt;""), A2525, A2525+1)</f>
        <v>2520</v>
      </c>
      <c r="R2526" t="b">
        <f>AND(ISNUMBER(FIND($E2526,Tables!$I$2)), ISNUMBER(FIND($D2526,Tables!$J$2)), $E2526&lt;&gt;"")</f>
        <v>0</v>
      </c>
    </row>
    <row r="2527" spans="1:18" x14ac:dyDescent="0.25">
      <c r="A2527">
        <f>IF(AND(B2527="", D2527&lt;&gt;""), A2526, A2526+1)</f>
        <v>2521</v>
      </c>
      <c r="R2527" t="b">
        <f>AND(ISNUMBER(FIND($E2527,Tables!$I$2)), ISNUMBER(FIND($D2527,Tables!$J$2)), $E2527&lt;&gt;"")</f>
        <v>0</v>
      </c>
    </row>
    <row r="2528" spans="1:18" x14ac:dyDescent="0.25">
      <c r="A2528">
        <f>IF(AND(B2528="", D2528&lt;&gt;""), A2527, A2527+1)</f>
        <v>2522</v>
      </c>
      <c r="R2528" t="b">
        <f>AND(ISNUMBER(FIND($E2528,Tables!$I$2)), ISNUMBER(FIND($D2528,Tables!$J$2)), $E2528&lt;&gt;"")</f>
        <v>0</v>
      </c>
    </row>
    <row r="2529" spans="1:18" x14ac:dyDescent="0.25">
      <c r="A2529">
        <f>IF(AND(B2529="", D2529&lt;&gt;""), A2528, A2528+1)</f>
        <v>2523</v>
      </c>
      <c r="R2529" t="b">
        <f>AND(ISNUMBER(FIND($E2529,Tables!$I$2)), ISNUMBER(FIND($D2529,Tables!$J$2)), $E2529&lt;&gt;"")</f>
        <v>0</v>
      </c>
    </row>
    <row r="2530" spans="1:18" x14ac:dyDescent="0.25">
      <c r="A2530">
        <f>IF(AND(B2530="", D2530&lt;&gt;""), A2529, A2529+1)</f>
        <v>2524</v>
      </c>
      <c r="R2530" t="b">
        <f>AND(ISNUMBER(FIND($E2530,Tables!$I$2)), ISNUMBER(FIND($D2530,Tables!$J$2)), $E2530&lt;&gt;"")</f>
        <v>0</v>
      </c>
    </row>
    <row r="2531" spans="1:18" x14ac:dyDescent="0.25">
      <c r="A2531">
        <f>IF(AND(B2531="", D2531&lt;&gt;""), A2530, A2530+1)</f>
        <v>2525</v>
      </c>
      <c r="R2531" t="b">
        <f>AND(ISNUMBER(FIND($E2531,Tables!$I$2)), ISNUMBER(FIND($D2531,Tables!$J$2)), $E2531&lt;&gt;"")</f>
        <v>0</v>
      </c>
    </row>
    <row r="2532" spans="1:18" x14ac:dyDescent="0.25">
      <c r="A2532">
        <f>IF(AND(B2532="", D2532&lt;&gt;""), A2531, A2531+1)</f>
        <v>2526</v>
      </c>
      <c r="R2532" t="b">
        <f>AND(ISNUMBER(FIND($E2532,Tables!$I$2)), ISNUMBER(FIND($D2532,Tables!$J$2)), $E2532&lt;&gt;"")</f>
        <v>0</v>
      </c>
    </row>
    <row r="2533" spans="1:18" x14ac:dyDescent="0.25">
      <c r="A2533">
        <f>IF(AND(B2533="", D2533&lt;&gt;""), A2532, A2532+1)</f>
        <v>2527</v>
      </c>
      <c r="R2533" t="b">
        <f>AND(ISNUMBER(FIND($E2533,Tables!$I$2)), ISNUMBER(FIND($D2533,Tables!$J$2)), $E2533&lt;&gt;"")</f>
        <v>0</v>
      </c>
    </row>
    <row r="2534" spans="1:18" x14ac:dyDescent="0.25">
      <c r="A2534">
        <f>IF(AND(B2534="", D2534&lt;&gt;""), A2533, A2533+1)</f>
        <v>2528</v>
      </c>
      <c r="R2534" t="b">
        <f>AND(ISNUMBER(FIND($E2534,Tables!$I$2)), ISNUMBER(FIND($D2534,Tables!$J$2)), $E2534&lt;&gt;"")</f>
        <v>0</v>
      </c>
    </row>
    <row r="2535" spans="1:18" x14ac:dyDescent="0.25">
      <c r="A2535">
        <f>IF(AND(B2535="", D2535&lt;&gt;""), A2534, A2534+1)</f>
        <v>2529</v>
      </c>
      <c r="R2535" t="b">
        <f>AND(ISNUMBER(FIND($E2535,Tables!$I$2)), ISNUMBER(FIND($D2535,Tables!$J$2)), $E2535&lt;&gt;"")</f>
        <v>0</v>
      </c>
    </row>
    <row r="2536" spans="1:18" x14ac:dyDescent="0.25">
      <c r="A2536">
        <f>IF(AND(B2536="", D2536&lt;&gt;""), A2535, A2535+1)</f>
        <v>2530</v>
      </c>
      <c r="R2536" t="b">
        <f>AND(ISNUMBER(FIND($E2536,Tables!$I$2)), ISNUMBER(FIND($D2536,Tables!$J$2)), $E2536&lt;&gt;"")</f>
        <v>0</v>
      </c>
    </row>
    <row r="2537" spans="1:18" x14ac:dyDescent="0.25">
      <c r="A2537">
        <f>IF(AND(B2537="", D2537&lt;&gt;""), A2536, A2536+1)</f>
        <v>2531</v>
      </c>
      <c r="R2537" t="b">
        <f>AND(ISNUMBER(FIND($E2537,Tables!$I$2)), ISNUMBER(FIND($D2537,Tables!$J$2)), $E2537&lt;&gt;"")</f>
        <v>0</v>
      </c>
    </row>
    <row r="2538" spans="1:18" x14ac:dyDescent="0.25">
      <c r="A2538">
        <f>IF(AND(B2538="", D2538&lt;&gt;""), A2537, A2537+1)</f>
        <v>2532</v>
      </c>
      <c r="R2538" t="b">
        <f>AND(ISNUMBER(FIND($E2538,Tables!$I$2)), ISNUMBER(FIND($D2538,Tables!$J$2)), $E2538&lt;&gt;"")</f>
        <v>0</v>
      </c>
    </row>
    <row r="2539" spans="1:18" x14ac:dyDescent="0.25">
      <c r="A2539">
        <f>IF(AND(B2539="", D2539&lt;&gt;""), A2538, A2538+1)</f>
        <v>2533</v>
      </c>
      <c r="R2539" t="b">
        <f>AND(ISNUMBER(FIND($E2539,Tables!$I$2)), ISNUMBER(FIND($D2539,Tables!$J$2)), $E2539&lt;&gt;"")</f>
        <v>0</v>
      </c>
    </row>
    <row r="2540" spans="1:18" x14ac:dyDescent="0.25">
      <c r="A2540">
        <f>IF(AND(B2540="", D2540&lt;&gt;""), A2539, A2539+1)</f>
        <v>2534</v>
      </c>
      <c r="R2540" t="b">
        <f>AND(ISNUMBER(FIND($E2540,Tables!$I$2)), ISNUMBER(FIND($D2540,Tables!$J$2)), $E2540&lt;&gt;"")</f>
        <v>0</v>
      </c>
    </row>
    <row r="2541" spans="1:18" x14ac:dyDescent="0.25">
      <c r="A2541">
        <f>IF(AND(B2541="", D2541&lt;&gt;""), A2540, A2540+1)</f>
        <v>2535</v>
      </c>
      <c r="R2541" t="b">
        <f>AND(ISNUMBER(FIND($E2541,Tables!$I$2)), ISNUMBER(FIND($D2541,Tables!$J$2)), $E2541&lt;&gt;"")</f>
        <v>0</v>
      </c>
    </row>
    <row r="2542" spans="1:18" x14ac:dyDescent="0.25">
      <c r="A2542">
        <f>IF(AND(B2542="", D2542&lt;&gt;""), A2541, A2541+1)</f>
        <v>2536</v>
      </c>
      <c r="R2542" t="b">
        <f>AND(ISNUMBER(FIND($E2542,Tables!$I$2)), ISNUMBER(FIND($D2542,Tables!$J$2)), $E2542&lt;&gt;"")</f>
        <v>0</v>
      </c>
    </row>
    <row r="2543" spans="1:18" x14ac:dyDescent="0.25">
      <c r="A2543">
        <f>IF(AND(B2543="", D2543&lt;&gt;""), A2542, A2542+1)</f>
        <v>2537</v>
      </c>
      <c r="R2543" t="b">
        <f>AND(ISNUMBER(FIND($E2543,Tables!$I$2)), ISNUMBER(FIND($D2543,Tables!$J$2)), $E2543&lt;&gt;"")</f>
        <v>0</v>
      </c>
    </row>
    <row r="2544" spans="1:18" x14ac:dyDescent="0.25">
      <c r="A2544">
        <f>IF(AND(B2544="", D2544&lt;&gt;""), A2543, A2543+1)</f>
        <v>2538</v>
      </c>
      <c r="R2544" t="b">
        <f>AND(ISNUMBER(FIND($E2544,Tables!$I$2)), ISNUMBER(FIND($D2544,Tables!$J$2)), $E2544&lt;&gt;"")</f>
        <v>0</v>
      </c>
    </row>
    <row r="2545" spans="1:18" x14ac:dyDescent="0.25">
      <c r="A2545">
        <f>IF(AND(B2545="", D2545&lt;&gt;""), A2544, A2544+1)</f>
        <v>2539</v>
      </c>
      <c r="R2545" t="b">
        <f>AND(ISNUMBER(FIND($E2545,Tables!$I$2)), ISNUMBER(FIND($D2545,Tables!$J$2)), $E2545&lt;&gt;"")</f>
        <v>0</v>
      </c>
    </row>
    <row r="2546" spans="1:18" x14ac:dyDescent="0.25">
      <c r="A2546">
        <f>IF(AND(B2546="", D2546&lt;&gt;""), A2545, A2545+1)</f>
        <v>2540</v>
      </c>
      <c r="R2546" t="b">
        <f>AND(ISNUMBER(FIND($E2546,Tables!$I$2)), ISNUMBER(FIND($D2546,Tables!$J$2)), $E2546&lt;&gt;"")</f>
        <v>0</v>
      </c>
    </row>
    <row r="2547" spans="1:18" x14ac:dyDescent="0.25">
      <c r="A2547">
        <f>IF(AND(B2547="", D2547&lt;&gt;""), A2546, A2546+1)</f>
        <v>2541</v>
      </c>
      <c r="R2547" t="b">
        <f>AND(ISNUMBER(FIND($E2547,Tables!$I$2)), ISNUMBER(FIND($D2547,Tables!$J$2)), $E2547&lt;&gt;"")</f>
        <v>0</v>
      </c>
    </row>
    <row r="2548" spans="1:18" x14ac:dyDescent="0.25">
      <c r="A2548">
        <f>IF(AND(B2548="", D2548&lt;&gt;""), A2547, A2547+1)</f>
        <v>2542</v>
      </c>
      <c r="R2548" t="b">
        <f>AND(ISNUMBER(FIND($E2548,Tables!$I$2)), ISNUMBER(FIND($D2548,Tables!$J$2)), $E2548&lt;&gt;"")</f>
        <v>0</v>
      </c>
    </row>
    <row r="2549" spans="1:18" x14ac:dyDescent="0.25">
      <c r="A2549">
        <f>IF(AND(B2549="", D2549&lt;&gt;""), A2548, A2548+1)</f>
        <v>2543</v>
      </c>
      <c r="R2549" t="b">
        <f>AND(ISNUMBER(FIND($E2549,Tables!$I$2)), ISNUMBER(FIND($D2549,Tables!$J$2)), $E2549&lt;&gt;"")</f>
        <v>0</v>
      </c>
    </row>
    <row r="2550" spans="1:18" x14ac:dyDescent="0.25">
      <c r="A2550">
        <f>IF(AND(B2550="", D2550&lt;&gt;""), A2549, A2549+1)</f>
        <v>2544</v>
      </c>
      <c r="R2550" t="b">
        <f>AND(ISNUMBER(FIND($E2550,Tables!$I$2)), ISNUMBER(FIND($D2550,Tables!$J$2)), $E2550&lt;&gt;"")</f>
        <v>0</v>
      </c>
    </row>
    <row r="2551" spans="1:18" x14ac:dyDescent="0.25">
      <c r="A2551">
        <f>IF(AND(B2551="", D2551&lt;&gt;""), A2550, A2550+1)</f>
        <v>2545</v>
      </c>
      <c r="R2551" t="b">
        <f>AND(ISNUMBER(FIND($E2551,Tables!$I$2)), ISNUMBER(FIND($D2551,Tables!$J$2)), $E2551&lt;&gt;"")</f>
        <v>0</v>
      </c>
    </row>
    <row r="2552" spans="1:18" x14ac:dyDescent="0.25">
      <c r="A2552">
        <f>IF(AND(B2552="", D2552&lt;&gt;""), A2551, A2551+1)</f>
        <v>2546</v>
      </c>
      <c r="R2552" t="b">
        <f>AND(ISNUMBER(FIND($E2552,Tables!$I$2)), ISNUMBER(FIND($D2552,Tables!$J$2)), $E2552&lt;&gt;"")</f>
        <v>0</v>
      </c>
    </row>
    <row r="2553" spans="1:18" x14ac:dyDescent="0.25">
      <c r="A2553">
        <f>IF(AND(B2553="", D2553&lt;&gt;""), A2552, A2552+1)</f>
        <v>2547</v>
      </c>
      <c r="R2553" t="b">
        <f>AND(ISNUMBER(FIND($E2553,Tables!$I$2)), ISNUMBER(FIND($D2553,Tables!$J$2)), $E2553&lt;&gt;"")</f>
        <v>0</v>
      </c>
    </row>
    <row r="2554" spans="1:18" x14ac:dyDescent="0.25">
      <c r="A2554">
        <f>IF(AND(B2554="", D2554&lt;&gt;""), A2553, A2553+1)</f>
        <v>2548</v>
      </c>
      <c r="R2554" t="b">
        <f>AND(ISNUMBER(FIND($E2554,Tables!$I$2)), ISNUMBER(FIND($D2554,Tables!$J$2)), $E2554&lt;&gt;"")</f>
        <v>0</v>
      </c>
    </row>
    <row r="2555" spans="1:18" x14ac:dyDescent="0.25">
      <c r="A2555">
        <f>IF(AND(B2555="", D2555&lt;&gt;""), A2554, A2554+1)</f>
        <v>2549</v>
      </c>
      <c r="R2555" t="b">
        <f>AND(ISNUMBER(FIND($E2555,Tables!$I$2)), ISNUMBER(FIND($D2555,Tables!$J$2)), $E2555&lt;&gt;"")</f>
        <v>0</v>
      </c>
    </row>
    <row r="2556" spans="1:18" x14ac:dyDescent="0.25">
      <c r="A2556">
        <f>IF(AND(B2556="", D2556&lt;&gt;""), A2555, A2555+1)</f>
        <v>2550</v>
      </c>
      <c r="R2556" t="b">
        <f>AND(ISNUMBER(FIND($E2556,Tables!$I$2)), ISNUMBER(FIND($D2556,Tables!$J$2)), $E2556&lt;&gt;"")</f>
        <v>0</v>
      </c>
    </row>
    <row r="2557" spans="1:18" x14ac:dyDescent="0.25">
      <c r="A2557">
        <f>IF(AND(B2557="", D2557&lt;&gt;""), A2556, A2556+1)</f>
        <v>2551</v>
      </c>
      <c r="R2557" t="b">
        <f>AND(ISNUMBER(FIND($E2557,Tables!$I$2)), ISNUMBER(FIND($D2557,Tables!$J$2)), $E2557&lt;&gt;"")</f>
        <v>0</v>
      </c>
    </row>
    <row r="2558" spans="1:18" x14ac:dyDescent="0.25">
      <c r="A2558">
        <f>IF(AND(B2558="", D2558&lt;&gt;""), A2557, A2557+1)</f>
        <v>2552</v>
      </c>
      <c r="R2558" t="b">
        <f>AND(ISNUMBER(FIND($E2558,Tables!$I$2)), ISNUMBER(FIND($D2558,Tables!$J$2)), $E2558&lt;&gt;"")</f>
        <v>0</v>
      </c>
    </row>
    <row r="2559" spans="1:18" x14ac:dyDescent="0.25">
      <c r="A2559">
        <f>IF(AND(B2559="", D2559&lt;&gt;""), A2558, A2558+1)</f>
        <v>2553</v>
      </c>
      <c r="R2559" t="b">
        <f>AND(ISNUMBER(FIND($E2559,Tables!$I$2)), ISNUMBER(FIND($D2559,Tables!$J$2)), $E2559&lt;&gt;"")</f>
        <v>0</v>
      </c>
    </row>
    <row r="2560" spans="1:18" x14ac:dyDescent="0.25">
      <c r="A2560">
        <f>IF(AND(B2560="", D2560&lt;&gt;""), A2559, A2559+1)</f>
        <v>2554</v>
      </c>
      <c r="R2560" t="b">
        <f>AND(ISNUMBER(FIND($E2560,Tables!$I$2)), ISNUMBER(FIND($D2560,Tables!$J$2)), $E2560&lt;&gt;"")</f>
        <v>0</v>
      </c>
    </row>
    <row r="2561" spans="1:18" x14ac:dyDescent="0.25">
      <c r="A2561">
        <f>IF(AND(B2561="", D2561&lt;&gt;""), A2560, A2560+1)</f>
        <v>2555</v>
      </c>
      <c r="R2561" t="b">
        <f>AND(ISNUMBER(FIND($E2561,Tables!$I$2)), ISNUMBER(FIND($D2561,Tables!$J$2)), $E2561&lt;&gt;"")</f>
        <v>0</v>
      </c>
    </row>
    <row r="2562" spans="1:18" x14ac:dyDescent="0.25">
      <c r="A2562">
        <f>IF(AND(B2562="", D2562&lt;&gt;""), A2561, A2561+1)</f>
        <v>2556</v>
      </c>
      <c r="R2562" t="b">
        <f>AND(ISNUMBER(FIND($E2562,Tables!$I$2)), ISNUMBER(FIND($D2562,Tables!$J$2)), $E2562&lt;&gt;"")</f>
        <v>0</v>
      </c>
    </row>
    <row r="2563" spans="1:18" x14ac:dyDescent="0.25">
      <c r="A2563">
        <f>IF(AND(B2563="", D2563&lt;&gt;""), A2562, A2562+1)</f>
        <v>2557</v>
      </c>
      <c r="R2563" t="b">
        <f>AND(ISNUMBER(FIND($E2563,Tables!$I$2)), ISNUMBER(FIND($D2563,Tables!$J$2)), $E2563&lt;&gt;"")</f>
        <v>0</v>
      </c>
    </row>
    <row r="2564" spans="1:18" x14ac:dyDescent="0.25">
      <c r="A2564">
        <f>IF(AND(B2564="", D2564&lt;&gt;""), A2563, A2563+1)</f>
        <v>2558</v>
      </c>
      <c r="R2564" t="b">
        <f>AND(ISNUMBER(FIND($E2564,Tables!$I$2)), ISNUMBER(FIND($D2564,Tables!$J$2)), $E2564&lt;&gt;"")</f>
        <v>0</v>
      </c>
    </row>
    <row r="2565" spans="1:18" x14ac:dyDescent="0.25">
      <c r="A2565">
        <f>IF(AND(B2565="", D2565&lt;&gt;""), A2564, A2564+1)</f>
        <v>2559</v>
      </c>
      <c r="R2565" t="b">
        <f>AND(ISNUMBER(FIND($E2565,Tables!$I$2)), ISNUMBER(FIND($D2565,Tables!$J$2)), $E2565&lt;&gt;"")</f>
        <v>0</v>
      </c>
    </row>
    <row r="2566" spans="1:18" x14ac:dyDescent="0.25">
      <c r="A2566">
        <f>IF(AND(B2566="", D2566&lt;&gt;""), A2565, A2565+1)</f>
        <v>2560</v>
      </c>
      <c r="R2566" t="b">
        <f>AND(ISNUMBER(FIND($E2566,Tables!$I$2)), ISNUMBER(FIND($D2566,Tables!$J$2)), $E2566&lt;&gt;"")</f>
        <v>0</v>
      </c>
    </row>
    <row r="2567" spans="1:18" x14ac:dyDescent="0.25">
      <c r="A2567">
        <f>IF(AND(B2567="", D2567&lt;&gt;""), A2566, A2566+1)</f>
        <v>2561</v>
      </c>
      <c r="R2567" t="b">
        <f>AND(ISNUMBER(FIND($E2567,Tables!$I$2)), ISNUMBER(FIND($D2567,Tables!$J$2)), $E2567&lt;&gt;"")</f>
        <v>0</v>
      </c>
    </row>
    <row r="2568" spans="1:18" x14ac:dyDescent="0.25">
      <c r="A2568">
        <f>IF(AND(B2568="", D2568&lt;&gt;""), A2567, A2567+1)</f>
        <v>2562</v>
      </c>
      <c r="R2568" t="b">
        <f>AND(ISNUMBER(FIND($E2568,Tables!$I$2)), ISNUMBER(FIND($D2568,Tables!$J$2)), $E2568&lt;&gt;"")</f>
        <v>0</v>
      </c>
    </row>
    <row r="2569" spans="1:18" x14ac:dyDescent="0.25">
      <c r="A2569">
        <f>IF(AND(B2569="", D2569&lt;&gt;""), A2568, A2568+1)</f>
        <v>2563</v>
      </c>
      <c r="R2569" t="b">
        <f>AND(ISNUMBER(FIND($E2569,Tables!$I$2)), ISNUMBER(FIND($D2569,Tables!$J$2)), $E2569&lt;&gt;"")</f>
        <v>0</v>
      </c>
    </row>
    <row r="2570" spans="1:18" x14ac:dyDescent="0.25">
      <c r="A2570">
        <f>IF(AND(B2570="", D2570&lt;&gt;""), A2569, A2569+1)</f>
        <v>2564</v>
      </c>
      <c r="R2570" t="b">
        <f>AND(ISNUMBER(FIND($E2570,Tables!$I$2)), ISNUMBER(FIND($D2570,Tables!$J$2)), $E2570&lt;&gt;"")</f>
        <v>0</v>
      </c>
    </row>
    <row r="2571" spans="1:18" x14ac:dyDescent="0.25">
      <c r="A2571">
        <f>IF(AND(B2571="", D2571&lt;&gt;""), A2570, A2570+1)</f>
        <v>2565</v>
      </c>
      <c r="R2571" t="b">
        <f>AND(ISNUMBER(FIND($E2571,Tables!$I$2)), ISNUMBER(FIND($D2571,Tables!$J$2)), $E2571&lt;&gt;"")</f>
        <v>0</v>
      </c>
    </row>
    <row r="2572" spans="1:18" x14ac:dyDescent="0.25">
      <c r="A2572">
        <f>IF(AND(B2572="", D2572&lt;&gt;""), A2571, A2571+1)</f>
        <v>2566</v>
      </c>
      <c r="R2572" t="b">
        <f>AND(ISNUMBER(FIND($E2572,Tables!$I$2)), ISNUMBER(FIND($D2572,Tables!$J$2)), $E2572&lt;&gt;"")</f>
        <v>0</v>
      </c>
    </row>
    <row r="2573" spans="1:18" x14ac:dyDescent="0.25">
      <c r="A2573">
        <f>IF(AND(B2573="", D2573&lt;&gt;""), A2572, A2572+1)</f>
        <v>2567</v>
      </c>
      <c r="R2573" t="b">
        <f>AND(ISNUMBER(FIND($E2573,Tables!$I$2)), ISNUMBER(FIND($D2573,Tables!$J$2)), $E2573&lt;&gt;"")</f>
        <v>0</v>
      </c>
    </row>
    <row r="2574" spans="1:18" x14ac:dyDescent="0.25">
      <c r="A2574">
        <f>IF(AND(B2574="", D2574&lt;&gt;""), A2573, A2573+1)</f>
        <v>2568</v>
      </c>
      <c r="R2574" t="b">
        <f>AND(ISNUMBER(FIND($E2574,Tables!$I$2)), ISNUMBER(FIND($D2574,Tables!$J$2)), $E2574&lt;&gt;"")</f>
        <v>0</v>
      </c>
    </row>
    <row r="2575" spans="1:18" x14ac:dyDescent="0.25">
      <c r="A2575">
        <f>IF(AND(B2575="", D2575&lt;&gt;""), A2574, A2574+1)</f>
        <v>2569</v>
      </c>
      <c r="R2575" t="b">
        <f>AND(ISNUMBER(FIND($E2575,Tables!$I$2)), ISNUMBER(FIND($D2575,Tables!$J$2)), $E2575&lt;&gt;"")</f>
        <v>0</v>
      </c>
    </row>
    <row r="2576" spans="1:18" x14ac:dyDescent="0.25">
      <c r="A2576">
        <f>IF(AND(B2576="", D2576&lt;&gt;""), A2575, A2575+1)</f>
        <v>2570</v>
      </c>
      <c r="R2576" t="b">
        <f>AND(ISNUMBER(FIND($E2576,Tables!$I$2)), ISNUMBER(FIND($D2576,Tables!$J$2)), $E2576&lt;&gt;"")</f>
        <v>0</v>
      </c>
    </row>
    <row r="2577" spans="1:18" x14ac:dyDescent="0.25">
      <c r="A2577">
        <f>IF(AND(B2577="", D2577&lt;&gt;""), A2576, A2576+1)</f>
        <v>2571</v>
      </c>
      <c r="R2577" t="b">
        <f>AND(ISNUMBER(FIND($E2577,Tables!$I$2)), ISNUMBER(FIND($D2577,Tables!$J$2)), $E2577&lt;&gt;"")</f>
        <v>0</v>
      </c>
    </row>
    <row r="2578" spans="1:18" x14ac:dyDescent="0.25">
      <c r="A2578">
        <f>IF(AND(B2578="", D2578&lt;&gt;""), A2577, A2577+1)</f>
        <v>2572</v>
      </c>
      <c r="R2578" t="b">
        <f>AND(ISNUMBER(FIND($E2578,Tables!$I$2)), ISNUMBER(FIND($D2578,Tables!$J$2)), $E2578&lt;&gt;"")</f>
        <v>0</v>
      </c>
    </row>
    <row r="2579" spans="1:18" x14ac:dyDescent="0.25">
      <c r="A2579">
        <f>IF(AND(B2579="", D2579&lt;&gt;""), A2578, A2578+1)</f>
        <v>2573</v>
      </c>
      <c r="R2579" t="b">
        <f>AND(ISNUMBER(FIND($E2579,Tables!$I$2)), ISNUMBER(FIND($D2579,Tables!$J$2)), $E2579&lt;&gt;"")</f>
        <v>0</v>
      </c>
    </row>
    <row r="2580" spans="1:18" x14ac:dyDescent="0.25">
      <c r="A2580">
        <f>IF(AND(B2580="", D2580&lt;&gt;""), A2579, A2579+1)</f>
        <v>2574</v>
      </c>
      <c r="R2580" t="b">
        <f>AND(ISNUMBER(FIND($E2580,Tables!$I$2)), ISNUMBER(FIND($D2580,Tables!$J$2)), $E2580&lt;&gt;"")</f>
        <v>0</v>
      </c>
    </row>
    <row r="2581" spans="1:18" x14ac:dyDescent="0.25">
      <c r="A2581">
        <f>IF(AND(B2581="", D2581&lt;&gt;""), A2580, A2580+1)</f>
        <v>2575</v>
      </c>
      <c r="R2581" t="b">
        <f>AND(ISNUMBER(FIND($E2581,Tables!$I$2)), ISNUMBER(FIND($D2581,Tables!$J$2)), $E2581&lt;&gt;"")</f>
        <v>0</v>
      </c>
    </row>
    <row r="2582" spans="1:18" x14ac:dyDescent="0.25">
      <c r="A2582">
        <f>IF(AND(B2582="", D2582&lt;&gt;""), A2581, A2581+1)</f>
        <v>2576</v>
      </c>
      <c r="R2582" t="b">
        <f>AND(ISNUMBER(FIND($E2582,Tables!$I$2)), ISNUMBER(FIND($D2582,Tables!$J$2)), $E2582&lt;&gt;"")</f>
        <v>0</v>
      </c>
    </row>
    <row r="2583" spans="1:18" x14ac:dyDescent="0.25">
      <c r="A2583">
        <f>IF(AND(B2583="", D2583&lt;&gt;""), A2582, A2582+1)</f>
        <v>2577</v>
      </c>
      <c r="R2583" t="b">
        <f>AND(ISNUMBER(FIND($E2583,Tables!$I$2)), ISNUMBER(FIND($D2583,Tables!$J$2)), $E2583&lt;&gt;"")</f>
        <v>0</v>
      </c>
    </row>
    <row r="2584" spans="1:18" x14ac:dyDescent="0.25">
      <c r="A2584">
        <f>IF(AND(B2584="", D2584&lt;&gt;""), A2583, A2583+1)</f>
        <v>2578</v>
      </c>
      <c r="R2584" t="b">
        <f>AND(ISNUMBER(FIND($E2584,Tables!$I$2)), ISNUMBER(FIND($D2584,Tables!$J$2)), $E2584&lt;&gt;"")</f>
        <v>0</v>
      </c>
    </row>
    <row r="2585" spans="1:18" x14ac:dyDescent="0.25">
      <c r="A2585">
        <f>IF(AND(B2585="", D2585&lt;&gt;""), A2584, A2584+1)</f>
        <v>2579</v>
      </c>
      <c r="R2585" t="b">
        <f>AND(ISNUMBER(FIND($E2585,Tables!$I$2)), ISNUMBER(FIND($D2585,Tables!$J$2)), $E2585&lt;&gt;"")</f>
        <v>0</v>
      </c>
    </row>
    <row r="2586" spans="1:18" x14ac:dyDescent="0.25">
      <c r="A2586">
        <f>IF(AND(B2586="", D2586&lt;&gt;""), A2585, A2585+1)</f>
        <v>2580</v>
      </c>
      <c r="R2586" t="b">
        <f>AND(ISNUMBER(FIND($E2586,Tables!$I$2)), ISNUMBER(FIND($D2586,Tables!$J$2)), $E2586&lt;&gt;"")</f>
        <v>0</v>
      </c>
    </row>
    <row r="2587" spans="1:18" x14ac:dyDescent="0.25">
      <c r="A2587">
        <f>IF(AND(B2587="", D2587&lt;&gt;""), A2586, A2586+1)</f>
        <v>2581</v>
      </c>
      <c r="R2587" t="b">
        <f>AND(ISNUMBER(FIND($E2587,Tables!$I$2)), ISNUMBER(FIND($D2587,Tables!$J$2)), $E2587&lt;&gt;"")</f>
        <v>0</v>
      </c>
    </row>
    <row r="2588" spans="1:18" x14ac:dyDescent="0.25">
      <c r="A2588">
        <f>IF(AND(B2588="", D2588&lt;&gt;""), A2587, A2587+1)</f>
        <v>2582</v>
      </c>
      <c r="R2588" t="b">
        <f>AND(ISNUMBER(FIND($E2588,Tables!$I$2)), ISNUMBER(FIND($D2588,Tables!$J$2)), $E2588&lt;&gt;"")</f>
        <v>0</v>
      </c>
    </row>
    <row r="2589" spans="1:18" x14ac:dyDescent="0.25">
      <c r="A2589">
        <f>IF(AND(B2589="", D2589&lt;&gt;""), A2588, A2588+1)</f>
        <v>2583</v>
      </c>
      <c r="R2589" t="b">
        <f>AND(ISNUMBER(FIND($E2589,Tables!$I$2)), ISNUMBER(FIND($D2589,Tables!$J$2)), $E2589&lt;&gt;"")</f>
        <v>0</v>
      </c>
    </row>
    <row r="2590" spans="1:18" x14ac:dyDescent="0.25">
      <c r="A2590">
        <f>IF(AND(B2590="", D2590&lt;&gt;""), A2589, A2589+1)</f>
        <v>2584</v>
      </c>
      <c r="R2590" t="b">
        <f>AND(ISNUMBER(FIND($E2590,Tables!$I$2)), ISNUMBER(FIND($D2590,Tables!$J$2)), $E2590&lt;&gt;"")</f>
        <v>0</v>
      </c>
    </row>
    <row r="2591" spans="1:18" x14ac:dyDescent="0.25">
      <c r="A2591">
        <f>IF(AND(B2591="", D2591&lt;&gt;""), A2590, A2590+1)</f>
        <v>2585</v>
      </c>
      <c r="R2591" t="b">
        <f>AND(ISNUMBER(FIND($E2591,Tables!$I$2)), ISNUMBER(FIND($D2591,Tables!$J$2)), $E2591&lt;&gt;"")</f>
        <v>0</v>
      </c>
    </row>
    <row r="2592" spans="1:18" x14ac:dyDescent="0.25">
      <c r="A2592">
        <f>IF(AND(B2592="", D2592&lt;&gt;""), A2591, A2591+1)</f>
        <v>2586</v>
      </c>
      <c r="R2592" t="b">
        <f>AND(ISNUMBER(FIND($E2592,Tables!$I$2)), ISNUMBER(FIND($D2592,Tables!$J$2)), $E2592&lt;&gt;"")</f>
        <v>0</v>
      </c>
    </row>
    <row r="2593" spans="1:18" x14ac:dyDescent="0.25">
      <c r="A2593">
        <f>IF(AND(B2593="", D2593&lt;&gt;""), A2592, A2592+1)</f>
        <v>2587</v>
      </c>
      <c r="R2593" t="b">
        <f>AND(ISNUMBER(FIND($E2593,Tables!$I$2)), ISNUMBER(FIND($D2593,Tables!$J$2)), $E2593&lt;&gt;"")</f>
        <v>0</v>
      </c>
    </row>
    <row r="2594" spans="1:18" x14ac:dyDescent="0.25">
      <c r="A2594">
        <f>IF(AND(B2594="", D2594&lt;&gt;""), A2593, A2593+1)</f>
        <v>2588</v>
      </c>
      <c r="R2594" t="b">
        <f>AND(ISNUMBER(FIND($E2594,Tables!$I$2)), ISNUMBER(FIND($D2594,Tables!$J$2)), $E2594&lt;&gt;"")</f>
        <v>0</v>
      </c>
    </row>
    <row r="2595" spans="1:18" x14ac:dyDescent="0.25">
      <c r="A2595">
        <f>IF(AND(B2595="", D2595&lt;&gt;""), A2594, A2594+1)</f>
        <v>2589</v>
      </c>
      <c r="R2595" t="b">
        <f>AND(ISNUMBER(FIND($E2595,Tables!$I$2)), ISNUMBER(FIND($D2595,Tables!$J$2)), $E2595&lt;&gt;"")</f>
        <v>0</v>
      </c>
    </row>
    <row r="2596" spans="1:18" x14ac:dyDescent="0.25">
      <c r="A2596">
        <f>IF(AND(B2596="", D2596&lt;&gt;""), A2595, A2595+1)</f>
        <v>2590</v>
      </c>
      <c r="R2596" t="b">
        <f>AND(ISNUMBER(FIND($E2596,Tables!$I$2)), ISNUMBER(FIND($D2596,Tables!$J$2)), $E2596&lt;&gt;"")</f>
        <v>0</v>
      </c>
    </row>
    <row r="2597" spans="1:18" x14ac:dyDescent="0.25">
      <c r="A2597">
        <f>IF(AND(B2597="", D2597&lt;&gt;""), A2596, A2596+1)</f>
        <v>2591</v>
      </c>
      <c r="R2597" t="b">
        <f>AND(ISNUMBER(FIND($E2597,Tables!$I$2)), ISNUMBER(FIND($D2597,Tables!$J$2)), $E2597&lt;&gt;"")</f>
        <v>0</v>
      </c>
    </row>
    <row r="2598" spans="1:18" x14ac:dyDescent="0.25">
      <c r="A2598">
        <f>IF(AND(B2598="", D2598&lt;&gt;""), A2597, A2597+1)</f>
        <v>2592</v>
      </c>
      <c r="R2598" t="b">
        <f>AND(ISNUMBER(FIND($E2598,Tables!$I$2)), ISNUMBER(FIND($D2598,Tables!$J$2)), $E2598&lt;&gt;"")</f>
        <v>0</v>
      </c>
    </row>
    <row r="2599" spans="1:18" x14ac:dyDescent="0.25">
      <c r="A2599">
        <f>IF(AND(B2599="", D2599&lt;&gt;""), A2598, A2598+1)</f>
        <v>2593</v>
      </c>
      <c r="R2599" t="b">
        <f>AND(ISNUMBER(FIND($E2599,Tables!$I$2)), ISNUMBER(FIND($D2599,Tables!$J$2)), $E2599&lt;&gt;"")</f>
        <v>0</v>
      </c>
    </row>
    <row r="2600" spans="1:18" x14ac:dyDescent="0.25">
      <c r="A2600">
        <f>IF(AND(B2600="", D2600&lt;&gt;""), A2599, A2599+1)</f>
        <v>2594</v>
      </c>
      <c r="R2600" t="b">
        <f>AND(ISNUMBER(FIND($E2600,Tables!$I$2)), ISNUMBER(FIND($D2600,Tables!$J$2)), $E2600&lt;&gt;"")</f>
        <v>0</v>
      </c>
    </row>
    <row r="2601" spans="1:18" x14ac:dyDescent="0.25">
      <c r="A2601">
        <f>IF(AND(B2601="", D2601&lt;&gt;""), A2600, A2600+1)</f>
        <v>2595</v>
      </c>
      <c r="R2601" t="b">
        <f>AND(ISNUMBER(FIND($E2601,Tables!$I$2)), ISNUMBER(FIND($D2601,Tables!$J$2)), $E2601&lt;&gt;"")</f>
        <v>0</v>
      </c>
    </row>
    <row r="2602" spans="1:18" x14ac:dyDescent="0.25">
      <c r="A2602">
        <f>IF(AND(B2602="", D2602&lt;&gt;""), A2601, A2601+1)</f>
        <v>2596</v>
      </c>
      <c r="R2602" t="b">
        <f>AND(ISNUMBER(FIND($E2602,Tables!$I$2)), ISNUMBER(FIND($D2602,Tables!$J$2)), $E2602&lt;&gt;"")</f>
        <v>0</v>
      </c>
    </row>
    <row r="2603" spans="1:18" x14ac:dyDescent="0.25">
      <c r="A2603">
        <f>IF(AND(B2603="", D2603&lt;&gt;""), A2602, A2602+1)</f>
        <v>2597</v>
      </c>
      <c r="R2603" t="b">
        <f>AND(ISNUMBER(FIND($E2603,Tables!$I$2)), ISNUMBER(FIND($D2603,Tables!$J$2)), $E2603&lt;&gt;"")</f>
        <v>0</v>
      </c>
    </row>
    <row r="2604" spans="1:18" x14ac:dyDescent="0.25">
      <c r="A2604">
        <f>IF(AND(B2604="", D2604&lt;&gt;""), A2603, A2603+1)</f>
        <v>2598</v>
      </c>
      <c r="R2604" t="b">
        <f>AND(ISNUMBER(FIND($E2604,Tables!$I$2)), ISNUMBER(FIND($D2604,Tables!$J$2)), $E2604&lt;&gt;"")</f>
        <v>0</v>
      </c>
    </row>
    <row r="2605" spans="1:18" x14ac:dyDescent="0.25">
      <c r="A2605">
        <f>IF(AND(B2605="", D2605&lt;&gt;""), A2604, A2604+1)</f>
        <v>2599</v>
      </c>
      <c r="R2605" t="b">
        <f>AND(ISNUMBER(FIND($E2605,Tables!$I$2)), ISNUMBER(FIND($D2605,Tables!$J$2)), $E2605&lt;&gt;"")</f>
        <v>0</v>
      </c>
    </row>
    <row r="2606" spans="1:18" x14ac:dyDescent="0.25">
      <c r="A2606">
        <f>IF(AND(B2606="", D2606&lt;&gt;""), A2605, A2605+1)</f>
        <v>2600</v>
      </c>
      <c r="R2606" t="b">
        <f>AND(ISNUMBER(FIND($E2606,Tables!$I$2)), ISNUMBER(FIND($D2606,Tables!$J$2)), $E2606&lt;&gt;"")</f>
        <v>0</v>
      </c>
    </row>
    <row r="2607" spans="1:18" x14ac:dyDescent="0.25">
      <c r="A2607">
        <f>IF(AND(B2607="", D2607&lt;&gt;""), A2606, A2606+1)</f>
        <v>2601</v>
      </c>
      <c r="R2607" t="b">
        <f>AND(ISNUMBER(FIND($E2607,Tables!$I$2)), ISNUMBER(FIND($D2607,Tables!$J$2)), $E2607&lt;&gt;"")</f>
        <v>0</v>
      </c>
    </row>
    <row r="2608" spans="1:18" x14ac:dyDescent="0.25">
      <c r="A2608">
        <f>IF(AND(B2608="", D2608&lt;&gt;""), A2607, A2607+1)</f>
        <v>2602</v>
      </c>
      <c r="R2608" t="b">
        <f>AND(ISNUMBER(FIND($E2608,Tables!$I$2)), ISNUMBER(FIND($D2608,Tables!$J$2)), $E2608&lt;&gt;"")</f>
        <v>0</v>
      </c>
    </row>
    <row r="2609" spans="1:18" x14ac:dyDescent="0.25">
      <c r="A2609">
        <f>IF(AND(B2609="", D2609&lt;&gt;""), A2608, A2608+1)</f>
        <v>2603</v>
      </c>
      <c r="R2609" t="b">
        <f>AND(ISNUMBER(FIND($E2609,Tables!$I$2)), ISNUMBER(FIND($D2609,Tables!$J$2)), $E2609&lt;&gt;"")</f>
        <v>0</v>
      </c>
    </row>
    <row r="2610" spans="1:18" x14ac:dyDescent="0.25">
      <c r="A2610">
        <f>IF(AND(B2610="", D2610&lt;&gt;""), A2609, A2609+1)</f>
        <v>2604</v>
      </c>
      <c r="R2610" t="b">
        <f>AND(ISNUMBER(FIND($E2610,Tables!$I$2)), ISNUMBER(FIND($D2610,Tables!$J$2)), $E2610&lt;&gt;"")</f>
        <v>0</v>
      </c>
    </row>
    <row r="2611" spans="1:18" x14ac:dyDescent="0.25">
      <c r="A2611">
        <f>IF(AND(B2611="", D2611&lt;&gt;""), A2610, A2610+1)</f>
        <v>2605</v>
      </c>
      <c r="R2611" t="b">
        <f>AND(ISNUMBER(FIND($E2611,Tables!$I$2)), ISNUMBER(FIND($D2611,Tables!$J$2)), $E2611&lt;&gt;"")</f>
        <v>0</v>
      </c>
    </row>
    <row r="2612" spans="1:18" x14ac:dyDescent="0.25">
      <c r="A2612">
        <f>IF(AND(B2612="", D2612&lt;&gt;""), A2611, A2611+1)</f>
        <v>2606</v>
      </c>
      <c r="R2612" t="b">
        <f>AND(ISNUMBER(FIND($E2612,Tables!$I$2)), ISNUMBER(FIND($D2612,Tables!$J$2)), $E2612&lt;&gt;"")</f>
        <v>0</v>
      </c>
    </row>
    <row r="2613" spans="1:18" x14ac:dyDescent="0.25">
      <c r="A2613">
        <f>IF(AND(B2613="", D2613&lt;&gt;""), A2612, A2612+1)</f>
        <v>2607</v>
      </c>
      <c r="R2613" t="b">
        <f>AND(ISNUMBER(FIND($E2613,Tables!$I$2)), ISNUMBER(FIND($D2613,Tables!$J$2)), $E2613&lt;&gt;"")</f>
        <v>0</v>
      </c>
    </row>
    <row r="2614" spans="1:18" x14ac:dyDescent="0.25">
      <c r="A2614">
        <f>IF(AND(B2614="", D2614&lt;&gt;""), A2613, A2613+1)</f>
        <v>2608</v>
      </c>
      <c r="R2614" t="b">
        <f>AND(ISNUMBER(FIND($E2614,Tables!$I$2)), ISNUMBER(FIND($D2614,Tables!$J$2)), $E2614&lt;&gt;"")</f>
        <v>0</v>
      </c>
    </row>
    <row r="2615" spans="1:18" x14ac:dyDescent="0.25">
      <c r="A2615">
        <f>IF(AND(B2615="", D2615&lt;&gt;""), A2614, A2614+1)</f>
        <v>2609</v>
      </c>
      <c r="R2615" t="b">
        <f>AND(ISNUMBER(FIND($E2615,Tables!$I$2)), ISNUMBER(FIND($D2615,Tables!$J$2)), $E2615&lt;&gt;"")</f>
        <v>0</v>
      </c>
    </row>
    <row r="2616" spans="1:18" x14ac:dyDescent="0.25">
      <c r="A2616">
        <f>IF(AND(B2616="", D2616&lt;&gt;""), A2615, A2615+1)</f>
        <v>2610</v>
      </c>
      <c r="R2616" t="b">
        <f>AND(ISNUMBER(FIND($E2616,Tables!$I$2)), ISNUMBER(FIND($D2616,Tables!$J$2)), $E2616&lt;&gt;"")</f>
        <v>0</v>
      </c>
    </row>
    <row r="2617" spans="1:18" x14ac:dyDescent="0.25">
      <c r="A2617">
        <f>IF(AND(B2617="", D2617&lt;&gt;""), A2616, A2616+1)</f>
        <v>2611</v>
      </c>
      <c r="R2617" t="b">
        <f>AND(ISNUMBER(FIND($E2617,Tables!$I$2)), ISNUMBER(FIND($D2617,Tables!$J$2)), $E2617&lt;&gt;"")</f>
        <v>0</v>
      </c>
    </row>
    <row r="2618" spans="1:18" x14ac:dyDescent="0.25">
      <c r="A2618">
        <f>IF(AND(B2618="", D2618&lt;&gt;""), A2617, A2617+1)</f>
        <v>2612</v>
      </c>
      <c r="R2618" t="b">
        <f>AND(ISNUMBER(FIND($E2618,Tables!$I$2)), ISNUMBER(FIND($D2618,Tables!$J$2)), $E2618&lt;&gt;"")</f>
        <v>0</v>
      </c>
    </row>
    <row r="2619" spans="1:18" x14ac:dyDescent="0.25">
      <c r="A2619">
        <f>IF(AND(B2619="", D2619&lt;&gt;""), A2618, A2618+1)</f>
        <v>2613</v>
      </c>
      <c r="R2619" t="b">
        <f>AND(ISNUMBER(FIND($E2619,Tables!$I$2)), ISNUMBER(FIND($D2619,Tables!$J$2)), $E2619&lt;&gt;"")</f>
        <v>0</v>
      </c>
    </row>
    <row r="2620" spans="1:18" x14ac:dyDescent="0.25">
      <c r="A2620">
        <f>IF(AND(B2620="", D2620&lt;&gt;""), A2619, A2619+1)</f>
        <v>2614</v>
      </c>
      <c r="R2620" t="b">
        <f>AND(ISNUMBER(FIND($E2620,Tables!$I$2)), ISNUMBER(FIND($D2620,Tables!$J$2)), $E2620&lt;&gt;"")</f>
        <v>0</v>
      </c>
    </row>
    <row r="2621" spans="1:18" x14ac:dyDescent="0.25">
      <c r="A2621">
        <f>IF(AND(B2621="", D2621&lt;&gt;""), A2620, A2620+1)</f>
        <v>2615</v>
      </c>
      <c r="R2621" t="b">
        <f>AND(ISNUMBER(FIND($E2621,Tables!$I$2)), ISNUMBER(FIND($D2621,Tables!$J$2)), $E2621&lt;&gt;"")</f>
        <v>0</v>
      </c>
    </row>
    <row r="2622" spans="1:18" x14ac:dyDescent="0.25">
      <c r="A2622">
        <f>IF(AND(B2622="", D2622&lt;&gt;""), A2621, A2621+1)</f>
        <v>2616</v>
      </c>
      <c r="R2622" t="b">
        <f>AND(ISNUMBER(FIND($E2622,Tables!$I$2)), ISNUMBER(FIND($D2622,Tables!$J$2)), $E2622&lt;&gt;"")</f>
        <v>0</v>
      </c>
    </row>
    <row r="2623" spans="1:18" x14ac:dyDescent="0.25">
      <c r="A2623">
        <f>IF(AND(B2623="", D2623&lt;&gt;""), A2622, A2622+1)</f>
        <v>2617</v>
      </c>
      <c r="R2623" t="b">
        <f>AND(ISNUMBER(FIND($E2623,Tables!$I$2)), ISNUMBER(FIND($D2623,Tables!$J$2)), $E2623&lt;&gt;"")</f>
        <v>0</v>
      </c>
    </row>
    <row r="2624" spans="1:18" x14ac:dyDescent="0.25">
      <c r="A2624">
        <f>IF(AND(B2624="", D2624&lt;&gt;""), A2623, A2623+1)</f>
        <v>2618</v>
      </c>
      <c r="R2624" t="b">
        <f>AND(ISNUMBER(FIND($E2624,Tables!$I$2)), ISNUMBER(FIND($D2624,Tables!$J$2)), $E2624&lt;&gt;"")</f>
        <v>0</v>
      </c>
    </row>
    <row r="2625" spans="1:18" x14ac:dyDescent="0.25">
      <c r="A2625">
        <f>IF(AND(B2625="", D2625&lt;&gt;""), A2624, A2624+1)</f>
        <v>2619</v>
      </c>
      <c r="R2625" t="b">
        <f>AND(ISNUMBER(FIND($E2625,Tables!$I$2)), ISNUMBER(FIND($D2625,Tables!$J$2)), $E2625&lt;&gt;"")</f>
        <v>0</v>
      </c>
    </row>
    <row r="2626" spans="1:18" x14ac:dyDescent="0.25">
      <c r="A2626">
        <f>IF(AND(B2626="", D2626&lt;&gt;""), A2625, A2625+1)</f>
        <v>2620</v>
      </c>
      <c r="R2626" t="b">
        <f>AND(ISNUMBER(FIND($E2626,Tables!$I$2)), ISNUMBER(FIND($D2626,Tables!$J$2)), $E2626&lt;&gt;"")</f>
        <v>0</v>
      </c>
    </row>
    <row r="2627" spans="1:18" x14ac:dyDescent="0.25">
      <c r="A2627">
        <f>IF(AND(B2627="", D2627&lt;&gt;""), A2626, A2626+1)</f>
        <v>2621</v>
      </c>
      <c r="R2627" t="b">
        <f>AND(ISNUMBER(FIND($E2627,Tables!$I$2)), ISNUMBER(FIND($D2627,Tables!$J$2)), $E2627&lt;&gt;"")</f>
        <v>0</v>
      </c>
    </row>
    <row r="2628" spans="1:18" x14ac:dyDescent="0.25">
      <c r="A2628">
        <f>IF(AND(B2628="", D2628&lt;&gt;""), A2627, A2627+1)</f>
        <v>2622</v>
      </c>
      <c r="R2628" t="b">
        <f>AND(ISNUMBER(FIND($E2628,Tables!$I$2)), ISNUMBER(FIND($D2628,Tables!$J$2)), $E2628&lt;&gt;"")</f>
        <v>0</v>
      </c>
    </row>
    <row r="2629" spans="1:18" x14ac:dyDescent="0.25">
      <c r="A2629">
        <f>IF(AND(B2629="", D2629&lt;&gt;""), A2628, A2628+1)</f>
        <v>2623</v>
      </c>
      <c r="R2629" t="b">
        <f>AND(ISNUMBER(FIND($E2629,Tables!$I$2)), ISNUMBER(FIND($D2629,Tables!$J$2)), $E2629&lt;&gt;"")</f>
        <v>0</v>
      </c>
    </row>
    <row r="2630" spans="1:18" x14ac:dyDescent="0.25">
      <c r="A2630">
        <f>IF(AND(B2630="", D2630&lt;&gt;""), A2629, A2629+1)</f>
        <v>2624</v>
      </c>
      <c r="R2630" t="b">
        <f>AND(ISNUMBER(FIND($E2630,Tables!$I$2)), ISNUMBER(FIND($D2630,Tables!$J$2)), $E2630&lt;&gt;"")</f>
        <v>0</v>
      </c>
    </row>
    <row r="2631" spans="1:18" x14ac:dyDescent="0.25">
      <c r="A2631">
        <f>IF(AND(B2631="", D2631&lt;&gt;""), A2630, A2630+1)</f>
        <v>2625</v>
      </c>
      <c r="R2631" t="b">
        <f>AND(ISNUMBER(FIND($E2631,Tables!$I$2)), ISNUMBER(FIND($D2631,Tables!$J$2)), $E2631&lt;&gt;"")</f>
        <v>0</v>
      </c>
    </row>
    <row r="2632" spans="1:18" x14ac:dyDescent="0.25">
      <c r="A2632">
        <f>IF(AND(B2632="", D2632&lt;&gt;""), A2631, A2631+1)</f>
        <v>2626</v>
      </c>
      <c r="R2632" t="b">
        <f>AND(ISNUMBER(FIND($E2632,Tables!$I$2)), ISNUMBER(FIND($D2632,Tables!$J$2)), $E2632&lt;&gt;"")</f>
        <v>0</v>
      </c>
    </row>
    <row r="2633" spans="1:18" x14ac:dyDescent="0.25">
      <c r="A2633">
        <f>IF(AND(B2633="", D2633&lt;&gt;""), A2632, A2632+1)</f>
        <v>2627</v>
      </c>
      <c r="R2633" t="b">
        <f>AND(ISNUMBER(FIND($E2633,Tables!$I$2)), ISNUMBER(FIND($D2633,Tables!$J$2)), $E2633&lt;&gt;"")</f>
        <v>0</v>
      </c>
    </row>
    <row r="2634" spans="1:18" x14ac:dyDescent="0.25">
      <c r="A2634">
        <f>IF(AND(B2634="", D2634&lt;&gt;""), A2633, A2633+1)</f>
        <v>2628</v>
      </c>
      <c r="R2634" t="b">
        <f>AND(ISNUMBER(FIND($E2634,Tables!$I$2)), ISNUMBER(FIND($D2634,Tables!$J$2)), $E2634&lt;&gt;"")</f>
        <v>0</v>
      </c>
    </row>
    <row r="2635" spans="1:18" x14ac:dyDescent="0.25">
      <c r="A2635">
        <f>IF(AND(B2635="", D2635&lt;&gt;""), A2634, A2634+1)</f>
        <v>2629</v>
      </c>
      <c r="R2635" t="b">
        <f>AND(ISNUMBER(FIND($E2635,Tables!$I$2)), ISNUMBER(FIND($D2635,Tables!$J$2)), $E2635&lt;&gt;"")</f>
        <v>0</v>
      </c>
    </row>
    <row r="2636" spans="1:18" x14ac:dyDescent="0.25">
      <c r="A2636">
        <f>IF(AND(B2636="", D2636&lt;&gt;""), A2635, A2635+1)</f>
        <v>2630</v>
      </c>
      <c r="R2636" t="b">
        <f>AND(ISNUMBER(FIND($E2636,Tables!$I$2)), ISNUMBER(FIND($D2636,Tables!$J$2)), $E2636&lt;&gt;"")</f>
        <v>0</v>
      </c>
    </row>
    <row r="2637" spans="1:18" x14ac:dyDescent="0.25">
      <c r="A2637">
        <f>IF(AND(B2637="", D2637&lt;&gt;""), A2636, A2636+1)</f>
        <v>2631</v>
      </c>
      <c r="R2637" t="b">
        <f>AND(ISNUMBER(FIND($E2637,Tables!$I$2)), ISNUMBER(FIND($D2637,Tables!$J$2)), $E2637&lt;&gt;"")</f>
        <v>0</v>
      </c>
    </row>
    <row r="2638" spans="1:18" x14ac:dyDescent="0.25">
      <c r="A2638">
        <f>IF(AND(B2638="", D2638&lt;&gt;""), A2637, A2637+1)</f>
        <v>2632</v>
      </c>
      <c r="R2638" t="b">
        <f>AND(ISNUMBER(FIND($E2638,Tables!$I$2)), ISNUMBER(FIND($D2638,Tables!$J$2)), $E2638&lt;&gt;"")</f>
        <v>0</v>
      </c>
    </row>
    <row r="2639" spans="1:18" x14ac:dyDescent="0.25">
      <c r="A2639">
        <f>IF(AND(B2639="", D2639&lt;&gt;""), A2638, A2638+1)</f>
        <v>2633</v>
      </c>
      <c r="R2639" t="b">
        <f>AND(ISNUMBER(FIND($E2639,Tables!$I$2)), ISNUMBER(FIND($D2639,Tables!$J$2)), $E2639&lt;&gt;"")</f>
        <v>0</v>
      </c>
    </row>
    <row r="2640" spans="1:18" x14ac:dyDescent="0.25">
      <c r="A2640">
        <f>IF(AND(B2640="", D2640&lt;&gt;""), A2639, A2639+1)</f>
        <v>2634</v>
      </c>
      <c r="R2640" t="b">
        <f>AND(ISNUMBER(FIND($E2640,Tables!$I$2)), ISNUMBER(FIND($D2640,Tables!$J$2)), $E2640&lt;&gt;"")</f>
        <v>0</v>
      </c>
    </row>
    <row r="2641" spans="1:18" x14ac:dyDescent="0.25">
      <c r="A2641">
        <f>IF(AND(B2641="", D2641&lt;&gt;""), A2640, A2640+1)</f>
        <v>2635</v>
      </c>
      <c r="R2641" t="b">
        <f>AND(ISNUMBER(FIND($E2641,Tables!$I$2)), ISNUMBER(FIND($D2641,Tables!$J$2)), $E2641&lt;&gt;"")</f>
        <v>0</v>
      </c>
    </row>
    <row r="2642" spans="1:18" x14ac:dyDescent="0.25">
      <c r="A2642">
        <f>IF(AND(B2642="", D2642&lt;&gt;""), A2641, A2641+1)</f>
        <v>2636</v>
      </c>
      <c r="R2642" t="b">
        <f>AND(ISNUMBER(FIND($E2642,Tables!$I$2)), ISNUMBER(FIND($D2642,Tables!$J$2)), $E2642&lt;&gt;"")</f>
        <v>0</v>
      </c>
    </row>
    <row r="2643" spans="1:18" x14ac:dyDescent="0.25">
      <c r="A2643">
        <f>IF(AND(B2643="", D2643&lt;&gt;""), A2642, A2642+1)</f>
        <v>2637</v>
      </c>
      <c r="R2643" t="b">
        <f>AND(ISNUMBER(FIND($E2643,Tables!$I$2)), ISNUMBER(FIND($D2643,Tables!$J$2)), $E2643&lt;&gt;"")</f>
        <v>0</v>
      </c>
    </row>
    <row r="2644" spans="1:18" x14ac:dyDescent="0.25">
      <c r="A2644">
        <f>IF(AND(B2644="", D2644&lt;&gt;""), A2643, A2643+1)</f>
        <v>2638</v>
      </c>
      <c r="R2644" t="b">
        <f>AND(ISNUMBER(FIND($E2644,Tables!$I$2)), ISNUMBER(FIND($D2644,Tables!$J$2)), $E2644&lt;&gt;"")</f>
        <v>0</v>
      </c>
    </row>
    <row r="2645" spans="1:18" x14ac:dyDescent="0.25">
      <c r="A2645">
        <f>IF(AND(B2645="", D2645&lt;&gt;""), A2644, A2644+1)</f>
        <v>2639</v>
      </c>
      <c r="R2645" t="b">
        <f>AND(ISNUMBER(FIND($E2645,Tables!$I$2)), ISNUMBER(FIND($D2645,Tables!$J$2)), $E2645&lt;&gt;"")</f>
        <v>0</v>
      </c>
    </row>
    <row r="2646" spans="1:18" x14ac:dyDescent="0.25">
      <c r="A2646">
        <f>IF(AND(B2646="", D2646&lt;&gt;""), A2645, A2645+1)</f>
        <v>2640</v>
      </c>
      <c r="R2646" t="b">
        <f>AND(ISNUMBER(FIND($E2646,Tables!$I$2)), ISNUMBER(FIND($D2646,Tables!$J$2)), $E2646&lt;&gt;"")</f>
        <v>0</v>
      </c>
    </row>
    <row r="2647" spans="1:18" x14ac:dyDescent="0.25">
      <c r="A2647">
        <f>IF(AND(B2647="", D2647&lt;&gt;""), A2646, A2646+1)</f>
        <v>2641</v>
      </c>
      <c r="R2647" t="b">
        <f>AND(ISNUMBER(FIND($E2647,Tables!$I$2)), ISNUMBER(FIND($D2647,Tables!$J$2)), $E2647&lt;&gt;"")</f>
        <v>0</v>
      </c>
    </row>
    <row r="2648" spans="1:18" x14ac:dyDescent="0.25">
      <c r="A2648">
        <f>IF(AND(B2648="", D2648&lt;&gt;""), A2647, A2647+1)</f>
        <v>2642</v>
      </c>
      <c r="R2648" t="b">
        <f>AND(ISNUMBER(FIND($E2648,Tables!$I$2)), ISNUMBER(FIND($D2648,Tables!$J$2)), $E2648&lt;&gt;"")</f>
        <v>0</v>
      </c>
    </row>
    <row r="2649" spans="1:18" x14ac:dyDescent="0.25">
      <c r="A2649">
        <f>IF(AND(B2649="", D2649&lt;&gt;""), A2648, A2648+1)</f>
        <v>2643</v>
      </c>
      <c r="R2649" t="b">
        <f>AND(ISNUMBER(FIND($E2649,Tables!$I$2)), ISNUMBER(FIND($D2649,Tables!$J$2)), $E2649&lt;&gt;"")</f>
        <v>0</v>
      </c>
    </row>
    <row r="2650" spans="1:18" x14ac:dyDescent="0.25">
      <c r="A2650">
        <f>IF(AND(B2650="", D2650&lt;&gt;""), A2649, A2649+1)</f>
        <v>2644</v>
      </c>
      <c r="R2650" t="b">
        <f>AND(ISNUMBER(FIND($E2650,Tables!$I$2)), ISNUMBER(FIND($D2650,Tables!$J$2)), $E2650&lt;&gt;"")</f>
        <v>0</v>
      </c>
    </row>
    <row r="2651" spans="1:18" x14ac:dyDescent="0.25">
      <c r="A2651">
        <f>IF(AND(B2651="", D2651&lt;&gt;""), A2650, A2650+1)</f>
        <v>2645</v>
      </c>
      <c r="R2651" t="b">
        <f>AND(ISNUMBER(FIND($E2651,Tables!$I$2)), ISNUMBER(FIND($D2651,Tables!$J$2)), $E2651&lt;&gt;"")</f>
        <v>0</v>
      </c>
    </row>
    <row r="2652" spans="1:18" x14ac:dyDescent="0.25">
      <c r="A2652">
        <f>IF(AND(B2652="", D2652&lt;&gt;""), A2651, A2651+1)</f>
        <v>2646</v>
      </c>
      <c r="R2652" t="b">
        <f>AND(ISNUMBER(FIND($E2652,Tables!$I$2)), ISNUMBER(FIND($D2652,Tables!$J$2)), $E2652&lt;&gt;"")</f>
        <v>0</v>
      </c>
    </row>
    <row r="2653" spans="1:18" x14ac:dyDescent="0.25">
      <c r="A2653">
        <f>IF(AND(B2653="", D2653&lt;&gt;""), A2652, A2652+1)</f>
        <v>2647</v>
      </c>
      <c r="R2653" t="b">
        <f>AND(ISNUMBER(FIND($E2653,Tables!$I$2)), ISNUMBER(FIND($D2653,Tables!$J$2)), $E2653&lt;&gt;"")</f>
        <v>0</v>
      </c>
    </row>
    <row r="2654" spans="1:18" x14ac:dyDescent="0.25">
      <c r="A2654">
        <f>IF(AND(B2654="", D2654&lt;&gt;""), A2653, A2653+1)</f>
        <v>2648</v>
      </c>
      <c r="R2654" t="b">
        <f>AND(ISNUMBER(FIND($E2654,Tables!$I$2)), ISNUMBER(FIND($D2654,Tables!$J$2)), $E2654&lt;&gt;"")</f>
        <v>0</v>
      </c>
    </row>
    <row r="2655" spans="1:18" x14ac:dyDescent="0.25">
      <c r="A2655">
        <f>IF(AND(B2655="", D2655&lt;&gt;""), A2654, A2654+1)</f>
        <v>2649</v>
      </c>
      <c r="R2655" t="b">
        <f>AND(ISNUMBER(FIND($E2655,Tables!$I$2)), ISNUMBER(FIND($D2655,Tables!$J$2)), $E2655&lt;&gt;"")</f>
        <v>0</v>
      </c>
    </row>
    <row r="2656" spans="1:18" x14ac:dyDescent="0.25">
      <c r="A2656">
        <f>IF(AND(B2656="", D2656&lt;&gt;""), A2655, A2655+1)</f>
        <v>2650</v>
      </c>
      <c r="R2656" t="b">
        <f>AND(ISNUMBER(FIND($E2656,Tables!$I$2)), ISNUMBER(FIND($D2656,Tables!$J$2)), $E2656&lt;&gt;"")</f>
        <v>0</v>
      </c>
    </row>
    <row r="2657" spans="1:18" x14ac:dyDescent="0.25">
      <c r="A2657">
        <f>IF(AND(B2657="", D2657&lt;&gt;""), A2656, A2656+1)</f>
        <v>2651</v>
      </c>
      <c r="R2657" t="b">
        <f>AND(ISNUMBER(FIND($E2657,Tables!$I$2)), ISNUMBER(FIND($D2657,Tables!$J$2)), $E2657&lt;&gt;"")</f>
        <v>0</v>
      </c>
    </row>
    <row r="2658" spans="1:18" x14ac:dyDescent="0.25">
      <c r="A2658">
        <f>IF(AND(B2658="", D2658&lt;&gt;""), A2657, A2657+1)</f>
        <v>2652</v>
      </c>
      <c r="R2658" t="b">
        <f>AND(ISNUMBER(FIND($E2658,Tables!$I$2)), ISNUMBER(FIND($D2658,Tables!$J$2)), $E2658&lt;&gt;"")</f>
        <v>0</v>
      </c>
    </row>
    <row r="2659" spans="1:18" x14ac:dyDescent="0.25">
      <c r="A2659">
        <f>IF(AND(B2659="", D2659&lt;&gt;""), A2658, A2658+1)</f>
        <v>2653</v>
      </c>
      <c r="R2659" t="b">
        <f>AND(ISNUMBER(FIND($E2659,Tables!$I$2)), ISNUMBER(FIND($D2659,Tables!$J$2)), $E2659&lt;&gt;"")</f>
        <v>0</v>
      </c>
    </row>
    <row r="2660" spans="1:18" x14ac:dyDescent="0.25">
      <c r="A2660">
        <f>IF(AND(B2660="", D2660&lt;&gt;""), A2659, A2659+1)</f>
        <v>2654</v>
      </c>
      <c r="R2660" t="b">
        <f>AND(ISNUMBER(FIND($E2660,Tables!$I$2)), ISNUMBER(FIND($D2660,Tables!$J$2)), $E2660&lt;&gt;"")</f>
        <v>0</v>
      </c>
    </row>
    <row r="2661" spans="1:18" x14ac:dyDescent="0.25">
      <c r="A2661">
        <f>IF(AND(B2661="", D2661&lt;&gt;""), A2660, A2660+1)</f>
        <v>2655</v>
      </c>
      <c r="R2661" t="b">
        <f>AND(ISNUMBER(FIND($E2661,Tables!$I$2)), ISNUMBER(FIND($D2661,Tables!$J$2)), $E2661&lt;&gt;"")</f>
        <v>0</v>
      </c>
    </row>
    <row r="2662" spans="1:18" x14ac:dyDescent="0.25">
      <c r="A2662">
        <f>IF(AND(B2662="", D2662&lt;&gt;""), A2661, A2661+1)</f>
        <v>2656</v>
      </c>
      <c r="R2662" t="b">
        <f>AND(ISNUMBER(FIND($E2662,Tables!$I$2)), ISNUMBER(FIND($D2662,Tables!$J$2)), $E2662&lt;&gt;"")</f>
        <v>0</v>
      </c>
    </row>
    <row r="2663" spans="1:18" x14ac:dyDescent="0.25">
      <c r="A2663">
        <f>IF(AND(B2663="", D2663&lt;&gt;""), A2662, A2662+1)</f>
        <v>2657</v>
      </c>
      <c r="R2663" t="b">
        <f>AND(ISNUMBER(FIND($E2663,Tables!$I$2)), ISNUMBER(FIND($D2663,Tables!$J$2)), $E2663&lt;&gt;"")</f>
        <v>0</v>
      </c>
    </row>
    <row r="2664" spans="1:18" x14ac:dyDescent="0.25">
      <c r="A2664">
        <f>IF(AND(B2664="", D2664&lt;&gt;""), A2663, A2663+1)</f>
        <v>2658</v>
      </c>
      <c r="R2664" t="b">
        <f>AND(ISNUMBER(FIND($E2664,Tables!$I$2)), ISNUMBER(FIND($D2664,Tables!$J$2)), $E2664&lt;&gt;"")</f>
        <v>0</v>
      </c>
    </row>
    <row r="2665" spans="1:18" x14ac:dyDescent="0.25">
      <c r="A2665">
        <f>IF(AND(B2665="", D2665&lt;&gt;""), A2664, A2664+1)</f>
        <v>2659</v>
      </c>
      <c r="R2665" t="b">
        <f>AND(ISNUMBER(FIND($E2665,Tables!$I$2)), ISNUMBER(FIND($D2665,Tables!$J$2)), $E2665&lt;&gt;"")</f>
        <v>0</v>
      </c>
    </row>
    <row r="2666" spans="1:18" x14ac:dyDescent="0.25">
      <c r="A2666">
        <f>IF(AND(B2666="", D2666&lt;&gt;""), A2665, A2665+1)</f>
        <v>2660</v>
      </c>
      <c r="R2666" t="b">
        <f>AND(ISNUMBER(FIND($E2666,Tables!$I$2)), ISNUMBER(FIND($D2666,Tables!$J$2)), $E2666&lt;&gt;"")</f>
        <v>0</v>
      </c>
    </row>
    <row r="2667" spans="1:18" x14ac:dyDescent="0.25">
      <c r="A2667">
        <f>IF(AND(B2667="", D2667&lt;&gt;""), A2666, A2666+1)</f>
        <v>2661</v>
      </c>
      <c r="R2667" t="b">
        <f>AND(ISNUMBER(FIND($E2667,Tables!$I$2)), ISNUMBER(FIND($D2667,Tables!$J$2)), $E2667&lt;&gt;"")</f>
        <v>0</v>
      </c>
    </row>
    <row r="2668" spans="1:18" x14ac:dyDescent="0.25">
      <c r="A2668">
        <f>IF(AND(B2668="", D2668&lt;&gt;""), A2667, A2667+1)</f>
        <v>2662</v>
      </c>
      <c r="R2668" t="b">
        <f>AND(ISNUMBER(FIND($E2668,Tables!$I$2)), ISNUMBER(FIND($D2668,Tables!$J$2)), $E2668&lt;&gt;"")</f>
        <v>0</v>
      </c>
    </row>
    <row r="2669" spans="1:18" x14ac:dyDescent="0.25">
      <c r="A2669">
        <f>IF(AND(B2669="", D2669&lt;&gt;""), A2668, A2668+1)</f>
        <v>2663</v>
      </c>
      <c r="R2669" t="b">
        <f>AND(ISNUMBER(FIND($E2669,Tables!$I$2)), ISNUMBER(FIND($D2669,Tables!$J$2)), $E2669&lt;&gt;"")</f>
        <v>0</v>
      </c>
    </row>
    <row r="2670" spans="1:18" x14ac:dyDescent="0.25">
      <c r="A2670">
        <f>IF(AND(B2670="", D2670&lt;&gt;""), A2669, A2669+1)</f>
        <v>2664</v>
      </c>
      <c r="R2670" t="b">
        <f>AND(ISNUMBER(FIND($E2670,Tables!$I$2)), ISNUMBER(FIND($D2670,Tables!$J$2)), $E2670&lt;&gt;"")</f>
        <v>0</v>
      </c>
    </row>
    <row r="2671" spans="1:18" x14ac:dyDescent="0.25">
      <c r="A2671">
        <f>IF(AND(B2671="", D2671&lt;&gt;""), A2670, A2670+1)</f>
        <v>2665</v>
      </c>
      <c r="R2671" t="b">
        <f>AND(ISNUMBER(FIND($E2671,Tables!$I$2)), ISNUMBER(FIND($D2671,Tables!$J$2)), $E2671&lt;&gt;"")</f>
        <v>0</v>
      </c>
    </row>
    <row r="2672" spans="1:18" x14ac:dyDescent="0.25">
      <c r="A2672">
        <f>IF(AND(B2672="", D2672&lt;&gt;""), A2671, A2671+1)</f>
        <v>2666</v>
      </c>
      <c r="R2672" t="b">
        <f>AND(ISNUMBER(FIND($E2672,Tables!$I$2)), ISNUMBER(FIND($D2672,Tables!$J$2)), $E2672&lt;&gt;"")</f>
        <v>0</v>
      </c>
    </row>
    <row r="2673" spans="1:18" x14ac:dyDescent="0.25">
      <c r="A2673">
        <f>IF(AND(B2673="", D2673&lt;&gt;""), A2672, A2672+1)</f>
        <v>2667</v>
      </c>
      <c r="R2673" t="b">
        <f>AND(ISNUMBER(FIND($E2673,Tables!$I$2)), ISNUMBER(FIND($D2673,Tables!$J$2)), $E2673&lt;&gt;"")</f>
        <v>0</v>
      </c>
    </row>
    <row r="2674" spans="1:18" x14ac:dyDescent="0.25">
      <c r="A2674">
        <f>IF(AND(B2674="", D2674&lt;&gt;""), A2673, A2673+1)</f>
        <v>2668</v>
      </c>
      <c r="R2674" t="b">
        <f>AND(ISNUMBER(FIND($E2674,Tables!$I$2)), ISNUMBER(FIND($D2674,Tables!$J$2)), $E2674&lt;&gt;"")</f>
        <v>0</v>
      </c>
    </row>
    <row r="2675" spans="1:18" x14ac:dyDescent="0.25">
      <c r="A2675">
        <f>IF(AND(B2675="", D2675&lt;&gt;""), A2674, A2674+1)</f>
        <v>2669</v>
      </c>
      <c r="R2675" t="b">
        <f>AND(ISNUMBER(FIND($E2675,Tables!$I$2)), ISNUMBER(FIND($D2675,Tables!$J$2)), $E2675&lt;&gt;"")</f>
        <v>0</v>
      </c>
    </row>
    <row r="2676" spans="1:18" x14ac:dyDescent="0.25">
      <c r="A2676">
        <f>IF(AND(B2676="", D2676&lt;&gt;""), A2675, A2675+1)</f>
        <v>2670</v>
      </c>
      <c r="R2676" t="b">
        <f>AND(ISNUMBER(FIND($E2676,Tables!$I$2)), ISNUMBER(FIND($D2676,Tables!$J$2)), $E2676&lt;&gt;"")</f>
        <v>0</v>
      </c>
    </row>
    <row r="2677" spans="1:18" x14ac:dyDescent="0.25">
      <c r="A2677">
        <f>IF(AND(B2677="", D2677&lt;&gt;""), A2676, A2676+1)</f>
        <v>2671</v>
      </c>
      <c r="R2677" t="b">
        <f>AND(ISNUMBER(FIND($E2677,Tables!$I$2)), ISNUMBER(FIND($D2677,Tables!$J$2)), $E2677&lt;&gt;"")</f>
        <v>0</v>
      </c>
    </row>
    <row r="2678" spans="1:18" x14ac:dyDescent="0.25">
      <c r="A2678">
        <f>IF(AND(B2678="", D2678&lt;&gt;""), A2677, A2677+1)</f>
        <v>2672</v>
      </c>
      <c r="R2678" t="b">
        <f>AND(ISNUMBER(FIND($E2678,Tables!$I$2)), ISNUMBER(FIND($D2678,Tables!$J$2)), $E2678&lt;&gt;"")</f>
        <v>0</v>
      </c>
    </row>
    <row r="2679" spans="1:18" x14ac:dyDescent="0.25">
      <c r="A2679">
        <f>IF(AND(B2679="", D2679&lt;&gt;""), A2678, A2678+1)</f>
        <v>2673</v>
      </c>
      <c r="R2679" t="b">
        <f>AND(ISNUMBER(FIND($E2679,Tables!$I$2)), ISNUMBER(FIND($D2679,Tables!$J$2)), $E2679&lt;&gt;"")</f>
        <v>0</v>
      </c>
    </row>
    <row r="2680" spans="1:18" x14ac:dyDescent="0.25">
      <c r="A2680">
        <f>IF(AND(B2680="", D2680&lt;&gt;""), A2679, A2679+1)</f>
        <v>2674</v>
      </c>
      <c r="R2680" t="b">
        <f>AND(ISNUMBER(FIND($E2680,Tables!$I$2)), ISNUMBER(FIND($D2680,Tables!$J$2)), $E2680&lt;&gt;"")</f>
        <v>0</v>
      </c>
    </row>
    <row r="2681" spans="1:18" x14ac:dyDescent="0.25">
      <c r="A2681">
        <f>IF(AND(B2681="", D2681&lt;&gt;""), A2680, A2680+1)</f>
        <v>2675</v>
      </c>
      <c r="R2681" t="b">
        <f>AND(ISNUMBER(FIND($E2681,Tables!$I$2)), ISNUMBER(FIND($D2681,Tables!$J$2)), $E2681&lt;&gt;"")</f>
        <v>0</v>
      </c>
    </row>
    <row r="2682" spans="1:18" x14ac:dyDescent="0.25">
      <c r="A2682">
        <f>IF(AND(B2682="", D2682&lt;&gt;""), A2681, A2681+1)</f>
        <v>2676</v>
      </c>
      <c r="R2682" t="b">
        <f>AND(ISNUMBER(FIND($E2682,Tables!$I$2)), ISNUMBER(FIND($D2682,Tables!$J$2)), $E2682&lt;&gt;"")</f>
        <v>0</v>
      </c>
    </row>
    <row r="2683" spans="1:18" x14ac:dyDescent="0.25">
      <c r="A2683">
        <f>IF(AND(B2683="", D2683&lt;&gt;""), A2682, A2682+1)</f>
        <v>2677</v>
      </c>
      <c r="R2683" t="b">
        <f>AND(ISNUMBER(FIND($E2683,Tables!$I$2)), ISNUMBER(FIND($D2683,Tables!$J$2)), $E2683&lt;&gt;"")</f>
        <v>0</v>
      </c>
    </row>
    <row r="2684" spans="1:18" x14ac:dyDescent="0.25">
      <c r="A2684">
        <f>IF(AND(B2684="", D2684&lt;&gt;""), A2683, A2683+1)</f>
        <v>2678</v>
      </c>
      <c r="R2684" t="b">
        <f>AND(ISNUMBER(FIND($E2684,Tables!$I$2)), ISNUMBER(FIND($D2684,Tables!$J$2)), $E2684&lt;&gt;"")</f>
        <v>0</v>
      </c>
    </row>
    <row r="2685" spans="1:18" x14ac:dyDescent="0.25">
      <c r="A2685">
        <f>IF(AND(B2685="", D2685&lt;&gt;""), A2684, A2684+1)</f>
        <v>2679</v>
      </c>
      <c r="R2685" t="b">
        <f>AND(ISNUMBER(FIND($E2685,Tables!$I$2)), ISNUMBER(FIND($D2685,Tables!$J$2)), $E2685&lt;&gt;"")</f>
        <v>0</v>
      </c>
    </row>
    <row r="2686" spans="1:18" x14ac:dyDescent="0.25">
      <c r="A2686">
        <f>IF(AND(B2686="", D2686&lt;&gt;""), A2685, A2685+1)</f>
        <v>2680</v>
      </c>
      <c r="R2686" t="b">
        <f>AND(ISNUMBER(FIND($E2686,Tables!$I$2)), ISNUMBER(FIND($D2686,Tables!$J$2)), $E2686&lt;&gt;"")</f>
        <v>0</v>
      </c>
    </row>
    <row r="2687" spans="1:18" x14ac:dyDescent="0.25">
      <c r="A2687">
        <f>IF(AND(B2687="", D2687&lt;&gt;""), A2686, A2686+1)</f>
        <v>2681</v>
      </c>
      <c r="R2687" t="b">
        <f>AND(ISNUMBER(FIND($E2687,Tables!$I$2)), ISNUMBER(FIND($D2687,Tables!$J$2)), $E2687&lt;&gt;"")</f>
        <v>0</v>
      </c>
    </row>
    <row r="2688" spans="1:18" x14ac:dyDescent="0.25">
      <c r="A2688">
        <f>IF(AND(B2688="", D2688&lt;&gt;""), A2687, A2687+1)</f>
        <v>2682</v>
      </c>
      <c r="R2688" t="b">
        <f>AND(ISNUMBER(FIND($E2688,Tables!$I$2)), ISNUMBER(FIND($D2688,Tables!$J$2)), $E2688&lt;&gt;"")</f>
        <v>0</v>
      </c>
    </row>
    <row r="2689" spans="1:18" x14ac:dyDescent="0.25">
      <c r="A2689">
        <f>IF(AND(B2689="", D2689&lt;&gt;""), A2688, A2688+1)</f>
        <v>2683</v>
      </c>
      <c r="R2689" t="b">
        <f>AND(ISNUMBER(FIND($E2689,Tables!$I$2)), ISNUMBER(FIND($D2689,Tables!$J$2)), $E2689&lt;&gt;"")</f>
        <v>0</v>
      </c>
    </row>
    <row r="2690" spans="1:18" x14ac:dyDescent="0.25">
      <c r="A2690">
        <f>IF(AND(B2690="", D2690&lt;&gt;""), A2689, A2689+1)</f>
        <v>2684</v>
      </c>
      <c r="R2690" t="b">
        <f>AND(ISNUMBER(FIND($E2690,Tables!$I$2)), ISNUMBER(FIND($D2690,Tables!$J$2)), $E2690&lt;&gt;"")</f>
        <v>0</v>
      </c>
    </row>
    <row r="2691" spans="1:18" x14ac:dyDescent="0.25">
      <c r="A2691">
        <f>IF(AND(B2691="", D2691&lt;&gt;""), A2690, A2690+1)</f>
        <v>2685</v>
      </c>
      <c r="R2691" t="b">
        <f>AND(ISNUMBER(FIND($E2691,Tables!$I$2)), ISNUMBER(FIND($D2691,Tables!$J$2)), $E2691&lt;&gt;"")</f>
        <v>0</v>
      </c>
    </row>
    <row r="2692" spans="1:18" x14ac:dyDescent="0.25">
      <c r="A2692">
        <f>IF(AND(B2692="", D2692&lt;&gt;""), A2691, A2691+1)</f>
        <v>2686</v>
      </c>
      <c r="R2692" t="b">
        <f>AND(ISNUMBER(FIND($E2692,Tables!$I$2)), ISNUMBER(FIND($D2692,Tables!$J$2)), $E2692&lt;&gt;"")</f>
        <v>0</v>
      </c>
    </row>
    <row r="2693" spans="1:18" x14ac:dyDescent="0.25">
      <c r="A2693">
        <f>IF(AND(B2693="", D2693&lt;&gt;""), A2692, A2692+1)</f>
        <v>2687</v>
      </c>
      <c r="R2693" t="b">
        <f>AND(ISNUMBER(FIND($E2693,Tables!$I$2)), ISNUMBER(FIND($D2693,Tables!$J$2)), $E2693&lt;&gt;"")</f>
        <v>0</v>
      </c>
    </row>
    <row r="2694" spans="1:18" x14ac:dyDescent="0.25">
      <c r="A2694">
        <f>IF(AND(B2694="", D2694&lt;&gt;""), A2693, A2693+1)</f>
        <v>2688</v>
      </c>
      <c r="R2694" t="b">
        <f>AND(ISNUMBER(FIND($E2694,Tables!$I$2)), ISNUMBER(FIND($D2694,Tables!$J$2)), $E2694&lt;&gt;"")</f>
        <v>0</v>
      </c>
    </row>
    <row r="2695" spans="1:18" x14ac:dyDescent="0.25">
      <c r="A2695">
        <f>IF(AND(B2695="", D2695&lt;&gt;""), A2694, A2694+1)</f>
        <v>2689</v>
      </c>
      <c r="R2695" t="b">
        <f>AND(ISNUMBER(FIND($E2695,Tables!$I$2)), ISNUMBER(FIND($D2695,Tables!$J$2)), $E2695&lt;&gt;"")</f>
        <v>0</v>
      </c>
    </row>
    <row r="2696" spans="1:18" x14ac:dyDescent="0.25">
      <c r="A2696">
        <f>IF(AND(B2696="", D2696&lt;&gt;""), A2695, A2695+1)</f>
        <v>2690</v>
      </c>
      <c r="R2696" t="b">
        <f>AND(ISNUMBER(FIND($E2696,Tables!$I$2)), ISNUMBER(FIND($D2696,Tables!$J$2)), $E2696&lt;&gt;"")</f>
        <v>0</v>
      </c>
    </row>
    <row r="2697" spans="1:18" x14ac:dyDescent="0.25">
      <c r="A2697">
        <f>IF(AND(B2697="", D2697&lt;&gt;""), A2696, A2696+1)</f>
        <v>2691</v>
      </c>
      <c r="R2697" t="b">
        <f>AND(ISNUMBER(FIND($E2697,Tables!$I$2)), ISNUMBER(FIND($D2697,Tables!$J$2)), $E2697&lt;&gt;"")</f>
        <v>0</v>
      </c>
    </row>
    <row r="2698" spans="1:18" x14ac:dyDescent="0.25">
      <c r="A2698">
        <f>IF(AND(B2698="", D2698&lt;&gt;""), A2697, A2697+1)</f>
        <v>2692</v>
      </c>
      <c r="R2698" t="b">
        <f>AND(ISNUMBER(FIND($E2698,Tables!$I$2)), ISNUMBER(FIND($D2698,Tables!$J$2)), $E2698&lt;&gt;"")</f>
        <v>0</v>
      </c>
    </row>
    <row r="2699" spans="1:18" x14ac:dyDescent="0.25">
      <c r="A2699">
        <f>IF(AND(B2699="", D2699&lt;&gt;""), A2698, A2698+1)</f>
        <v>2693</v>
      </c>
      <c r="R2699" t="b">
        <f>AND(ISNUMBER(FIND($E2699,Tables!$I$2)), ISNUMBER(FIND($D2699,Tables!$J$2)), $E2699&lt;&gt;"")</f>
        <v>0</v>
      </c>
    </row>
    <row r="2700" spans="1:18" x14ac:dyDescent="0.25">
      <c r="A2700">
        <f>IF(AND(B2700="", D2700&lt;&gt;""), A2699, A2699+1)</f>
        <v>2694</v>
      </c>
      <c r="R2700" t="b">
        <f>AND(ISNUMBER(FIND($E2700,Tables!$I$2)), ISNUMBER(FIND($D2700,Tables!$J$2)), $E2700&lt;&gt;"")</f>
        <v>0</v>
      </c>
    </row>
    <row r="2701" spans="1:18" x14ac:dyDescent="0.25">
      <c r="A2701">
        <f>IF(AND(B2701="", D2701&lt;&gt;""), A2700, A2700+1)</f>
        <v>2695</v>
      </c>
      <c r="R2701" t="b">
        <f>AND(ISNUMBER(FIND($E2701,Tables!$I$2)), ISNUMBER(FIND($D2701,Tables!$J$2)), $E2701&lt;&gt;"")</f>
        <v>0</v>
      </c>
    </row>
    <row r="2702" spans="1:18" x14ac:dyDescent="0.25">
      <c r="A2702">
        <f>IF(AND(B2702="", D2702&lt;&gt;""), A2701, A2701+1)</f>
        <v>2696</v>
      </c>
      <c r="R2702" t="b">
        <f>AND(ISNUMBER(FIND($E2702,Tables!$I$2)), ISNUMBER(FIND($D2702,Tables!$J$2)), $E2702&lt;&gt;"")</f>
        <v>0</v>
      </c>
    </row>
    <row r="2703" spans="1:18" x14ac:dyDescent="0.25">
      <c r="A2703">
        <f>IF(AND(B2703="", D2703&lt;&gt;""), A2702, A2702+1)</f>
        <v>2697</v>
      </c>
      <c r="R2703" t="b">
        <f>AND(ISNUMBER(FIND($E2703,Tables!$I$2)), ISNUMBER(FIND($D2703,Tables!$J$2)), $E2703&lt;&gt;"")</f>
        <v>0</v>
      </c>
    </row>
    <row r="2704" spans="1:18" x14ac:dyDescent="0.25">
      <c r="A2704">
        <f>IF(AND(B2704="", D2704&lt;&gt;""), A2703, A2703+1)</f>
        <v>2698</v>
      </c>
      <c r="R2704" t="b">
        <f>AND(ISNUMBER(FIND($E2704,Tables!$I$2)), ISNUMBER(FIND($D2704,Tables!$J$2)), $E2704&lt;&gt;"")</f>
        <v>0</v>
      </c>
    </row>
    <row r="2705" spans="1:18" x14ac:dyDescent="0.25">
      <c r="A2705">
        <f>IF(AND(B2705="", D2705&lt;&gt;""), A2704, A2704+1)</f>
        <v>2699</v>
      </c>
      <c r="R2705" t="b">
        <f>AND(ISNUMBER(FIND($E2705,Tables!$I$2)), ISNUMBER(FIND($D2705,Tables!$J$2)), $E2705&lt;&gt;"")</f>
        <v>0</v>
      </c>
    </row>
    <row r="2706" spans="1:18" x14ac:dyDescent="0.25">
      <c r="A2706">
        <f>IF(AND(B2706="", D2706&lt;&gt;""), A2705, A2705+1)</f>
        <v>2700</v>
      </c>
      <c r="R2706" t="b">
        <f>AND(ISNUMBER(FIND($E2706,Tables!$I$2)), ISNUMBER(FIND($D2706,Tables!$J$2)), $E2706&lt;&gt;"")</f>
        <v>0</v>
      </c>
    </row>
    <row r="2707" spans="1:18" x14ac:dyDescent="0.25">
      <c r="A2707">
        <f>IF(AND(B2707="", D2707&lt;&gt;""), A2706, A2706+1)</f>
        <v>2701</v>
      </c>
      <c r="R2707" t="b">
        <f>AND(ISNUMBER(FIND($E2707,Tables!$I$2)), ISNUMBER(FIND($D2707,Tables!$J$2)), $E2707&lt;&gt;"")</f>
        <v>0</v>
      </c>
    </row>
    <row r="2708" spans="1:18" x14ac:dyDescent="0.25">
      <c r="A2708">
        <f>IF(AND(B2708="", D2708&lt;&gt;""), A2707, A2707+1)</f>
        <v>2702</v>
      </c>
      <c r="R2708" t="b">
        <f>AND(ISNUMBER(FIND($E2708,Tables!$I$2)), ISNUMBER(FIND($D2708,Tables!$J$2)), $E2708&lt;&gt;"")</f>
        <v>0</v>
      </c>
    </row>
    <row r="2709" spans="1:18" x14ac:dyDescent="0.25">
      <c r="A2709">
        <f>IF(AND(B2709="", D2709&lt;&gt;""), A2708, A2708+1)</f>
        <v>2703</v>
      </c>
      <c r="R2709" t="b">
        <f>AND(ISNUMBER(FIND($E2709,Tables!$I$2)), ISNUMBER(FIND($D2709,Tables!$J$2)), $E2709&lt;&gt;"")</f>
        <v>0</v>
      </c>
    </row>
    <row r="2710" spans="1:18" x14ac:dyDescent="0.25">
      <c r="A2710">
        <f>IF(AND(B2710="", D2710&lt;&gt;""), A2709, A2709+1)</f>
        <v>2704</v>
      </c>
      <c r="R2710" t="b">
        <f>AND(ISNUMBER(FIND($E2710,Tables!$I$2)), ISNUMBER(FIND($D2710,Tables!$J$2)), $E2710&lt;&gt;"")</f>
        <v>0</v>
      </c>
    </row>
    <row r="2711" spans="1:18" x14ac:dyDescent="0.25">
      <c r="A2711">
        <f>IF(AND(B2711="", D2711&lt;&gt;""), A2710, A2710+1)</f>
        <v>2705</v>
      </c>
      <c r="R2711" t="b">
        <f>AND(ISNUMBER(FIND($E2711,Tables!$I$2)), ISNUMBER(FIND($D2711,Tables!$J$2)), $E2711&lt;&gt;"")</f>
        <v>0</v>
      </c>
    </row>
    <row r="2712" spans="1:18" x14ac:dyDescent="0.25">
      <c r="A2712">
        <f>IF(AND(B2712="", D2712&lt;&gt;""), A2711, A2711+1)</f>
        <v>2706</v>
      </c>
      <c r="R2712" t="b">
        <f>AND(ISNUMBER(FIND($E2712,Tables!$I$2)), ISNUMBER(FIND($D2712,Tables!$J$2)), $E2712&lt;&gt;"")</f>
        <v>0</v>
      </c>
    </row>
    <row r="2713" spans="1:18" x14ac:dyDescent="0.25">
      <c r="A2713">
        <f>IF(AND(B2713="", D2713&lt;&gt;""), A2712, A2712+1)</f>
        <v>2707</v>
      </c>
      <c r="R2713" t="b">
        <f>AND(ISNUMBER(FIND($E2713,Tables!$I$2)), ISNUMBER(FIND($D2713,Tables!$J$2)), $E2713&lt;&gt;"")</f>
        <v>0</v>
      </c>
    </row>
    <row r="2714" spans="1:18" x14ac:dyDescent="0.25">
      <c r="A2714">
        <f>IF(AND(B2714="", D2714&lt;&gt;""), A2713, A2713+1)</f>
        <v>2708</v>
      </c>
      <c r="R2714" t="b">
        <f>AND(ISNUMBER(FIND($E2714,Tables!$I$2)), ISNUMBER(FIND($D2714,Tables!$J$2)), $E2714&lt;&gt;"")</f>
        <v>0</v>
      </c>
    </row>
    <row r="2715" spans="1:18" x14ac:dyDescent="0.25">
      <c r="A2715">
        <f>IF(AND(B2715="", D2715&lt;&gt;""), A2714, A2714+1)</f>
        <v>2709</v>
      </c>
      <c r="R2715" t="b">
        <f>AND(ISNUMBER(FIND($E2715,Tables!$I$2)), ISNUMBER(FIND($D2715,Tables!$J$2)), $E2715&lt;&gt;"")</f>
        <v>0</v>
      </c>
    </row>
    <row r="2716" spans="1:18" x14ac:dyDescent="0.25">
      <c r="A2716">
        <f>IF(AND(B2716="", D2716&lt;&gt;""), A2715, A2715+1)</f>
        <v>2710</v>
      </c>
      <c r="R2716" t="b">
        <f>AND(ISNUMBER(FIND($E2716,Tables!$I$2)), ISNUMBER(FIND($D2716,Tables!$J$2)), $E2716&lt;&gt;"")</f>
        <v>0</v>
      </c>
    </row>
    <row r="2717" spans="1:18" x14ac:dyDescent="0.25">
      <c r="A2717">
        <f>IF(AND(B2717="", D2717&lt;&gt;""), A2716, A2716+1)</f>
        <v>2711</v>
      </c>
      <c r="R2717" t="b">
        <f>AND(ISNUMBER(FIND($E2717,Tables!$I$2)), ISNUMBER(FIND($D2717,Tables!$J$2)), $E2717&lt;&gt;"")</f>
        <v>0</v>
      </c>
    </row>
    <row r="2718" spans="1:18" x14ac:dyDescent="0.25">
      <c r="A2718">
        <f>IF(AND(B2718="", D2718&lt;&gt;""), A2717, A2717+1)</f>
        <v>2712</v>
      </c>
      <c r="R2718" t="b">
        <f>AND(ISNUMBER(FIND($E2718,Tables!$I$2)), ISNUMBER(FIND($D2718,Tables!$J$2)), $E2718&lt;&gt;"")</f>
        <v>0</v>
      </c>
    </row>
    <row r="2719" spans="1:18" x14ac:dyDescent="0.25">
      <c r="A2719">
        <f>IF(AND(B2719="", D2719&lt;&gt;""), A2718, A2718+1)</f>
        <v>2713</v>
      </c>
      <c r="R2719" t="b">
        <f>AND(ISNUMBER(FIND($E2719,Tables!$I$2)), ISNUMBER(FIND($D2719,Tables!$J$2)), $E2719&lt;&gt;"")</f>
        <v>0</v>
      </c>
    </row>
    <row r="2720" spans="1:18" x14ac:dyDescent="0.25">
      <c r="A2720">
        <f>IF(AND(B2720="", D2720&lt;&gt;""), A2719, A2719+1)</f>
        <v>2714</v>
      </c>
      <c r="R2720" t="b">
        <f>AND(ISNUMBER(FIND($E2720,Tables!$I$2)), ISNUMBER(FIND($D2720,Tables!$J$2)), $E2720&lt;&gt;"")</f>
        <v>0</v>
      </c>
    </row>
    <row r="2721" spans="1:18" x14ac:dyDescent="0.25">
      <c r="A2721">
        <f>IF(AND(B2721="", D2721&lt;&gt;""), A2720, A2720+1)</f>
        <v>2715</v>
      </c>
      <c r="R2721" t="b">
        <f>AND(ISNUMBER(FIND($E2721,Tables!$I$2)), ISNUMBER(FIND($D2721,Tables!$J$2)), $E2721&lt;&gt;"")</f>
        <v>0</v>
      </c>
    </row>
    <row r="2722" spans="1:18" x14ac:dyDescent="0.25">
      <c r="A2722">
        <f>IF(AND(B2722="", D2722&lt;&gt;""), A2721, A2721+1)</f>
        <v>2716</v>
      </c>
      <c r="R2722" t="b">
        <f>AND(ISNUMBER(FIND($E2722,Tables!$I$2)), ISNUMBER(FIND($D2722,Tables!$J$2)), $E2722&lt;&gt;"")</f>
        <v>0</v>
      </c>
    </row>
    <row r="2723" spans="1:18" x14ac:dyDescent="0.25">
      <c r="A2723">
        <f>IF(AND(B2723="", D2723&lt;&gt;""), A2722, A2722+1)</f>
        <v>2717</v>
      </c>
      <c r="R2723" t="b">
        <f>AND(ISNUMBER(FIND($E2723,Tables!$I$2)), ISNUMBER(FIND($D2723,Tables!$J$2)), $E2723&lt;&gt;"")</f>
        <v>0</v>
      </c>
    </row>
    <row r="2724" spans="1:18" x14ac:dyDescent="0.25">
      <c r="A2724">
        <f>IF(AND(B2724="", D2724&lt;&gt;""), A2723, A2723+1)</f>
        <v>2718</v>
      </c>
      <c r="R2724" t="b">
        <f>AND(ISNUMBER(FIND($E2724,Tables!$I$2)), ISNUMBER(FIND($D2724,Tables!$J$2)), $E2724&lt;&gt;"")</f>
        <v>0</v>
      </c>
    </row>
    <row r="2725" spans="1:18" x14ac:dyDescent="0.25">
      <c r="A2725">
        <f>IF(AND(B2725="", D2725&lt;&gt;""), A2724, A2724+1)</f>
        <v>2719</v>
      </c>
      <c r="R2725" t="b">
        <f>AND(ISNUMBER(FIND($E2725,Tables!$I$2)), ISNUMBER(FIND($D2725,Tables!$J$2)), $E2725&lt;&gt;"")</f>
        <v>0</v>
      </c>
    </row>
    <row r="2726" spans="1:18" x14ac:dyDescent="0.25">
      <c r="A2726">
        <f>IF(AND(B2726="", D2726&lt;&gt;""), A2725, A2725+1)</f>
        <v>2720</v>
      </c>
      <c r="R2726" t="b">
        <f>AND(ISNUMBER(FIND($E2726,Tables!$I$2)), ISNUMBER(FIND($D2726,Tables!$J$2)), $E2726&lt;&gt;"")</f>
        <v>0</v>
      </c>
    </row>
    <row r="2727" spans="1:18" x14ac:dyDescent="0.25">
      <c r="A2727">
        <f>IF(AND(B2727="", D2727&lt;&gt;""), A2726, A2726+1)</f>
        <v>2721</v>
      </c>
      <c r="R2727" t="b">
        <f>AND(ISNUMBER(FIND($E2727,Tables!$I$2)), ISNUMBER(FIND($D2727,Tables!$J$2)), $E2727&lt;&gt;"")</f>
        <v>0</v>
      </c>
    </row>
    <row r="2728" spans="1:18" x14ac:dyDescent="0.25">
      <c r="A2728">
        <f>IF(AND(B2728="", D2728&lt;&gt;""), A2727, A2727+1)</f>
        <v>2722</v>
      </c>
      <c r="R2728" t="b">
        <f>AND(ISNUMBER(FIND($E2728,Tables!$I$2)), ISNUMBER(FIND($D2728,Tables!$J$2)), $E2728&lt;&gt;"")</f>
        <v>0</v>
      </c>
    </row>
    <row r="2729" spans="1:18" x14ac:dyDescent="0.25">
      <c r="A2729">
        <f>IF(AND(B2729="", D2729&lt;&gt;""), A2728, A2728+1)</f>
        <v>2723</v>
      </c>
      <c r="R2729" t="b">
        <f>AND(ISNUMBER(FIND($E2729,Tables!$I$2)), ISNUMBER(FIND($D2729,Tables!$J$2)), $E2729&lt;&gt;"")</f>
        <v>0</v>
      </c>
    </row>
    <row r="2730" spans="1:18" x14ac:dyDescent="0.25">
      <c r="A2730">
        <f>IF(AND(B2730="", D2730&lt;&gt;""), A2729, A2729+1)</f>
        <v>2724</v>
      </c>
      <c r="R2730" t="b">
        <f>AND(ISNUMBER(FIND($E2730,Tables!$I$2)), ISNUMBER(FIND($D2730,Tables!$J$2)), $E2730&lt;&gt;"")</f>
        <v>0</v>
      </c>
    </row>
    <row r="2731" spans="1:18" x14ac:dyDescent="0.25">
      <c r="A2731">
        <f>IF(AND(B2731="", D2731&lt;&gt;""), A2730, A2730+1)</f>
        <v>2725</v>
      </c>
      <c r="R2731" t="b">
        <f>AND(ISNUMBER(FIND($E2731,Tables!$I$2)), ISNUMBER(FIND($D2731,Tables!$J$2)), $E2731&lt;&gt;"")</f>
        <v>0</v>
      </c>
    </row>
    <row r="2732" spans="1:18" x14ac:dyDescent="0.25">
      <c r="A2732">
        <f>IF(AND(B2732="", D2732&lt;&gt;""), A2731, A2731+1)</f>
        <v>2726</v>
      </c>
      <c r="R2732" t="b">
        <f>AND(ISNUMBER(FIND($E2732,Tables!$I$2)), ISNUMBER(FIND($D2732,Tables!$J$2)), $E2732&lt;&gt;"")</f>
        <v>0</v>
      </c>
    </row>
    <row r="2733" spans="1:18" x14ac:dyDescent="0.25">
      <c r="A2733">
        <f>IF(AND(B2733="", D2733&lt;&gt;""), A2732, A2732+1)</f>
        <v>2727</v>
      </c>
      <c r="R2733" t="b">
        <f>AND(ISNUMBER(FIND($E2733,Tables!$I$2)), ISNUMBER(FIND($D2733,Tables!$J$2)), $E2733&lt;&gt;"")</f>
        <v>0</v>
      </c>
    </row>
    <row r="2734" spans="1:18" x14ac:dyDescent="0.25">
      <c r="A2734">
        <f>IF(AND(B2734="", D2734&lt;&gt;""), A2733, A2733+1)</f>
        <v>2728</v>
      </c>
      <c r="R2734" t="b">
        <f>AND(ISNUMBER(FIND($E2734,Tables!$I$2)), ISNUMBER(FIND($D2734,Tables!$J$2)), $E2734&lt;&gt;"")</f>
        <v>0</v>
      </c>
    </row>
    <row r="2735" spans="1:18" x14ac:dyDescent="0.25">
      <c r="A2735">
        <f>IF(AND(B2735="", D2735&lt;&gt;""), A2734, A2734+1)</f>
        <v>2729</v>
      </c>
      <c r="R2735" t="b">
        <f>AND(ISNUMBER(FIND($E2735,Tables!$I$2)), ISNUMBER(FIND($D2735,Tables!$J$2)), $E2735&lt;&gt;"")</f>
        <v>0</v>
      </c>
    </row>
    <row r="2736" spans="1:18" x14ac:dyDescent="0.25">
      <c r="A2736">
        <f>IF(AND(B2736="", D2736&lt;&gt;""), A2735, A2735+1)</f>
        <v>2730</v>
      </c>
      <c r="R2736" t="b">
        <f>AND(ISNUMBER(FIND($E2736,Tables!$I$2)), ISNUMBER(FIND($D2736,Tables!$J$2)), $E2736&lt;&gt;"")</f>
        <v>0</v>
      </c>
    </row>
    <row r="2737" spans="1:18" x14ac:dyDescent="0.25">
      <c r="A2737">
        <f>IF(AND(B2737="", D2737&lt;&gt;""), A2736, A2736+1)</f>
        <v>2731</v>
      </c>
      <c r="R2737" t="b">
        <f>AND(ISNUMBER(FIND($E2737,Tables!$I$2)), ISNUMBER(FIND($D2737,Tables!$J$2)), $E2737&lt;&gt;"")</f>
        <v>0</v>
      </c>
    </row>
    <row r="2738" spans="1:18" x14ac:dyDescent="0.25">
      <c r="A2738">
        <f>IF(AND(B2738="", D2738&lt;&gt;""), A2737, A2737+1)</f>
        <v>2732</v>
      </c>
      <c r="R2738" t="b">
        <f>AND(ISNUMBER(FIND($E2738,Tables!$I$2)), ISNUMBER(FIND($D2738,Tables!$J$2)), $E2738&lt;&gt;"")</f>
        <v>0</v>
      </c>
    </row>
    <row r="2739" spans="1:18" x14ac:dyDescent="0.25">
      <c r="A2739">
        <f>IF(AND(B2739="", D2739&lt;&gt;""), A2738, A2738+1)</f>
        <v>2733</v>
      </c>
      <c r="R2739" t="b">
        <f>AND(ISNUMBER(FIND($E2739,Tables!$I$2)), ISNUMBER(FIND($D2739,Tables!$J$2)), $E2739&lt;&gt;"")</f>
        <v>0</v>
      </c>
    </row>
    <row r="2740" spans="1:18" x14ac:dyDescent="0.25">
      <c r="A2740">
        <f>IF(AND(B2740="", D2740&lt;&gt;""), A2739, A2739+1)</f>
        <v>2734</v>
      </c>
      <c r="R2740" t="b">
        <f>AND(ISNUMBER(FIND($E2740,Tables!$I$2)), ISNUMBER(FIND($D2740,Tables!$J$2)), $E2740&lt;&gt;"")</f>
        <v>0</v>
      </c>
    </row>
    <row r="2741" spans="1:18" x14ac:dyDescent="0.25">
      <c r="A2741">
        <f>IF(AND(B2741="", D2741&lt;&gt;""), A2740, A2740+1)</f>
        <v>2735</v>
      </c>
      <c r="R2741" t="b">
        <f>AND(ISNUMBER(FIND($E2741,Tables!$I$2)), ISNUMBER(FIND($D2741,Tables!$J$2)), $E2741&lt;&gt;"")</f>
        <v>0</v>
      </c>
    </row>
    <row r="2742" spans="1:18" x14ac:dyDescent="0.25">
      <c r="A2742">
        <f>IF(AND(B2742="", D2742&lt;&gt;""), A2741, A2741+1)</f>
        <v>2736</v>
      </c>
      <c r="R2742" t="b">
        <f>AND(ISNUMBER(FIND($E2742,Tables!$I$2)), ISNUMBER(FIND($D2742,Tables!$J$2)), $E2742&lt;&gt;"")</f>
        <v>0</v>
      </c>
    </row>
    <row r="2743" spans="1:18" x14ac:dyDescent="0.25">
      <c r="A2743">
        <f>IF(AND(B2743="", D2743&lt;&gt;""), A2742, A2742+1)</f>
        <v>2737</v>
      </c>
      <c r="R2743" t="b">
        <f>AND(ISNUMBER(FIND($E2743,Tables!$I$2)), ISNUMBER(FIND($D2743,Tables!$J$2)), $E2743&lt;&gt;"")</f>
        <v>0</v>
      </c>
    </row>
    <row r="2744" spans="1:18" x14ac:dyDescent="0.25">
      <c r="A2744">
        <f>IF(AND(B2744="", D2744&lt;&gt;""), A2743, A2743+1)</f>
        <v>2738</v>
      </c>
      <c r="R2744" t="b">
        <f>AND(ISNUMBER(FIND($E2744,Tables!$I$2)), ISNUMBER(FIND($D2744,Tables!$J$2)), $E2744&lt;&gt;"")</f>
        <v>0</v>
      </c>
    </row>
    <row r="2745" spans="1:18" x14ac:dyDescent="0.25">
      <c r="A2745">
        <f>IF(AND(B2745="", D2745&lt;&gt;""), A2744, A2744+1)</f>
        <v>2739</v>
      </c>
      <c r="R2745" t="b">
        <f>AND(ISNUMBER(FIND($E2745,Tables!$I$2)), ISNUMBER(FIND($D2745,Tables!$J$2)), $E2745&lt;&gt;"")</f>
        <v>0</v>
      </c>
    </row>
    <row r="2746" spans="1:18" x14ac:dyDescent="0.25">
      <c r="A2746">
        <f>IF(AND(B2746="", D2746&lt;&gt;""), A2745, A2745+1)</f>
        <v>2740</v>
      </c>
      <c r="R2746" t="b">
        <f>AND(ISNUMBER(FIND($E2746,Tables!$I$2)), ISNUMBER(FIND($D2746,Tables!$J$2)), $E2746&lt;&gt;"")</f>
        <v>0</v>
      </c>
    </row>
    <row r="2747" spans="1:18" x14ac:dyDescent="0.25">
      <c r="A2747">
        <f>IF(AND(B2747="", D2747&lt;&gt;""), A2746, A2746+1)</f>
        <v>2741</v>
      </c>
      <c r="R2747" t="b">
        <f>AND(ISNUMBER(FIND($E2747,Tables!$I$2)), ISNUMBER(FIND($D2747,Tables!$J$2)), $E2747&lt;&gt;"")</f>
        <v>0</v>
      </c>
    </row>
    <row r="2748" spans="1:18" x14ac:dyDescent="0.25">
      <c r="A2748">
        <f>IF(AND(B2748="", D2748&lt;&gt;""), A2747, A2747+1)</f>
        <v>2742</v>
      </c>
      <c r="R2748" t="b">
        <f>AND(ISNUMBER(FIND($E2748,Tables!$I$2)), ISNUMBER(FIND($D2748,Tables!$J$2)), $E2748&lt;&gt;"")</f>
        <v>0</v>
      </c>
    </row>
    <row r="2749" spans="1:18" x14ac:dyDescent="0.25">
      <c r="A2749">
        <f>IF(AND(B2749="", D2749&lt;&gt;""), A2748, A2748+1)</f>
        <v>2743</v>
      </c>
      <c r="R2749" t="b">
        <f>AND(ISNUMBER(FIND($E2749,Tables!$I$2)), ISNUMBER(FIND($D2749,Tables!$J$2)), $E2749&lt;&gt;"")</f>
        <v>0</v>
      </c>
    </row>
    <row r="2750" spans="1:18" x14ac:dyDescent="0.25">
      <c r="A2750">
        <f>IF(AND(B2750="", D2750&lt;&gt;""), A2749, A2749+1)</f>
        <v>2744</v>
      </c>
      <c r="R2750" t="b">
        <f>AND(ISNUMBER(FIND($E2750,Tables!$I$2)), ISNUMBER(FIND($D2750,Tables!$J$2)), $E2750&lt;&gt;"")</f>
        <v>0</v>
      </c>
    </row>
    <row r="2751" spans="1:18" x14ac:dyDescent="0.25">
      <c r="A2751">
        <f>IF(AND(B2751="", D2751&lt;&gt;""), A2750, A2750+1)</f>
        <v>2745</v>
      </c>
      <c r="R2751" t="b">
        <f>AND(ISNUMBER(FIND($E2751,Tables!$I$2)), ISNUMBER(FIND($D2751,Tables!$J$2)), $E2751&lt;&gt;"")</f>
        <v>0</v>
      </c>
    </row>
    <row r="2752" spans="1:18" x14ac:dyDescent="0.25">
      <c r="A2752">
        <f>IF(AND(B2752="", D2752&lt;&gt;""), A2751, A2751+1)</f>
        <v>2746</v>
      </c>
      <c r="R2752" t="b">
        <f>AND(ISNUMBER(FIND($E2752,Tables!$I$2)), ISNUMBER(FIND($D2752,Tables!$J$2)), $E2752&lt;&gt;"")</f>
        <v>0</v>
      </c>
    </row>
    <row r="2753" spans="1:18" x14ac:dyDescent="0.25">
      <c r="A2753">
        <f>IF(AND(B2753="", D2753&lt;&gt;""), A2752, A2752+1)</f>
        <v>2747</v>
      </c>
      <c r="R2753" t="b">
        <f>AND(ISNUMBER(FIND($E2753,Tables!$I$2)), ISNUMBER(FIND($D2753,Tables!$J$2)), $E2753&lt;&gt;"")</f>
        <v>0</v>
      </c>
    </row>
    <row r="2754" spans="1:18" x14ac:dyDescent="0.25">
      <c r="A2754">
        <f>IF(AND(B2754="", D2754&lt;&gt;""), A2753, A2753+1)</f>
        <v>2748</v>
      </c>
      <c r="R2754" t="b">
        <f>AND(ISNUMBER(FIND($E2754,Tables!$I$2)), ISNUMBER(FIND($D2754,Tables!$J$2)), $E2754&lt;&gt;"")</f>
        <v>0</v>
      </c>
    </row>
    <row r="2755" spans="1:18" x14ac:dyDescent="0.25">
      <c r="A2755">
        <f>IF(AND(B2755="", D2755&lt;&gt;""), A2754, A2754+1)</f>
        <v>2749</v>
      </c>
      <c r="R2755" t="b">
        <f>AND(ISNUMBER(FIND($E2755,Tables!$I$2)), ISNUMBER(FIND($D2755,Tables!$J$2)), $E2755&lt;&gt;"")</f>
        <v>0</v>
      </c>
    </row>
    <row r="2756" spans="1:18" x14ac:dyDescent="0.25">
      <c r="A2756">
        <f>IF(AND(B2756="", D2756&lt;&gt;""), A2755, A2755+1)</f>
        <v>2750</v>
      </c>
      <c r="R2756" t="b">
        <f>AND(ISNUMBER(FIND($E2756,Tables!$I$2)), ISNUMBER(FIND($D2756,Tables!$J$2)), $E2756&lt;&gt;"")</f>
        <v>0</v>
      </c>
    </row>
    <row r="2757" spans="1:18" x14ac:dyDescent="0.25">
      <c r="A2757">
        <f>IF(AND(B2757="", D2757&lt;&gt;""), A2756, A2756+1)</f>
        <v>2751</v>
      </c>
      <c r="R2757" t="b">
        <f>AND(ISNUMBER(FIND($E2757,Tables!$I$2)), ISNUMBER(FIND($D2757,Tables!$J$2)), $E2757&lt;&gt;"")</f>
        <v>0</v>
      </c>
    </row>
    <row r="2758" spans="1:18" x14ac:dyDescent="0.25">
      <c r="A2758">
        <f>IF(AND(B2758="", D2758&lt;&gt;""), A2757, A2757+1)</f>
        <v>2752</v>
      </c>
      <c r="R2758" t="b">
        <f>AND(ISNUMBER(FIND($E2758,Tables!$I$2)), ISNUMBER(FIND($D2758,Tables!$J$2)), $E2758&lt;&gt;"")</f>
        <v>0</v>
      </c>
    </row>
    <row r="2759" spans="1:18" x14ac:dyDescent="0.25">
      <c r="A2759">
        <f>IF(AND(B2759="", D2759&lt;&gt;""), A2758, A2758+1)</f>
        <v>2753</v>
      </c>
      <c r="R2759" t="b">
        <f>AND(ISNUMBER(FIND($E2759,Tables!$I$2)), ISNUMBER(FIND($D2759,Tables!$J$2)), $E2759&lt;&gt;"")</f>
        <v>0</v>
      </c>
    </row>
    <row r="2760" spans="1:18" x14ac:dyDescent="0.25">
      <c r="A2760">
        <f>IF(AND(B2760="", D2760&lt;&gt;""), A2759, A2759+1)</f>
        <v>2754</v>
      </c>
      <c r="R2760" t="b">
        <f>AND(ISNUMBER(FIND($E2760,Tables!$I$2)), ISNUMBER(FIND($D2760,Tables!$J$2)), $E2760&lt;&gt;"")</f>
        <v>0</v>
      </c>
    </row>
    <row r="2761" spans="1:18" x14ac:dyDescent="0.25">
      <c r="A2761">
        <f>IF(AND(B2761="", D2761&lt;&gt;""), A2760, A2760+1)</f>
        <v>2755</v>
      </c>
      <c r="R2761" t="b">
        <f>AND(ISNUMBER(FIND($E2761,Tables!$I$2)), ISNUMBER(FIND($D2761,Tables!$J$2)), $E2761&lt;&gt;"")</f>
        <v>0</v>
      </c>
    </row>
    <row r="2762" spans="1:18" x14ac:dyDescent="0.25">
      <c r="A2762">
        <f>IF(AND(B2762="", D2762&lt;&gt;""), A2761, A2761+1)</f>
        <v>2756</v>
      </c>
      <c r="R2762" t="b">
        <f>AND(ISNUMBER(FIND($E2762,Tables!$I$2)), ISNUMBER(FIND($D2762,Tables!$J$2)), $E2762&lt;&gt;"")</f>
        <v>0</v>
      </c>
    </row>
    <row r="2763" spans="1:18" x14ac:dyDescent="0.25">
      <c r="A2763">
        <f>IF(AND(B2763="", D2763&lt;&gt;""), A2762, A2762+1)</f>
        <v>2757</v>
      </c>
      <c r="R2763" t="b">
        <f>AND(ISNUMBER(FIND($E2763,Tables!$I$2)), ISNUMBER(FIND($D2763,Tables!$J$2)), $E2763&lt;&gt;"")</f>
        <v>0</v>
      </c>
    </row>
    <row r="2764" spans="1:18" x14ac:dyDescent="0.25">
      <c r="A2764">
        <f>IF(AND(B2764="", D2764&lt;&gt;""), A2763, A2763+1)</f>
        <v>2758</v>
      </c>
      <c r="R2764" t="b">
        <f>AND(ISNUMBER(FIND($E2764,Tables!$I$2)), ISNUMBER(FIND($D2764,Tables!$J$2)), $E2764&lt;&gt;"")</f>
        <v>0</v>
      </c>
    </row>
    <row r="2765" spans="1:18" x14ac:dyDescent="0.25">
      <c r="A2765">
        <f>IF(AND(B2765="", D2765&lt;&gt;""), A2764, A2764+1)</f>
        <v>2759</v>
      </c>
      <c r="R2765" t="b">
        <f>AND(ISNUMBER(FIND($E2765,Tables!$I$2)), ISNUMBER(FIND($D2765,Tables!$J$2)), $E2765&lt;&gt;"")</f>
        <v>0</v>
      </c>
    </row>
    <row r="2766" spans="1:18" x14ac:dyDescent="0.25">
      <c r="A2766">
        <f>IF(AND(B2766="", D2766&lt;&gt;""), A2765, A2765+1)</f>
        <v>2760</v>
      </c>
      <c r="R2766" t="b">
        <f>AND(ISNUMBER(FIND($E2766,Tables!$I$2)), ISNUMBER(FIND($D2766,Tables!$J$2)), $E2766&lt;&gt;"")</f>
        <v>0</v>
      </c>
    </row>
    <row r="2767" spans="1:18" x14ac:dyDescent="0.25">
      <c r="A2767">
        <f>IF(AND(B2767="", D2767&lt;&gt;""), A2766, A2766+1)</f>
        <v>2761</v>
      </c>
      <c r="R2767" t="b">
        <f>AND(ISNUMBER(FIND($E2767,Tables!$I$2)), ISNUMBER(FIND($D2767,Tables!$J$2)), $E2767&lt;&gt;"")</f>
        <v>0</v>
      </c>
    </row>
    <row r="2768" spans="1:18" x14ac:dyDescent="0.25">
      <c r="A2768">
        <f>IF(AND(B2768="", D2768&lt;&gt;""), A2767, A2767+1)</f>
        <v>2762</v>
      </c>
      <c r="R2768" t="b">
        <f>AND(ISNUMBER(FIND($E2768,Tables!$I$2)), ISNUMBER(FIND($D2768,Tables!$J$2)), $E2768&lt;&gt;"")</f>
        <v>0</v>
      </c>
    </row>
    <row r="2769" spans="1:18" x14ac:dyDescent="0.25">
      <c r="A2769">
        <f>IF(AND(B2769="", D2769&lt;&gt;""), A2768, A2768+1)</f>
        <v>2763</v>
      </c>
      <c r="R2769" t="b">
        <f>AND(ISNUMBER(FIND($E2769,Tables!$I$2)), ISNUMBER(FIND($D2769,Tables!$J$2)), $E2769&lt;&gt;"")</f>
        <v>0</v>
      </c>
    </row>
    <row r="2770" spans="1:18" x14ac:dyDescent="0.25">
      <c r="A2770">
        <f>IF(AND(B2770="", D2770&lt;&gt;""), A2769, A2769+1)</f>
        <v>2764</v>
      </c>
      <c r="R2770" t="b">
        <f>AND(ISNUMBER(FIND($E2770,Tables!$I$2)), ISNUMBER(FIND($D2770,Tables!$J$2)), $E2770&lt;&gt;"")</f>
        <v>0</v>
      </c>
    </row>
    <row r="2771" spans="1:18" x14ac:dyDescent="0.25">
      <c r="A2771">
        <f>IF(AND(B2771="", D2771&lt;&gt;""), A2770, A2770+1)</f>
        <v>2765</v>
      </c>
      <c r="R2771" t="b">
        <f>AND(ISNUMBER(FIND($E2771,Tables!$I$2)), ISNUMBER(FIND($D2771,Tables!$J$2)), $E2771&lt;&gt;"")</f>
        <v>0</v>
      </c>
    </row>
    <row r="2772" spans="1:18" x14ac:dyDescent="0.25">
      <c r="A2772">
        <f>IF(AND(B2772="", D2772&lt;&gt;""), A2771, A2771+1)</f>
        <v>2766</v>
      </c>
      <c r="R2772" t="b">
        <f>AND(ISNUMBER(FIND($E2772,Tables!$I$2)), ISNUMBER(FIND($D2772,Tables!$J$2)), $E2772&lt;&gt;"")</f>
        <v>0</v>
      </c>
    </row>
    <row r="2773" spans="1:18" x14ac:dyDescent="0.25">
      <c r="A2773">
        <f>IF(AND(B2773="", D2773&lt;&gt;""), A2772, A2772+1)</f>
        <v>2767</v>
      </c>
      <c r="R2773" t="b">
        <f>AND(ISNUMBER(FIND($E2773,Tables!$I$2)), ISNUMBER(FIND($D2773,Tables!$J$2)), $E2773&lt;&gt;"")</f>
        <v>0</v>
      </c>
    </row>
    <row r="2774" spans="1:18" x14ac:dyDescent="0.25">
      <c r="A2774">
        <f>IF(AND(B2774="", D2774&lt;&gt;""), A2773, A2773+1)</f>
        <v>2768</v>
      </c>
      <c r="R2774" t="b">
        <f>AND(ISNUMBER(FIND($E2774,Tables!$I$2)), ISNUMBER(FIND($D2774,Tables!$J$2)), $E2774&lt;&gt;"")</f>
        <v>0</v>
      </c>
    </row>
    <row r="2775" spans="1:18" x14ac:dyDescent="0.25">
      <c r="A2775">
        <f>IF(AND(B2775="", D2775&lt;&gt;""), A2774, A2774+1)</f>
        <v>2769</v>
      </c>
      <c r="R2775" t="b">
        <f>AND(ISNUMBER(FIND($E2775,Tables!$I$2)), ISNUMBER(FIND($D2775,Tables!$J$2)), $E2775&lt;&gt;"")</f>
        <v>0</v>
      </c>
    </row>
    <row r="2776" spans="1:18" x14ac:dyDescent="0.25">
      <c r="A2776">
        <f>IF(AND(B2776="", D2776&lt;&gt;""), A2775, A2775+1)</f>
        <v>2770</v>
      </c>
      <c r="R2776" t="b">
        <f>AND(ISNUMBER(FIND($E2776,Tables!$I$2)), ISNUMBER(FIND($D2776,Tables!$J$2)), $E2776&lt;&gt;"")</f>
        <v>0</v>
      </c>
    </row>
    <row r="2777" spans="1:18" x14ac:dyDescent="0.25">
      <c r="A2777">
        <f>IF(AND(B2777="", D2777&lt;&gt;""), A2776, A2776+1)</f>
        <v>2771</v>
      </c>
      <c r="R2777" t="b">
        <f>AND(ISNUMBER(FIND($E2777,Tables!$I$2)), ISNUMBER(FIND($D2777,Tables!$J$2)), $E2777&lt;&gt;"")</f>
        <v>0</v>
      </c>
    </row>
    <row r="2778" spans="1:18" x14ac:dyDescent="0.25">
      <c r="A2778">
        <f>IF(AND(B2778="", D2778&lt;&gt;""), A2777, A2777+1)</f>
        <v>2772</v>
      </c>
      <c r="R2778" t="b">
        <f>AND(ISNUMBER(FIND($E2778,Tables!$I$2)), ISNUMBER(FIND($D2778,Tables!$J$2)), $E2778&lt;&gt;"")</f>
        <v>0</v>
      </c>
    </row>
    <row r="2779" spans="1:18" x14ac:dyDescent="0.25">
      <c r="A2779">
        <f>IF(AND(B2779="", D2779&lt;&gt;""), A2778, A2778+1)</f>
        <v>2773</v>
      </c>
      <c r="R2779" t="b">
        <f>AND(ISNUMBER(FIND($E2779,Tables!$I$2)), ISNUMBER(FIND($D2779,Tables!$J$2)), $E2779&lt;&gt;"")</f>
        <v>0</v>
      </c>
    </row>
    <row r="2780" spans="1:18" x14ac:dyDescent="0.25">
      <c r="A2780">
        <f>IF(AND(B2780="", D2780&lt;&gt;""), A2779, A2779+1)</f>
        <v>2774</v>
      </c>
      <c r="R2780" t="b">
        <f>AND(ISNUMBER(FIND($E2780,Tables!$I$2)), ISNUMBER(FIND($D2780,Tables!$J$2)), $E2780&lt;&gt;"")</f>
        <v>0</v>
      </c>
    </row>
    <row r="2781" spans="1:18" x14ac:dyDescent="0.25">
      <c r="A2781">
        <f>IF(AND(B2781="", D2781&lt;&gt;""), A2780, A2780+1)</f>
        <v>2775</v>
      </c>
      <c r="R2781" t="b">
        <f>AND(ISNUMBER(FIND($E2781,Tables!$I$2)), ISNUMBER(FIND($D2781,Tables!$J$2)), $E2781&lt;&gt;"")</f>
        <v>0</v>
      </c>
    </row>
    <row r="2782" spans="1:18" x14ac:dyDescent="0.25">
      <c r="A2782">
        <f>IF(AND(B2782="", D2782&lt;&gt;""), A2781, A2781+1)</f>
        <v>2776</v>
      </c>
      <c r="R2782" t="b">
        <f>AND(ISNUMBER(FIND($E2782,Tables!$I$2)), ISNUMBER(FIND($D2782,Tables!$J$2)), $E2782&lt;&gt;"")</f>
        <v>0</v>
      </c>
    </row>
    <row r="2783" spans="1:18" x14ac:dyDescent="0.25">
      <c r="A2783">
        <f>IF(AND(B2783="", D2783&lt;&gt;""), A2782, A2782+1)</f>
        <v>2777</v>
      </c>
      <c r="R2783" t="b">
        <f>AND(ISNUMBER(FIND($E2783,Tables!$I$2)), ISNUMBER(FIND($D2783,Tables!$J$2)), $E2783&lt;&gt;"")</f>
        <v>0</v>
      </c>
    </row>
    <row r="2784" spans="1:18" x14ac:dyDescent="0.25">
      <c r="A2784">
        <f>IF(AND(B2784="", D2784&lt;&gt;""), A2783, A2783+1)</f>
        <v>2778</v>
      </c>
      <c r="R2784" t="b">
        <f>AND(ISNUMBER(FIND($E2784,Tables!$I$2)), ISNUMBER(FIND($D2784,Tables!$J$2)), $E2784&lt;&gt;"")</f>
        <v>0</v>
      </c>
    </row>
    <row r="2785" spans="1:18" x14ac:dyDescent="0.25">
      <c r="A2785">
        <f>IF(AND(B2785="", D2785&lt;&gt;""), A2784, A2784+1)</f>
        <v>2779</v>
      </c>
      <c r="R2785" t="b">
        <f>AND(ISNUMBER(FIND($E2785,Tables!$I$2)), ISNUMBER(FIND($D2785,Tables!$J$2)), $E2785&lt;&gt;"")</f>
        <v>0</v>
      </c>
    </row>
    <row r="2786" spans="1:18" x14ac:dyDescent="0.25">
      <c r="A2786">
        <f>IF(AND(B2786="", D2786&lt;&gt;""), A2785, A2785+1)</f>
        <v>2780</v>
      </c>
      <c r="R2786" t="b">
        <f>AND(ISNUMBER(FIND($E2786,Tables!$I$2)), ISNUMBER(FIND($D2786,Tables!$J$2)), $E2786&lt;&gt;"")</f>
        <v>0</v>
      </c>
    </row>
    <row r="2787" spans="1:18" x14ac:dyDescent="0.25">
      <c r="A2787">
        <f>IF(AND(B2787="", D2787&lt;&gt;""), A2786, A2786+1)</f>
        <v>2781</v>
      </c>
      <c r="R2787" t="b">
        <f>AND(ISNUMBER(FIND($E2787,Tables!$I$2)), ISNUMBER(FIND($D2787,Tables!$J$2)), $E2787&lt;&gt;"")</f>
        <v>0</v>
      </c>
    </row>
    <row r="2788" spans="1:18" x14ac:dyDescent="0.25">
      <c r="A2788">
        <f>IF(AND(B2788="", D2788&lt;&gt;""), A2787, A2787+1)</f>
        <v>2782</v>
      </c>
      <c r="R2788" t="b">
        <f>AND(ISNUMBER(FIND($E2788,Tables!$I$2)), ISNUMBER(FIND($D2788,Tables!$J$2)), $E2788&lt;&gt;"")</f>
        <v>0</v>
      </c>
    </row>
    <row r="2789" spans="1:18" x14ac:dyDescent="0.25">
      <c r="A2789">
        <f>IF(AND(B2789="", D2789&lt;&gt;""), A2788, A2788+1)</f>
        <v>2783</v>
      </c>
      <c r="R2789" t="b">
        <f>AND(ISNUMBER(FIND($E2789,Tables!$I$2)), ISNUMBER(FIND($D2789,Tables!$J$2)), $E2789&lt;&gt;"")</f>
        <v>0</v>
      </c>
    </row>
    <row r="2790" spans="1:18" x14ac:dyDescent="0.25">
      <c r="A2790">
        <f>IF(AND(B2790="", D2790&lt;&gt;""), A2789, A2789+1)</f>
        <v>2784</v>
      </c>
      <c r="R2790" t="b">
        <f>AND(ISNUMBER(FIND($E2790,Tables!$I$2)), ISNUMBER(FIND($D2790,Tables!$J$2)), $E2790&lt;&gt;"")</f>
        <v>0</v>
      </c>
    </row>
    <row r="2791" spans="1:18" x14ac:dyDescent="0.25">
      <c r="A2791">
        <f>IF(AND(B2791="", D2791&lt;&gt;""), A2790, A2790+1)</f>
        <v>2785</v>
      </c>
      <c r="R2791" t="b">
        <f>AND(ISNUMBER(FIND($E2791,Tables!$I$2)), ISNUMBER(FIND($D2791,Tables!$J$2)), $E2791&lt;&gt;"")</f>
        <v>0</v>
      </c>
    </row>
    <row r="2792" spans="1:18" x14ac:dyDescent="0.25">
      <c r="A2792">
        <f>IF(AND(B2792="", D2792&lt;&gt;""), A2791, A2791+1)</f>
        <v>2786</v>
      </c>
      <c r="R2792" t="b">
        <f>AND(ISNUMBER(FIND($E2792,Tables!$I$2)), ISNUMBER(FIND($D2792,Tables!$J$2)), $E2792&lt;&gt;"")</f>
        <v>0</v>
      </c>
    </row>
    <row r="2793" spans="1:18" x14ac:dyDescent="0.25">
      <c r="A2793">
        <f>IF(AND(B2793="", D2793&lt;&gt;""), A2792, A2792+1)</f>
        <v>2787</v>
      </c>
      <c r="R2793" t="b">
        <f>AND(ISNUMBER(FIND($E2793,Tables!$I$2)), ISNUMBER(FIND($D2793,Tables!$J$2)), $E2793&lt;&gt;"")</f>
        <v>0</v>
      </c>
    </row>
    <row r="2794" spans="1:18" x14ac:dyDescent="0.25">
      <c r="A2794">
        <f>IF(AND(B2794="", D2794&lt;&gt;""), A2793, A2793+1)</f>
        <v>2788</v>
      </c>
      <c r="R2794" t="b">
        <f>AND(ISNUMBER(FIND($E2794,Tables!$I$2)), ISNUMBER(FIND($D2794,Tables!$J$2)), $E2794&lt;&gt;"")</f>
        <v>0</v>
      </c>
    </row>
    <row r="2795" spans="1:18" x14ac:dyDescent="0.25">
      <c r="A2795">
        <f>IF(AND(B2795="", D2795&lt;&gt;""), A2794, A2794+1)</f>
        <v>2789</v>
      </c>
      <c r="R2795" t="b">
        <f>AND(ISNUMBER(FIND($E2795,Tables!$I$2)), ISNUMBER(FIND($D2795,Tables!$J$2)), $E2795&lt;&gt;"")</f>
        <v>0</v>
      </c>
    </row>
    <row r="2796" spans="1:18" x14ac:dyDescent="0.25">
      <c r="A2796">
        <f>IF(AND(B2796="", D2796&lt;&gt;""), A2795, A2795+1)</f>
        <v>2790</v>
      </c>
      <c r="R2796" t="b">
        <f>AND(ISNUMBER(FIND($E2796,Tables!$I$2)), ISNUMBER(FIND($D2796,Tables!$J$2)), $E2796&lt;&gt;"")</f>
        <v>0</v>
      </c>
    </row>
    <row r="2797" spans="1:18" x14ac:dyDescent="0.25">
      <c r="A2797">
        <f>IF(AND(B2797="", D2797&lt;&gt;""), A2796, A2796+1)</f>
        <v>2791</v>
      </c>
      <c r="R2797" t="b">
        <f>AND(ISNUMBER(FIND($E2797,Tables!$I$2)), ISNUMBER(FIND($D2797,Tables!$J$2)), $E2797&lt;&gt;"")</f>
        <v>0</v>
      </c>
    </row>
    <row r="2798" spans="1:18" x14ac:dyDescent="0.25">
      <c r="A2798">
        <f>IF(AND(B2798="", D2798&lt;&gt;""), A2797, A2797+1)</f>
        <v>2792</v>
      </c>
      <c r="R2798" t="b">
        <f>AND(ISNUMBER(FIND($E2798,Tables!$I$2)), ISNUMBER(FIND($D2798,Tables!$J$2)), $E2798&lt;&gt;"")</f>
        <v>0</v>
      </c>
    </row>
    <row r="2799" spans="1:18" x14ac:dyDescent="0.25">
      <c r="A2799">
        <f>IF(AND(B2799="", D2799&lt;&gt;""), A2798, A2798+1)</f>
        <v>2793</v>
      </c>
      <c r="R2799" t="b">
        <f>AND(ISNUMBER(FIND($E2799,Tables!$I$2)), ISNUMBER(FIND($D2799,Tables!$J$2)), $E2799&lt;&gt;"")</f>
        <v>0</v>
      </c>
    </row>
    <row r="2800" spans="1:18" x14ac:dyDescent="0.25">
      <c r="A2800">
        <f>IF(AND(B2800="", D2800&lt;&gt;""), A2799, A2799+1)</f>
        <v>2794</v>
      </c>
      <c r="R2800" t="b">
        <f>AND(ISNUMBER(FIND($E2800,Tables!$I$2)), ISNUMBER(FIND($D2800,Tables!$J$2)), $E2800&lt;&gt;"")</f>
        <v>0</v>
      </c>
    </row>
    <row r="2801" spans="1:18" x14ac:dyDescent="0.25">
      <c r="A2801">
        <f>IF(AND(B2801="", D2801&lt;&gt;""), A2800, A2800+1)</f>
        <v>2795</v>
      </c>
      <c r="R2801" t="b">
        <f>AND(ISNUMBER(FIND($E2801,Tables!$I$2)), ISNUMBER(FIND($D2801,Tables!$J$2)), $E2801&lt;&gt;"")</f>
        <v>0</v>
      </c>
    </row>
    <row r="2802" spans="1:18" x14ac:dyDescent="0.25">
      <c r="A2802">
        <f>IF(AND(B2802="", D2802&lt;&gt;""), A2801, A2801+1)</f>
        <v>2796</v>
      </c>
      <c r="R2802" t="b">
        <f>AND(ISNUMBER(FIND($E2802,Tables!$I$2)), ISNUMBER(FIND($D2802,Tables!$J$2)), $E2802&lt;&gt;"")</f>
        <v>0</v>
      </c>
    </row>
    <row r="2803" spans="1:18" x14ac:dyDescent="0.25">
      <c r="A2803">
        <f>IF(AND(B2803="", D2803&lt;&gt;""), A2802, A2802+1)</f>
        <v>2797</v>
      </c>
      <c r="R2803" t="b">
        <f>AND(ISNUMBER(FIND($E2803,Tables!$I$2)), ISNUMBER(FIND($D2803,Tables!$J$2)), $E2803&lt;&gt;"")</f>
        <v>0</v>
      </c>
    </row>
    <row r="2804" spans="1:18" x14ac:dyDescent="0.25">
      <c r="A2804">
        <f>IF(AND(B2804="", D2804&lt;&gt;""), A2803, A2803+1)</f>
        <v>2798</v>
      </c>
      <c r="R2804" t="b">
        <f>AND(ISNUMBER(FIND($E2804,Tables!$I$2)), ISNUMBER(FIND($D2804,Tables!$J$2)), $E2804&lt;&gt;"")</f>
        <v>0</v>
      </c>
    </row>
    <row r="2805" spans="1:18" x14ac:dyDescent="0.25">
      <c r="A2805">
        <f>IF(AND(B2805="", D2805&lt;&gt;""), A2804, A2804+1)</f>
        <v>2799</v>
      </c>
      <c r="R2805" t="b">
        <f>AND(ISNUMBER(FIND($E2805,Tables!$I$2)), ISNUMBER(FIND($D2805,Tables!$J$2)), $E2805&lt;&gt;"")</f>
        <v>0</v>
      </c>
    </row>
    <row r="2806" spans="1:18" x14ac:dyDescent="0.25">
      <c r="A2806">
        <f>IF(AND(B2806="", D2806&lt;&gt;""), A2805, A2805+1)</f>
        <v>2800</v>
      </c>
      <c r="R2806" t="b">
        <f>AND(ISNUMBER(FIND($E2806,Tables!$I$2)), ISNUMBER(FIND($D2806,Tables!$J$2)), $E2806&lt;&gt;"")</f>
        <v>0</v>
      </c>
    </row>
    <row r="2807" spans="1:18" x14ac:dyDescent="0.25">
      <c r="A2807">
        <f>IF(AND(B2807="", D2807&lt;&gt;""), A2806, A2806+1)</f>
        <v>2801</v>
      </c>
      <c r="R2807" t="b">
        <f>AND(ISNUMBER(FIND($E2807,Tables!$I$2)), ISNUMBER(FIND($D2807,Tables!$J$2)), $E2807&lt;&gt;"")</f>
        <v>0</v>
      </c>
    </row>
    <row r="2808" spans="1:18" x14ac:dyDescent="0.25">
      <c r="A2808">
        <f>IF(AND(B2808="", D2808&lt;&gt;""), A2807, A2807+1)</f>
        <v>2802</v>
      </c>
      <c r="R2808" t="b">
        <f>AND(ISNUMBER(FIND($E2808,Tables!$I$2)), ISNUMBER(FIND($D2808,Tables!$J$2)), $E2808&lt;&gt;"")</f>
        <v>0</v>
      </c>
    </row>
    <row r="2809" spans="1:18" x14ac:dyDescent="0.25">
      <c r="A2809">
        <f>IF(AND(B2809="", D2809&lt;&gt;""), A2808, A2808+1)</f>
        <v>2803</v>
      </c>
      <c r="R2809" t="b">
        <f>AND(ISNUMBER(FIND($E2809,Tables!$I$2)), ISNUMBER(FIND($D2809,Tables!$J$2)), $E2809&lt;&gt;"")</f>
        <v>0</v>
      </c>
    </row>
    <row r="2810" spans="1:18" x14ac:dyDescent="0.25">
      <c r="A2810">
        <f>IF(AND(B2810="", D2810&lt;&gt;""), A2809, A2809+1)</f>
        <v>2804</v>
      </c>
      <c r="R2810" t="b">
        <f>AND(ISNUMBER(FIND($E2810,Tables!$I$2)), ISNUMBER(FIND($D2810,Tables!$J$2)), $E2810&lt;&gt;"")</f>
        <v>0</v>
      </c>
    </row>
    <row r="2811" spans="1:18" x14ac:dyDescent="0.25">
      <c r="A2811">
        <f>IF(AND(B2811="", D2811&lt;&gt;""), A2810, A2810+1)</f>
        <v>2805</v>
      </c>
      <c r="R2811" t="b">
        <f>AND(ISNUMBER(FIND($E2811,Tables!$I$2)), ISNUMBER(FIND($D2811,Tables!$J$2)), $E2811&lt;&gt;"")</f>
        <v>0</v>
      </c>
    </row>
    <row r="2812" spans="1:18" x14ac:dyDescent="0.25">
      <c r="A2812">
        <f>IF(AND(B2812="", D2812&lt;&gt;""), A2811, A2811+1)</f>
        <v>2806</v>
      </c>
      <c r="R2812" t="b">
        <f>AND(ISNUMBER(FIND($E2812,Tables!$I$2)), ISNUMBER(FIND($D2812,Tables!$J$2)), $E2812&lt;&gt;"")</f>
        <v>0</v>
      </c>
    </row>
    <row r="2813" spans="1:18" x14ac:dyDescent="0.25">
      <c r="A2813">
        <f>IF(AND(B2813="", D2813&lt;&gt;""), A2812, A2812+1)</f>
        <v>2807</v>
      </c>
      <c r="R2813" t="b">
        <f>AND(ISNUMBER(FIND($E2813,Tables!$I$2)), ISNUMBER(FIND($D2813,Tables!$J$2)), $E2813&lt;&gt;"")</f>
        <v>0</v>
      </c>
    </row>
    <row r="2814" spans="1:18" x14ac:dyDescent="0.25">
      <c r="A2814">
        <f>IF(AND(B2814="", D2814&lt;&gt;""), A2813, A2813+1)</f>
        <v>2808</v>
      </c>
      <c r="R2814" t="b">
        <f>AND(ISNUMBER(FIND($E2814,Tables!$I$2)), ISNUMBER(FIND($D2814,Tables!$J$2)), $E2814&lt;&gt;"")</f>
        <v>0</v>
      </c>
    </row>
    <row r="2815" spans="1:18" x14ac:dyDescent="0.25">
      <c r="A2815">
        <f>IF(AND(B2815="", D2815&lt;&gt;""), A2814, A2814+1)</f>
        <v>2809</v>
      </c>
      <c r="R2815" t="b">
        <f>AND(ISNUMBER(FIND($E2815,Tables!$I$2)), ISNUMBER(FIND($D2815,Tables!$J$2)), $E2815&lt;&gt;"")</f>
        <v>0</v>
      </c>
    </row>
    <row r="2816" spans="1:18" x14ac:dyDescent="0.25">
      <c r="A2816">
        <f>IF(AND(B2816="", D2816&lt;&gt;""), A2815, A2815+1)</f>
        <v>2810</v>
      </c>
      <c r="R2816" t="b">
        <f>AND(ISNUMBER(FIND($E2816,Tables!$I$2)), ISNUMBER(FIND($D2816,Tables!$J$2)), $E2816&lt;&gt;"")</f>
        <v>0</v>
      </c>
    </row>
    <row r="2817" spans="1:18" x14ac:dyDescent="0.25">
      <c r="A2817">
        <f>IF(AND(B2817="", D2817&lt;&gt;""), A2816, A2816+1)</f>
        <v>2811</v>
      </c>
      <c r="R2817" t="b">
        <f>AND(ISNUMBER(FIND($E2817,Tables!$I$2)), ISNUMBER(FIND($D2817,Tables!$J$2)), $E2817&lt;&gt;"")</f>
        <v>0</v>
      </c>
    </row>
    <row r="2818" spans="1:18" x14ac:dyDescent="0.25">
      <c r="A2818">
        <f>IF(AND(B2818="", D2818&lt;&gt;""), A2817, A2817+1)</f>
        <v>2812</v>
      </c>
      <c r="R2818" t="b">
        <f>AND(ISNUMBER(FIND($E2818,Tables!$I$2)), ISNUMBER(FIND($D2818,Tables!$J$2)), $E2818&lt;&gt;"")</f>
        <v>0</v>
      </c>
    </row>
    <row r="2819" spans="1:18" x14ac:dyDescent="0.25">
      <c r="A2819">
        <f>IF(AND(B2819="", D2819&lt;&gt;""), A2818, A2818+1)</f>
        <v>2813</v>
      </c>
      <c r="R2819" t="b">
        <f>AND(ISNUMBER(FIND($E2819,Tables!$I$2)), ISNUMBER(FIND($D2819,Tables!$J$2)), $E2819&lt;&gt;"")</f>
        <v>0</v>
      </c>
    </row>
    <row r="2820" spans="1:18" x14ac:dyDescent="0.25">
      <c r="A2820">
        <f>IF(AND(B2820="", D2820&lt;&gt;""), A2819, A2819+1)</f>
        <v>2814</v>
      </c>
      <c r="R2820" t="b">
        <f>AND(ISNUMBER(FIND($E2820,Tables!$I$2)), ISNUMBER(FIND($D2820,Tables!$J$2)), $E2820&lt;&gt;"")</f>
        <v>0</v>
      </c>
    </row>
    <row r="2821" spans="1:18" x14ac:dyDescent="0.25">
      <c r="A2821">
        <f>IF(AND(B2821="", D2821&lt;&gt;""), A2820, A2820+1)</f>
        <v>2815</v>
      </c>
      <c r="R2821" t="b">
        <f>AND(ISNUMBER(FIND($E2821,Tables!$I$2)), ISNUMBER(FIND($D2821,Tables!$J$2)), $E2821&lt;&gt;"")</f>
        <v>0</v>
      </c>
    </row>
    <row r="2822" spans="1:18" x14ac:dyDescent="0.25">
      <c r="A2822">
        <f>IF(AND(B2822="", D2822&lt;&gt;""), A2821, A2821+1)</f>
        <v>2816</v>
      </c>
      <c r="R2822" t="b">
        <f>AND(ISNUMBER(FIND($E2822,Tables!$I$2)), ISNUMBER(FIND($D2822,Tables!$J$2)), $E2822&lt;&gt;"")</f>
        <v>0</v>
      </c>
    </row>
    <row r="2823" spans="1:18" x14ac:dyDescent="0.25">
      <c r="A2823">
        <f>IF(AND(B2823="", D2823&lt;&gt;""), A2822, A2822+1)</f>
        <v>2817</v>
      </c>
      <c r="R2823" t="b">
        <f>AND(ISNUMBER(FIND($E2823,Tables!$I$2)), ISNUMBER(FIND($D2823,Tables!$J$2)), $E2823&lt;&gt;"")</f>
        <v>0</v>
      </c>
    </row>
    <row r="2824" spans="1:18" x14ac:dyDescent="0.25">
      <c r="A2824">
        <f>IF(AND(B2824="", D2824&lt;&gt;""), A2823, A2823+1)</f>
        <v>2818</v>
      </c>
      <c r="R2824" t="b">
        <f>AND(ISNUMBER(FIND($E2824,Tables!$I$2)), ISNUMBER(FIND($D2824,Tables!$J$2)), $E2824&lt;&gt;"")</f>
        <v>0</v>
      </c>
    </row>
    <row r="2825" spans="1:18" x14ac:dyDescent="0.25">
      <c r="A2825">
        <f>IF(AND(B2825="", D2825&lt;&gt;""), A2824, A2824+1)</f>
        <v>2819</v>
      </c>
      <c r="R2825" t="b">
        <f>AND(ISNUMBER(FIND($E2825,Tables!$I$2)), ISNUMBER(FIND($D2825,Tables!$J$2)), $E2825&lt;&gt;"")</f>
        <v>0</v>
      </c>
    </row>
    <row r="2826" spans="1:18" x14ac:dyDescent="0.25">
      <c r="A2826">
        <f>IF(AND(B2826="", D2826&lt;&gt;""), A2825, A2825+1)</f>
        <v>2820</v>
      </c>
      <c r="R2826" t="b">
        <f>AND(ISNUMBER(FIND($E2826,Tables!$I$2)), ISNUMBER(FIND($D2826,Tables!$J$2)), $E2826&lt;&gt;"")</f>
        <v>0</v>
      </c>
    </row>
    <row r="2827" spans="1:18" x14ac:dyDescent="0.25">
      <c r="A2827">
        <f>IF(AND(B2827="", D2827&lt;&gt;""), A2826, A2826+1)</f>
        <v>2821</v>
      </c>
      <c r="R2827" t="b">
        <f>AND(ISNUMBER(FIND($E2827,Tables!$I$2)), ISNUMBER(FIND($D2827,Tables!$J$2)), $E2827&lt;&gt;"")</f>
        <v>0</v>
      </c>
    </row>
    <row r="2828" spans="1:18" x14ac:dyDescent="0.25">
      <c r="A2828">
        <f>IF(AND(B2828="", D2828&lt;&gt;""), A2827, A2827+1)</f>
        <v>2822</v>
      </c>
      <c r="R2828" t="b">
        <f>AND(ISNUMBER(FIND($E2828,Tables!$I$2)), ISNUMBER(FIND($D2828,Tables!$J$2)), $E2828&lt;&gt;"")</f>
        <v>0</v>
      </c>
    </row>
    <row r="2829" spans="1:18" x14ac:dyDescent="0.25">
      <c r="A2829">
        <f>IF(AND(B2829="", D2829&lt;&gt;""), A2828, A2828+1)</f>
        <v>2823</v>
      </c>
      <c r="R2829" t="b">
        <f>AND(ISNUMBER(FIND($E2829,Tables!$I$2)), ISNUMBER(FIND($D2829,Tables!$J$2)), $E2829&lt;&gt;"")</f>
        <v>0</v>
      </c>
    </row>
    <row r="2830" spans="1:18" x14ac:dyDescent="0.25">
      <c r="A2830">
        <f>IF(AND(B2830="", D2830&lt;&gt;""), A2829, A2829+1)</f>
        <v>2824</v>
      </c>
      <c r="R2830" t="b">
        <f>AND(ISNUMBER(FIND($E2830,Tables!$I$2)), ISNUMBER(FIND($D2830,Tables!$J$2)), $E2830&lt;&gt;"")</f>
        <v>0</v>
      </c>
    </row>
    <row r="2831" spans="1:18" x14ac:dyDescent="0.25">
      <c r="A2831">
        <f>IF(AND(B2831="", D2831&lt;&gt;""), A2830, A2830+1)</f>
        <v>2825</v>
      </c>
      <c r="R2831" t="b">
        <f>AND(ISNUMBER(FIND($E2831,Tables!$I$2)), ISNUMBER(FIND($D2831,Tables!$J$2)), $E2831&lt;&gt;"")</f>
        <v>0</v>
      </c>
    </row>
    <row r="2832" spans="1:18" x14ac:dyDescent="0.25">
      <c r="A2832">
        <f>IF(AND(B2832="", D2832&lt;&gt;""), A2831, A2831+1)</f>
        <v>2826</v>
      </c>
      <c r="R2832" t="b">
        <f>AND(ISNUMBER(FIND($E2832,Tables!$I$2)), ISNUMBER(FIND($D2832,Tables!$J$2)), $E2832&lt;&gt;"")</f>
        <v>0</v>
      </c>
    </row>
    <row r="2833" spans="1:18" x14ac:dyDescent="0.25">
      <c r="A2833">
        <f>IF(AND(B2833="", D2833&lt;&gt;""), A2832, A2832+1)</f>
        <v>2827</v>
      </c>
      <c r="R2833" t="b">
        <f>AND(ISNUMBER(FIND($E2833,Tables!$I$2)), ISNUMBER(FIND($D2833,Tables!$J$2)), $E2833&lt;&gt;"")</f>
        <v>0</v>
      </c>
    </row>
    <row r="2834" spans="1:18" x14ac:dyDescent="0.25">
      <c r="A2834">
        <f>IF(AND(B2834="", D2834&lt;&gt;""), A2833, A2833+1)</f>
        <v>2828</v>
      </c>
      <c r="R2834" t="b">
        <f>AND(ISNUMBER(FIND($E2834,Tables!$I$2)), ISNUMBER(FIND($D2834,Tables!$J$2)), $E2834&lt;&gt;"")</f>
        <v>0</v>
      </c>
    </row>
    <row r="2835" spans="1:18" x14ac:dyDescent="0.25">
      <c r="A2835">
        <f>IF(AND(B2835="", D2835&lt;&gt;""), A2834, A2834+1)</f>
        <v>2829</v>
      </c>
      <c r="R2835" t="b">
        <f>AND(ISNUMBER(FIND($E2835,Tables!$I$2)), ISNUMBER(FIND($D2835,Tables!$J$2)), $E2835&lt;&gt;"")</f>
        <v>0</v>
      </c>
    </row>
    <row r="2836" spans="1:18" x14ac:dyDescent="0.25">
      <c r="A2836">
        <f>IF(AND(B2836="", D2836&lt;&gt;""), A2835, A2835+1)</f>
        <v>2830</v>
      </c>
      <c r="R2836" t="b">
        <f>AND(ISNUMBER(FIND($E2836,Tables!$I$2)), ISNUMBER(FIND($D2836,Tables!$J$2)), $E2836&lt;&gt;"")</f>
        <v>0</v>
      </c>
    </row>
    <row r="2837" spans="1:18" x14ac:dyDescent="0.25">
      <c r="A2837">
        <f>IF(AND(B2837="", D2837&lt;&gt;""), A2836, A2836+1)</f>
        <v>2831</v>
      </c>
      <c r="R2837" t="b">
        <f>AND(ISNUMBER(FIND($E2837,Tables!$I$2)), ISNUMBER(FIND($D2837,Tables!$J$2)), $E2837&lt;&gt;"")</f>
        <v>0</v>
      </c>
    </row>
    <row r="2838" spans="1:18" x14ac:dyDescent="0.25">
      <c r="A2838">
        <f>IF(AND(B2838="", D2838&lt;&gt;""), A2837, A2837+1)</f>
        <v>2832</v>
      </c>
      <c r="R2838" t="b">
        <f>AND(ISNUMBER(FIND($E2838,Tables!$I$2)), ISNUMBER(FIND($D2838,Tables!$J$2)), $E2838&lt;&gt;"")</f>
        <v>0</v>
      </c>
    </row>
    <row r="2839" spans="1:18" x14ac:dyDescent="0.25">
      <c r="A2839">
        <f>IF(AND(B2839="", D2839&lt;&gt;""), A2838, A2838+1)</f>
        <v>2833</v>
      </c>
      <c r="R2839" t="b">
        <f>AND(ISNUMBER(FIND($E2839,Tables!$I$2)), ISNUMBER(FIND($D2839,Tables!$J$2)), $E2839&lt;&gt;"")</f>
        <v>0</v>
      </c>
    </row>
    <row r="2840" spans="1:18" x14ac:dyDescent="0.25">
      <c r="A2840">
        <f>IF(AND(B2840="", D2840&lt;&gt;""), A2839, A2839+1)</f>
        <v>2834</v>
      </c>
      <c r="R2840" t="b">
        <f>AND(ISNUMBER(FIND($E2840,Tables!$I$2)), ISNUMBER(FIND($D2840,Tables!$J$2)), $E2840&lt;&gt;"")</f>
        <v>0</v>
      </c>
    </row>
    <row r="2841" spans="1:18" x14ac:dyDescent="0.25">
      <c r="A2841">
        <f>IF(AND(B2841="", D2841&lt;&gt;""), A2840, A2840+1)</f>
        <v>2835</v>
      </c>
      <c r="R2841" t="b">
        <f>AND(ISNUMBER(FIND($E2841,Tables!$I$2)), ISNUMBER(FIND($D2841,Tables!$J$2)), $E2841&lt;&gt;"")</f>
        <v>0</v>
      </c>
    </row>
    <row r="2842" spans="1:18" x14ac:dyDescent="0.25">
      <c r="A2842">
        <f>IF(AND(B2842="", D2842&lt;&gt;""), A2841, A2841+1)</f>
        <v>2836</v>
      </c>
      <c r="R2842" t="b">
        <f>AND(ISNUMBER(FIND($E2842,Tables!$I$2)), ISNUMBER(FIND($D2842,Tables!$J$2)), $E2842&lt;&gt;"")</f>
        <v>0</v>
      </c>
    </row>
    <row r="2843" spans="1:18" x14ac:dyDescent="0.25">
      <c r="A2843">
        <f>IF(AND(B2843="", D2843&lt;&gt;""), A2842, A2842+1)</f>
        <v>2837</v>
      </c>
      <c r="R2843" t="b">
        <f>AND(ISNUMBER(FIND($E2843,Tables!$I$2)), ISNUMBER(FIND($D2843,Tables!$J$2)), $E2843&lt;&gt;"")</f>
        <v>0</v>
      </c>
    </row>
    <row r="2844" spans="1:18" x14ac:dyDescent="0.25">
      <c r="A2844">
        <f>IF(AND(B2844="", D2844&lt;&gt;""), A2843, A2843+1)</f>
        <v>2838</v>
      </c>
      <c r="R2844" t="b">
        <f>AND(ISNUMBER(FIND($E2844,Tables!$I$2)), ISNUMBER(FIND($D2844,Tables!$J$2)), $E2844&lt;&gt;"")</f>
        <v>0</v>
      </c>
    </row>
    <row r="2845" spans="1:18" x14ac:dyDescent="0.25">
      <c r="A2845">
        <f>IF(AND(B2845="", D2845&lt;&gt;""), A2844, A2844+1)</f>
        <v>2839</v>
      </c>
      <c r="R2845" t="b">
        <f>AND(ISNUMBER(FIND($E2845,Tables!$I$2)), ISNUMBER(FIND($D2845,Tables!$J$2)), $E2845&lt;&gt;"")</f>
        <v>0</v>
      </c>
    </row>
    <row r="2846" spans="1:18" x14ac:dyDescent="0.25">
      <c r="A2846">
        <f>IF(AND(B2846="", D2846&lt;&gt;""), A2845, A2845+1)</f>
        <v>2840</v>
      </c>
      <c r="R2846" t="b">
        <f>AND(ISNUMBER(FIND($E2846,Tables!$I$2)), ISNUMBER(FIND($D2846,Tables!$J$2)), $E2846&lt;&gt;"")</f>
        <v>0</v>
      </c>
    </row>
    <row r="2847" spans="1:18" x14ac:dyDescent="0.25">
      <c r="A2847">
        <f>IF(AND(B2847="", D2847&lt;&gt;""), A2846, A2846+1)</f>
        <v>2841</v>
      </c>
      <c r="R2847" t="b">
        <f>AND(ISNUMBER(FIND($E2847,Tables!$I$2)), ISNUMBER(FIND($D2847,Tables!$J$2)), $E2847&lt;&gt;"")</f>
        <v>0</v>
      </c>
    </row>
    <row r="2848" spans="1:18" x14ac:dyDescent="0.25">
      <c r="A2848">
        <f>IF(AND(B2848="", D2848&lt;&gt;""), A2847, A2847+1)</f>
        <v>2842</v>
      </c>
      <c r="R2848" t="b">
        <f>AND(ISNUMBER(FIND($E2848,Tables!$I$2)), ISNUMBER(FIND($D2848,Tables!$J$2)), $E2848&lt;&gt;"")</f>
        <v>0</v>
      </c>
    </row>
    <row r="2849" spans="1:18" x14ac:dyDescent="0.25">
      <c r="A2849">
        <f>IF(AND(B2849="", D2849&lt;&gt;""), A2848, A2848+1)</f>
        <v>2843</v>
      </c>
      <c r="R2849" t="b">
        <f>AND(ISNUMBER(FIND($E2849,Tables!$I$2)), ISNUMBER(FIND($D2849,Tables!$J$2)), $E2849&lt;&gt;"")</f>
        <v>0</v>
      </c>
    </row>
    <row r="2850" spans="1:18" x14ac:dyDescent="0.25">
      <c r="A2850">
        <f>IF(AND(B2850="", D2850&lt;&gt;""), A2849, A2849+1)</f>
        <v>2844</v>
      </c>
      <c r="R2850" t="b">
        <f>AND(ISNUMBER(FIND($E2850,Tables!$I$2)), ISNUMBER(FIND($D2850,Tables!$J$2)), $E2850&lt;&gt;"")</f>
        <v>0</v>
      </c>
    </row>
    <row r="2851" spans="1:18" x14ac:dyDescent="0.25">
      <c r="A2851">
        <f>IF(AND(B2851="", D2851&lt;&gt;""), A2850, A2850+1)</f>
        <v>2845</v>
      </c>
      <c r="R2851" t="b">
        <f>AND(ISNUMBER(FIND($E2851,Tables!$I$2)), ISNUMBER(FIND($D2851,Tables!$J$2)), $E2851&lt;&gt;"")</f>
        <v>0</v>
      </c>
    </row>
    <row r="2852" spans="1:18" x14ac:dyDescent="0.25">
      <c r="A2852">
        <f>IF(AND(B2852="", D2852&lt;&gt;""), A2851, A2851+1)</f>
        <v>2846</v>
      </c>
      <c r="R2852" t="b">
        <f>AND(ISNUMBER(FIND($E2852,Tables!$I$2)), ISNUMBER(FIND($D2852,Tables!$J$2)), $E2852&lt;&gt;"")</f>
        <v>0</v>
      </c>
    </row>
    <row r="2853" spans="1:18" x14ac:dyDescent="0.25">
      <c r="A2853">
        <f>IF(AND(B2853="", D2853&lt;&gt;""), A2852, A2852+1)</f>
        <v>2847</v>
      </c>
      <c r="R2853" t="b">
        <f>AND(ISNUMBER(FIND($E2853,Tables!$I$2)), ISNUMBER(FIND($D2853,Tables!$J$2)), $E2853&lt;&gt;"")</f>
        <v>0</v>
      </c>
    </row>
    <row r="2854" spans="1:18" x14ac:dyDescent="0.25">
      <c r="A2854">
        <f>IF(AND(B2854="", D2854&lt;&gt;""), A2853, A2853+1)</f>
        <v>2848</v>
      </c>
      <c r="R2854" t="b">
        <f>AND(ISNUMBER(FIND($E2854,Tables!$I$2)), ISNUMBER(FIND($D2854,Tables!$J$2)), $E2854&lt;&gt;"")</f>
        <v>0</v>
      </c>
    </row>
    <row r="2855" spans="1:18" x14ac:dyDescent="0.25">
      <c r="A2855">
        <f>IF(AND(B2855="", D2855&lt;&gt;""), A2854, A2854+1)</f>
        <v>2849</v>
      </c>
      <c r="R2855" t="b">
        <f>AND(ISNUMBER(FIND($E2855,Tables!$I$2)), ISNUMBER(FIND($D2855,Tables!$J$2)), $E2855&lt;&gt;"")</f>
        <v>0</v>
      </c>
    </row>
    <row r="2856" spans="1:18" x14ac:dyDescent="0.25">
      <c r="A2856">
        <f>IF(AND(B2856="", D2856&lt;&gt;""), A2855, A2855+1)</f>
        <v>2850</v>
      </c>
      <c r="R2856" t="b">
        <f>AND(ISNUMBER(FIND($E2856,Tables!$I$2)), ISNUMBER(FIND($D2856,Tables!$J$2)), $E2856&lt;&gt;"")</f>
        <v>0</v>
      </c>
    </row>
    <row r="2857" spans="1:18" x14ac:dyDescent="0.25">
      <c r="A2857">
        <f>IF(AND(B2857="", D2857&lt;&gt;""), A2856, A2856+1)</f>
        <v>2851</v>
      </c>
      <c r="R2857" t="b">
        <f>AND(ISNUMBER(FIND($E2857,Tables!$I$2)), ISNUMBER(FIND($D2857,Tables!$J$2)), $E2857&lt;&gt;"")</f>
        <v>0</v>
      </c>
    </row>
    <row r="2858" spans="1:18" x14ac:dyDescent="0.25">
      <c r="A2858">
        <f>IF(AND(B2858="", D2858&lt;&gt;""), A2857, A2857+1)</f>
        <v>2852</v>
      </c>
      <c r="R2858" t="b">
        <f>AND(ISNUMBER(FIND($E2858,Tables!$I$2)), ISNUMBER(FIND($D2858,Tables!$J$2)), $E2858&lt;&gt;"")</f>
        <v>0</v>
      </c>
    </row>
    <row r="2859" spans="1:18" x14ac:dyDescent="0.25">
      <c r="A2859">
        <f>IF(AND(B2859="", D2859&lt;&gt;""), A2858, A2858+1)</f>
        <v>2853</v>
      </c>
      <c r="R2859" t="b">
        <f>AND(ISNUMBER(FIND($E2859,Tables!$I$2)), ISNUMBER(FIND($D2859,Tables!$J$2)), $E2859&lt;&gt;"")</f>
        <v>0</v>
      </c>
    </row>
    <row r="2860" spans="1:18" x14ac:dyDescent="0.25">
      <c r="A2860">
        <f>IF(AND(B2860="", D2860&lt;&gt;""), A2859, A2859+1)</f>
        <v>2854</v>
      </c>
      <c r="R2860" t="b">
        <f>AND(ISNUMBER(FIND($E2860,Tables!$I$2)), ISNUMBER(FIND($D2860,Tables!$J$2)), $E2860&lt;&gt;"")</f>
        <v>0</v>
      </c>
    </row>
    <row r="2861" spans="1:18" x14ac:dyDescent="0.25">
      <c r="A2861">
        <f>IF(AND(B2861="", D2861&lt;&gt;""), A2860, A2860+1)</f>
        <v>2855</v>
      </c>
      <c r="R2861" t="b">
        <f>AND(ISNUMBER(FIND($E2861,Tables!$I$2)), ISNUMBER(FIND($D2861,Tables!$J$2)), $E2861&lt;&gt;"")</f>
        <v>0</v>
      </c>
    </row>
    <row r="2862" spans="1:18" x14ac:dyDescent="0.25">
      <c r="A2862">
        <f>IF(AND(B2862="", D2862&lt;&gt;""), A2861, A2861+1)</f>
        <v>2856</v>
      </c>
      <c r="R2862" t="b">
        <f>AND(ISNUMBER(FIND($E2862,Tables!$I$2)), ISNUMBER(FIND($D2862,Tables!$J$2)), $E2862&lt;&gt;"")</f>
        <v>0</v>
      </c>
    </row>
    <row r="2863" spans="1:18" x14ac:dyDescent="0.25">
      <c r="A2863">
        <f>IF(AND(B2863="", D2863&lt;&gt;""), A2862, A2862+1)</f>
        <v>2857</v>
      </c>
      <c r="R2863" t="b">
        <f>AND(ISNUMBER(FIND($E2863,Tables!$I$2)), ISNUMBER(FIND($D2863,Tables!$J$2)), $E2863&lt;&gt;"")</f>
        <v>0</v>
      </c>
    </row>
    <row r="2864" spans="1:18" x14ac:dyDescent="0.25">
      <c r="A2864">
        <f>IF(AND(B2864="", D2864&lt;&gt;""), A2863, A2863+1)</f>
        <v>2858</v>
      </c>
      <c r="R2864" t="b">
        <f>AND(ISNUMBER(FIND($E2864,Tables!$I$2)), ISNUMBER(FIND($D2864,Tables!$J$2)), $E2864&lt;&gt;"")</f>
        <v>0</v>
      </c>
    </row>
    <row r="2865" spans="1:18" x14ac:dyDescent="0.25">
      <c r="A2865">
        <f>IF(AND(B2865="", D2865&lt;&gt;""), A2864, A2864+1)</f>
        <v>2859</v>
      </c>
      <c r="R2865" t="b">
        <f>AND(ISNUMBER(FIND($E2865,Tables!$I$2)), ISNUMBER(FIND($D2865,Tables!$J$2)), $E2865&lt;&gt;"")</f>
        <v>0</v>
      </c>
    </row>
    <row r="2866" spans="1:18" x14ac:dyDescent="0.25">
      <c r="A2866">
        <f>IF(AND(B2866="", D2866&lt;&gt;""), A2865, A2865+1)</f>
        <v>2860</v>
      </c>
      <c r="R2866" t="b">
        <f>AND(ISNUMBER(FIND($E2866,Tables!$I$2)), ISNUMBER(FIND($D2866,Tables!$J$2)), $E2866&lt;&gt;"")</f>
        <v>0</v>
      </c>
    </row>
    <row r="2867" spans="1:18" x14ac:dyDescent="0.25">
      <c r="A2867">
        <f>IF(AND(B2867="", D2867&lt;&gt;""), A2866, A2866+1)</f>
        <v>2861</v>
      </c>
      <c r="R2867" t="b">
        <f>AND(ISNUMBER(FIND($E2867,Tables!$I$2)), ISNUMBER(FIND($D2867,Tables!$J$2)), $E2867&lt;&gt;"")</f>
        <v>0</v>
      </c>
    </row>
    <row r="2868" spans="1:18" x14ac:dyDescent="0.25">
      <c r="A2868">
        <f>IF(AND(B2868="", D2868&lt;&gt;""), A2867, A2867+1)</f>
        <v>2862</v>
      </c>
      <c r="R2868" t="b">
        <f>AND(ISNUMBER(FIND($E2868,Tables!$I$2)), ISNUMBER(FIND($D2868,Tables!$J$2)), $E2868&lt;&gt;"")</f>
        <v>0</v>
      </c>
    </row>
    <row r="2869" spans="1:18" x14ac:dyDescent="0.25">
      <c r="A2869">
        <f>IF(AND(B2869="", D2869&lt;&gt;""), A2868, A2868+1)</f>
        <v>2863</v>
      </c>
      <c r="R2869" t="b">
        <f>AND(ISNUMBER(FIND($E2869,Tables!$I$2)), ISNUMBER(FIND($D2869,Tables!$J$2)), $E2869&lt;&gt;"")</f>
        <v>0</v>
      </c>
    </row>
    <row r="2870" spans="1:18" x14ac:dyDescent="0.25">
      <c r="A2870">
        <f>IF(AND(B2870="", D2870&lt;&gt;""), A2869, A2869+1)</f>
        <v>2864</v>
      </c>
      <c r="R2870" t="b">
        <f>AND(ISNUMBER(FIND($E2870,Tables!$I$2)), ISNUMBER(FIND($D2870,Tables!$J$2)), $E2870&lt;&gt;"")</f>
        <v>0</v>
      </c>
    </row>
    <row r="2871" spans="1:18" x14ac:dyDescent="0.25">
      <c r="A2871">
        <f>IF(AND(B2871="", D2871&lt;&gt;""), A2870, A2870+1)</f>
        <v>2865</v>
      </c>
      <c r="R2871" t="b">
        <f>AND(ISNUMBER(FIND($E2871,Tables!$I$2)), ISNUMBER(FIND($D2871,Tables!$J$2)), $E2871&lt;&gt;"")</f>
        <v>0</v>
      </c>
    </row>
    <row r="2872" spans="1:18" x14ac:dyDescent="0.25">
      <c r="A2872">
        <f>IF(AND(B2872="", D2872&lt;&gt;""), A2871, A2871+1)</f>
        <v>2866</v>
      </c>
      <c r="R2872" t="b">
        <f>AND(ISNUMBER(FIND($E2872,Tables!$I$2)), ISNUMBER(FIND($D2872,Tables!$J$2)), $E2872&lt;&gt;"")</f>
        <v>0</v>
      </c>
    </row>
    <row r="2873" spans="1:18" x14ac:dyDescent="0.25">
      <c r="A2873">
        <f>IF(AND(B2873="", D2873&lt;&gt;""), A2872, A2872+1)</f>
        <v>2867</v>
      </c>
      <c r="R2873" t="b">
        <f>AND(ISNUMBER(FIND($E2873,Tables!$I$2)), ISNUMBER(FIND($D2873,Tables!$J$2)), $E2873&lt;&gt;"")</f>
        <v>0</v>
      </c>
    </row>
    <row r="2874" spans="1:18" x14ac:dyDescent="0.25">
      <c r="A2874">
        <f>IF(AND(B2874="", D2874&lt;&gt;""), A2873, A2873+1)</f>
        <v>2868</v>
      </c>
      <c r="R2874" t="b">
        <f>AND(ISNUMBER(FIND($E2874,Tables!$I$2)), ISNUMBER(FIND($D2874,Tables!$J$2)), $E2874&lt;&gt;"")</f>
        <v>0</v>
      </c>
    </row>
    <row r="2875" spans="1:18" x14ac:dyDescent="0.25">
      <c r="A2875">
        <f>IF(AND(B2875="", D2875&lt;&gt;""), A2874, A2874+1)</f>
        <v>2869</v>
      </c>
      <c r="R2875" t="b">
        <f>AND(ISNUMBER(FIND($E2875,Tables!$I$2)), ISNUMBER(FIND($D2875,Tables!$J$2)), $E2875&lt;&gt;"")</f>
        <v>0</v>
      </c>
    </row>
    <row r="2876" spans="1:18" x14ac:dyDescent="0.25">
      <c r="A2876">
        <f>IF(AND(B2876="", D2876&lt;&gt;""), A2875, A2875+1)</f>
        <v>2870</v>
      </c>
      <c r="R2876" t="b">
        <f>AND(ISNUMBER(FIND($E2876,Tables!$I$2)), ISNUMBER(FIND($D2876,Tables!$J$2)), $E2876&lt;&gt;"")</f>
        <v>0</v>
      </c>
    </row>
    <row r="2877" spans="1:18" x14ac:dyDescent="0.25">
      <c r="A2877">
        <f>IF(AND(B2877="", D2877&lt;&gt;""), A2876, A2876+1)</f>
        <v>2871</v>
      </c>
      <c r="R2877" t="b">
        <f>AND(ISNUMBER(FIND($E2877,Tables!$I$2)), ISNUMBER(FIND($D2877,Tables!$J$2)), $E2877&lt;&gt;"")</f>
        <v>0</v>
      </c>
    </row>
    <row r="2878" spans="1:18" x14ac:dyDescent="0.25">
      <c r="A2878">
        <f>IF(AND(B2878="", D2878&lt;&gt;""), A2877, A2877+1)</f>
        <v>2872</v>
      </c>
      <c r="R2878" t="b">
        <f>AND(ISNUMBER(FIND($E2878,Tables!$I$2)), ISNUMBER(FIND($D2878,Tables!$J$2)), $E2878&lt;&gt;"")</f>
        <v>0</v>
      </c>
    </row>
    <row r="2879" spans="1:18" x14ac:dyDescent="0.25">
      <c r="A2879">
        <f>IF(AND(B2879="", D2879&lt;&gt;""), A2878, A2878+1)</f>
        <v>2873</v>
      </c>
      <c r="R2879" t="b">
        <f>AND(ISNUMBER(FIND($E2879,Tables!$I$2)), ISNUMBER(FIND($D2879,Tables!$J$2)), $E2879&lt;&gt;"")</f>
        <v>0</v>
      </c>
    </row>
    <row r="2880" spans="1:18" x14ac:dyDescent="0.25">
      <c r="A2880">
        <f>IF(AND(B2880="", D2880&lt;&gt;""), A2879, A2879+1)</f>
        <v>2874</v>
      </c>
      <c r="R2880" t="b">
        <f>AND(ISNUMBER(FIND($E2880,Tables!$I$2)), ISNUMBER(FIND($D2880,Tables!$J$2)), $E2880&lt;&gt;"")</f>
        <v>0</v>
      </c>
    </row>
    <row r="2881" spans="1:18" x14ac:dyDescent="0.25">
      <c r="A2881">
        <f>IF(AND(B2881="", D2881&lt;&gt;""), A2880, A2880+1)</f>
        <v>2875</v>
      </c>
      <c r="R2881" t="b">
        <f>AND(ISNUMBER(FIND($E2881,Tables!$I$2)), ISNUMBER(FIND($D2881,Tables!$J$2)), $E2881&lt;&gt;"")</f>
        <v>0</v>
      </c>
    </row>
    <row r="2882" spans="1:18" x14ac:dyDescent="0.25">
      <c r="A2882">
        <f>IF(AND(B2882="", D2882&lt;&gt;""), A2881, A2881+1)</f>
        <v>2876</v>
      </c>
      <c r="R2882" t="b">
        <f>AND(ISNUMBER(FIND($E2882,Tables!$I$2)), ISNUMBER(FIND($D2882,Tables!$J$2)), $E2882&lt;&gt;"")</f>
        <v>0</v>
      </c>
    </row>
    <row r="2883" spans="1:18" x14ac:dyDescent="0.25">
      <c r="A2883">
        <f>IF(AND(B2883="", D2883&lt;&gt;""), A2882, A2882+1)</f>
        <v>2877</v>
      </c>
      <c r="R2883" t="b">
        <f>AND(ISNUMBER(FIND($E2883,Tables!$I$2)), ISNUMBER(FIND($D2883,Tables!$J$2)), $E2883&lt;&gt;"")</f>
        <v>0</v>
      </c>
    </row>
    <row r="2884" spans="1:18" x14ac:dyDescent="0.25">
      <c r="A2884">
        <f>IF(AND(B2884="", D2884&lt;&gt;""), A2883, A2883+1)</f>
        <v>2878</v>
      </c>
      <c r="R2884" t="b">
        <f>AND(ISNUMBER(FIND($E2884,Tables!$I$2)), ISNUMBER(FIND($D2884,Tables!$J$2)), $E2884&lt;&gt;"")</f>
        <v>0</v>
      </c>
    </row>
    <row r="2885" spans="1:18" x14ac:dyDescent="0.25">
      <c r="A2885">
        <f>IF(AND(B2885="", D2885&lt;&gt;""), A2884, A2884+1)</f>
        <v>2879</v>
      </c>
      <c r="R2885" t="b">
        <f>AND(ISNUMBER(FIND($E2885,Tables!$I$2)), ISNUMBER(FIND($D2885,Tables!$J$2)), $E2885&lt;&gt;"")</f>
        <v>0</v>
      </c>
    </row>
    <row r="2886" spans="1:18" x14ac:dyDescent="0.25">
      <c r="A2886">
        <f>IF(AND(B2886="", D2886&lt;&gt;""), A2885, A2885+1)</f>
        <v>2880</v>
      </c>
      <c r="R2886" t="b">
        <f>AND(ISNUMBER(FIND($E2886,Tables!$I$2)), ISNUMBER(FIND($D2886,Tables!$J$2)), $E2886&lt;&gt;"")</f>
        <v>0</v>
      </c>
    </row>
    <row r="2887" spans="1:18" x14ac:dyDescent="0.25">
      <c r="A2887">
        <f>IF(AND(B2887="", D2887&lt;&gt;""), A2886, A2886+1)</f>
        <v>2881</v>
      </c>
      <c r="R2887" t="b">
        <f>AND(ISNUMBER(FIND($E2887,Tables!$I$2)), ISNUMBER(FIND($D2887,Tables!$J$2)), $E2887&lt;&gt;"")</f>
        <v>0</v>
      </c>
    </row>
    <row r="2888" spans="1:18" x14ac:dyDescent="0.25">
      <c r="A2888">
        <f>IF(AND(B2888="", D2888&lt;&gt;""), A2887, A2887+1)</f>
        <v>2882</v>
      </c>
      <c r="R2888" t="b">
        <f>AND(ISNUMBER(FIND($E2888,Tables!$I$2)), ISNUMBER(FIND($D2888,Tables!$J$2)), $E2888&lt;&gt;"")</f>
        <v>0</v>
      </c>
    </row>
    <row r="2889" spans="1:18" x14ac:dyDescent="0.25">
      <c r="A2889">
        <f>IF(AND(B2889="", D2889&lt;&gt;""), A2888, A2888+1)</f>
        <v>2883</v>
      </c>
      <c r="R2889" t="b">
        <f>AND(ISNUMBER(FIND($E2889,Tables!$I$2)), ISNUMBER(FIND($D2889,Tables!$J$2)), $E2889&lt;&gt;"")</f>
        <v>0</v>
      </c>
    </row>
    <row r="2890" spans="1:18" x14ac:dyDescent="0.25">
      <c r="A2890">
        <f>IF(AND(B2890="", D2890&lt;&gt;""), A2889, A2889+1)</f>
        <v>2884</v>
      </c>
      <c r="R2890" t="b">
        <f>AND(ISNUMBER(FIND($E2890,Tables!$I$2)), ISNUMBER(FIND($D2890,Tables!$J$2)), $E2890&lt;&gt;"")</f>
        <v>0</v>
      </c>
    </row>
    <row r="2891" spans="1:18" x14ac:dyDescent="0.25">
      <c r="A2891">
        <f>IF(AND(B2891="", D2891&lt;&gt;""), A2890, A2890+1)</f>
        <v>2885</v>
      </c>
      <c r="R2891" t="b">
        <f>AND(ISNUMBER(FIND($E2891,Tables!$I$2)), ISNUMBER(FIND($D2891,Tables!$J$2)), $E2891&lt;&gt;"")</f>
        <v>0</v>
      </c>
    </row>
    <row r="2892" spans="1:18" x14ac:dyDescent="0.25">
      <c r="A2892">
        <f>IF(AND(B2892="", D2892&lt;&gt;""), A2891, A2891+1)</f>
        <v>2886</v>
      </c>
      <c r="R2892" t="b">
        <f>AND(ISNUMBER(FIND($E2892,Tables!$I$2)), ISNUMBER(FIND($D2892,Tables!$J$2)), $E2892&lt;&gt;"")</f>
        <v>0</v>
      </c>
    </row>
    <row r="2893" spans="1:18" x14ac:dyDescent="0.25">
      <c r="A2893">
        <f>IF(AND(B2893="", D2893&lt;&gt;""), A2892, A2892+1)</f>
        <v>2887</v>
      </c>
      <c r="R2893" t="b">
        <f>AND(ISNUMBER(FIND($E2893,Tables!$I$2)), ISNUMBER(FIND($D2893,Tables!$J$2)), $E2893&lt;&gt;"")</f>
        <v>0</v>
      </c>
    </row>
    <row r="2894" spans="1:18" x14ac:dyDescent="0.25">
      <c r="A2894">
        <f>IF(AND(B2894="", D2894&lt;&gt;""), A2893, A2893+1)</f>
        <v>2888</v>
      </c>
      <c r="R2894" t="b">
        <f>AND(ISNUMBER(FIND($E2894,Tables!$I$2)), ISNUMBER(FIND($D2894,Tables!$J$2)), $E2894&lt;&gt;"")</f>
        <v>0</v>
      </c>
    </row>
    <row r="2895" spans="1:18" x14ac:dyDescent="0.25">
      <c r="A2895">
        <f>IF(AND(B2895="", D2895&lt;&gt;""), A2894, A2894+1)</f>
        <v>2889</v>
      </c>
      <c r="R2895" t="b">
        <f>AND(ISNUMBER(FIND($E2895,Tables!$I$2)), ISNUMBER(FIND($D2895,Tables!$J$2)), $E2895&lt;&gt;"")</f>
        <v>0</v>
      </c>
    </row>
    <row r="2896" spans="1:18" x14ac:dyDescent="0.25">
      <c r="A2896">
        <f>IF(AND(B2896="", D2896&lt;&gt;""), A2895, A2895+1)</f>
        <v>2890</v>
      </c>
      <c r="R2896" t="b">
        <f>AND(ISNUMBER(FIND($E2896,Tables!$I$2)), ISNUMBER(FIND($D2896,Tables!$J$2)), $E2896&lt;&gt;"")</f>
        <v>0</v>
      </c>
    </row>
    <row r="2897" spans="1:18" x14ac:dyDescent="0.25">
      <c r="A2897">
        <f>IF(AND(B2897="", D2897&lt;&gt;""), A2896, A2896+1)</f>
        <v>2891</v>
      </c>
      <c r="R2897" t="b">
        <f>AND(ISNUMBER(FIND($E2897,Tables!$I$2)), ISNUMBER(FIND($D2897,Tables!$J$2)), $E2897&lt;&gt;"")</f>
        <v>0</v>
      </c>
    </row>
    <row r="2898" spans="1:18" x14ac:dyDescent="0.25">
      <c r="A2898">
        <f>IF(AND(B2898="", D2898&lt;&gt;""), A2897, A2897+1)</f>
        <v>2892</v>
      </c>
      <c r="R2898" t="b">
        <f>AND(ISNUMBER(FIND($E2898,Tables!$I$2)), ISNUMBER(FIND($D2898,Tables!$J$2)), $E2898&lt;&gt;"")</f>
        <v>0</v>
      </c>
    </row>
    <row r="2899" spans="1:18" x14ac:dyDescent="0.25">
      <c r="A2899">
        <f>IF(AND(B2899="", D2899&lt;&gt;""), A2898, A2898+1)</f>
        <v>2893</v>
      </c>
      <c r="R2899" t="b">
        <f>AND(ISNUMBER(FIND($E2899,Tables!$I$2)), ISNUMBER(FIND($D2899,Tables!$J$2)), $E2899&lt;&gt;"")</f>
        <v>0</v>
      </c>
    </row>
    <row r="2900" spans="1:18" x14ac:dyDescent="0.25">
      <c r="A2900">
        <f>IF(AND(B2900="", D2900&lt;&gt;""), A2899, A2899+1)</f>
        <v>2894</v>
      </c>
      <c r="R2900" t="b">
        <f>AND(ISNUMBER(FIND($E2900,Tables!$I$2)), ISNUMBER(FIND($D2900,Tables!$J$2)), $E2900&lt;&gt;"")</f>
        <v>0</v>
      </c>
    </row>
    <row r="2901" spans="1:18" x14ac:dyDescent="0.25">
      <c r="A2901">
        <f>IF(AND(B2901="", D2901&lt;&gt;""), A2900, A2900+1)</f>
        <v>2895</v>
      </c>
      <c r="R2901" t="b">
        <f>AND(ISNUMBER(FIND($E2901,Tables!$I$2)), ISNUMBER(FIND($D2901,Tables!$J$2)), $E2901&lt;&gt;"")</f>
        <v>0</v>
      </c>
    </row>
    <row r="2902" spans="1:18" x14ac:dyDescent="0.25">
      <c r="A2902">
        <f>IF(AND(B2902="", D2902&lt;&gt;""), A2901, A2901+1)</f>
        <v>2896</v>
      </c>
      <c r="R2902" t="b">
        <f>AND(ISNUMBER(FIND($E2902,Tables!$I$2)), ISNUMBER(FIND($D2902,Tables!$J$2)), $E2902&lt;&gt;"")</f>
        <v>0</v>
      </c>
    </row>
    <row r="2903" spans="1:18" x14ac:dyDescent="0.25">
      <c r="A2903">
        <f>IF(AND(B2903="", D2903&lt;&gt;""), A2902, A2902+1)</f>
        <v>2897</v>
      </c>
      <c r="R2903" t="b">
        <f>AND(ISNUMBER(FIND($E2903,Tables!$I$2)), ISNUMBER(FIND($D2903,Tables!$J$2)), $E2903&lt;&gt;"")</f>
        <v>0</v>
      </c>
    </row>
    <row r="2904" spans="1:18" x14ac:dyDescent="0.25">
      <c r="A2904">
        <f>IF(AND(B2904="", D2904&lt;&gt;""), A2903, A2903+1)</f>
        <v>2898</v>
      </c>
      <c r="R2904" t="b">
        <f>AND(ISNUMBER(FIND($E2904,Tables!$I$2)), ISNUMBER(FIND($D2904,Tables!$J$2)), $E2904&lt;&gt;"")</f>
        <v>0</v>
      </c>
    </row>
    <row r="2905" spans="1:18" x14ac:dyDescent="0.25">
      <c r="A2905">
        <f>IF(AND(B2905="", D2905&lt;&gt;""), A2904, A2904+1)</f>
        <v>2899</v>
      </c>
      <c r="R2905" t="b">
        <f>AND(ISNUMBER(FIND($E2905,Tables!$I$2)), ISNUMBER(FIND($D2905,Tables!$J$2)), $E2905&lt;&gt;"")</f>
        <v>0</v>
      </c>
    </row>
    <row r="2906" spans="1:18" x14ac:dyDescent="0.25">
      <c r="A2906">
        <f>IF(AND(B2906="", D2906&lt;&gt;""), A2905, A2905+1)</f>
        <v>2900</v>
      </c>
      <c r="R2906" t="b">
        <f>AND(ISNUMBER(FIND($E2906,Tables!$I$2)), ISNUMBER(FIND($D2906,Tables!$J$2)), $E2906&lt;&gt;"")</f>
        <v>0</v>
      </c>
    </row>
    <row r="2907" spans="1:18" x14ac:dyDescent="0.25">
      <c r="A2907">
        <f>IF(AND(B2907="", D2907&lt;&gt;""), A2906, A2906+1)</f>
        <v>2901</v>
      </c>
      <c r="R2907" t="b">
        <f>AND(ISNUMBER(FIND($E2907,Tables!$I$2)), ISNUMBER(FIND($D2907,Tables!$J$2)), $E2907&lt;&gt;"")</f>
        <v>0</v>
      </c>
    </row>
    <row r="2908" spans="1:18" x14ac:dyDescent="0.25">
      <c r="A2908">
        <f>IF(AND(B2908="", D2908&lt;&gt;""), A2907, A2907+1)</f>
        <v>2902</v>
      </c>
      <c r="R2908" t="b">
        <f>AND(ISNUMBER(FIND($E2908,Tables!$I$2)), ISNUMBER(FIND($D2908,Tables!$J$2)), $E2908&lt;&gt;"")</f>
        <v>0</v>
      </c>
    </row>
    <row r="2909" spans="1:18" x14ac:dyDescent="0.25">
      <c r="A2909">
        <f>IF(AND(B2909="", D2909&lt;&gt;""), A2908, A2908+1)</f>
        <v>2903</v>
      </c>
      <c r="R2909" t="b">
        <f>AND(ISNUMBER(FIND($E2909,Tables!$I$2)), ISNUMBER(FIND($D2909,Tables!$J$2)), $E2909&lt;&gt;"")</f>
        <v>0</v>
      </c>
    </row>
    <row r="2910" spans="1:18" x14ac:dyDescent="0.25">
      <c r="A2910">
        <f>IF(AND(B2910="", D2910&lt;&gt;""), A2909, A2909+1)</f>
        <v>2904</v>
      </c>
      <c r="R2910" t="b">
        <f>AND(ISNUMBER(FIND($E2910,Tables!$I$2)), ISNUMBER(FIND($D2910,Tables!$J$2)), $E2910&lt;&gt;"")</f>
        <v>0</v>
      </c>
    </row>
    <row r="2911" spans="1:18" x14ac:dyDescent="0.25">
      <c r="A2911">
        <f>IF(AND(B2911="", D2911&lt;&gt;""), A2910, A2910+1)</f>
        <v>2905</v>
      </c>
      <c r="R2911" t="b">
        <f>AND(ISNUMBER(FIND($E2911,Tables!$I$2)), ISNUMBER(FIND($D2911,Tables!$J$2)), $E2911&lt;&gt;"")</f>
        <v>0</v>
      </c>
    </row>
    <row r="2912" spans="1:18" x14ac:dyDescent="0.25">
      <c r="A2912">
        <f>IF(AND(B2912="", D2912&lt;&gt;""), A2911, A2911+1)</f>
        <v>2906</v>
      </c>
      <c r="R2912" t="b">
        <f>AND(ISNUMBER(FIND($E2912,Tables!$I$2)), ISNUMBER(FIND($D2912,Tables!$J$2)), $E2912&lt;&gt;"")</f>
        <v>0</v>
      </c>
    </row>
    <row r="2913" spans="1:18" x14ac:dyDescent="0.25">
      <c r="A2913">
        <f>IF(AND(B2913="", D2913&lt;&gt;""), A2912, A2912+1)</f>
        <v>2907</v>
      </c>
      <c r="R2913" t="b">
        <f>AND(ISNUMBER(FIND($E2913,Tables!$I$2)), ISNUMBER(FIND($D2913,Tables!$J$2)), $E2913&lt;&gt;"")</f>
        <v>0</v>
      </c>
    </row>
    <row r="2914" spans="1:18" x14ac:dyDescent="0.25">
      <c r="A2914">
        <f>IF(AND(B2914="", D2914&lt;&gt;""), A2913, A2913+1)</f>
        <v>2908</v>
      </c>
      <c r="R2914" t="b">
        <f>AND(ISNUMBER(FIND($E2914,Tables!$I$2)), ISNUMBER(FIND($D2914,Tables!$J$2)), $E2914&lt;&gt;"")</f>
        <v>0</v>
      </c>
    </row>
    <row r="2915" spans="1:18" x14ac:dyDescent="0.25">
      <c r="A2915">
        <f>IF(AND(B2915="", D2915&lt;&gt;""), A2914, A2914+1)</f>
        <v>2909</v>
      </c>
      <c r="R2915" t="b">
        <f>AND(ISNUMBER(FIND($E2915,Tables!$I$2)), ISNUMBER(FIND($D2915,Tables!$J$2)), $E2915&lt;&gt;"")</f>
        <v>0</v>
      </c>
    </row>
    <row r="2916" spans="1:18" x14ac:dyDescent="0.25">
      <c r="A2916">
        <f>IF(AND(B2916="", D2916&lt;&gt;""), A2915, A2915+1)</f>
        <v>2910</v>
      </c>
      <c r="R2916" t="b">
        <f>AND(ISNUMBER(FIND($E2916,Tables!$I$2)), ISNUMBER(FIND($D2916,Tables!$J$2)), $E2916&lt;&gt;"")</f>
        <v>0</v>
      </c>
    </row>
    <row r="2917" spans="1:18" x14ac:dyDescent="0.25">
      <c r="A2917">
        <f>IF(AND(B2917="", D2917&lt;&gt;""), A2916, A2916+1)</f>
        <v>2911</v>
      </c>
      <c r="R2917" t="b">
        <f>AND(ISNUMBER(FIND($E2917,Tables!$I$2)), ISNUMBER(FIND($D2917,Tables!$J$2)), $E2917&lt;&gt;"")</f>
        <v>0</v>
      </c>
    </row>
    <row r="2918" spans="1:18" x14ac:dyDescent="0.25">
      <c r="A2918">
        <f>IF(AND(B2918="", D2918&lt;&gt;""), A2917, A2917+1)</f>
        <v>2912</v>
      </c>
      <c r="R2918" t="b">
        <f>AND(ISNUMBER(FIND($E2918,Tables!$I$2)), ISNUMBER(FIND($D2918,Tables!$J$2)), $E2918&lt;&gt;"")</f>
        <v>0</v>
      </c>
    </row>
    <row r="2919" spans="1:18" x14ac:dyDescent="0.25">
      <c r="A2919">
        <f>IF(AND(B2919="", D2919&lt;&gt;""), A2918, A2918+1)</f>
        <v>2913</v>
      </c>
      <c r="R2919" t="b">
        <f>AND(ISNUMBER(FIND($E2919,Tables!$I$2)), ISNUMBER(FIND($D2919,Tables!$J$2)), $E2919&lt;&gt;"")</f>
        <v>0</v>
      </c>
    </row>
    <row r="2920" spans="1:18" x14ac:dyDescent="0.25">
      <c r="A2920">
        <f>IF(AND(B2920="", D2920&lt;&gt;""), A2919, A2919+1)</f>
        <v>2914</v>
      </c>
      <c r="R2920" t="b">
        <f>AND(ISNUMBER(FIND($E2920,Tables!$I$2)), ISNUMBER(FIND($D2920,Tables!$J$2)), $E2920&lt;&gt;"")</f>
        <v>0</v>
      </c>
    </row>
    <row r="2921" spans="1:18" x14ac:dyDescent="0.25">
      <c r="A2921">
        <f>IF(AND(B2921="", D2921&lt;&gt;""), A2920, A2920+1)</f>
        <v>2915</v>
      </c>
      <c r="R2921" t="b">
        <f>AND(ISNUMBER(FIND($E2921,Tables!$I$2)), ISNUMBER(FIND($D2921,Tables!$J$2)), $E2921&lt;&gt;"")</f>
        <v>0</v>
      </c>
    </row>
    <row r="2922" spans="1:18" x14ac:dyDescent="0.25">
      <c r="A2922">
        <f>IF(AND(B2922="", D2922&lt;&gt;""), A2921, A2921+1)</f>
        <v>2916</v>
      </c>
      <c r="R2922" t="b">
        <f>AND(ISNUMBER(FIND($E2922,Tables!$I$2)), ISNUMBER(FIND($D2922,Tables!$J$2)), $E2922&lt;&gt;"")</f>
        <v>0</v>
      </c>
    </row>
    <row r="2923" spans="1:18" x14ac:dyDescent="0.25">
      <c r="A2923">
        <f>IF(AND(B2923="", D2923&lt;&gt;""), A2922, A2922+1)</f>
        <v>2917</v>
      </c>
      <c r="R2923" t="b">
        <f>AND(ISNUMBER(FIND($E2923,Tables!$I$2)), ISNUMBER(FIND($D2923,Tables!$J$2)), $E2923&lt;&gt;"")</f>
        <v>0</v>
      </c>
    </row>
    <row r="2924" spans="1:18" x14ac:dyDescent="0.25">
      <c r="A2924">
        <f>IF(AND(B2924="", D2924&lt;&gt;""), A2923, A2923+1)</f>
        <v>2918</v>
      </c>
      <c r="R2924" t="b">
        <f>AND(ISNUMBER(FIND($E2924,Tables!$I$2)), ISNUMBER(FIND($D2924,Tables!$J$2)), $E2924&lt;&gt;"")</f>
        <v>0</v>
      </c>
    </row>
    <row r="2925" spans="1:18" x14ac:dyDescent="0.25">
      <c r="A2925">
        <f>IF(AND(B2925="", D2925&lt;&gt;""), A2924, A2924+1)</f>
        <v>2919</v>
      </c>
      <c r="R2925" t="b">
        <f>AND(ISNUMBER(FIND($E2925,Tables!$I$2)), ISNUMBER(FIND($D2925,Tables!$J$2)), $E2925&lt;&gt;"")</f>
        <v>0</v>
      </c>
    </row>
    <row r="2926" spans="1:18" x14ac:dyDescent="0.25">
      <c r="A2926">
        <f>IF(AND(B2926="", D2926&lt;&gt;""), A2925, A2925+1)</f>
        <v>2920</v>
      </c>
      <c r="R2926" t="b">
        <f>AND(ISNUMBER(FIND($E2926,Tables!$I$2)), ISNUMBER(FIND($D2926,Tables!$J$2)), $E2926&lt;&gt;"")</f>
        <v>0</v>
      </c>
    </row>
    <row r="2927" spans="1:18" x14ac:dyDescent="0.25">
      <c r="A2927">
        <f>IF(AND(B2927="", D2927&lt;&gt;""), A2926, A2926+1)</f>
        <v>2921</v>
      </c>
      <c r="R2927" t="b">
        <f>AND(ISNUMBER(FIND($E2927,Tables!$I$2)), ISNUMBER(FIND($D2927,Tables!$J$2)), $E2927&lt;&gt;"")</f>
        <v>0</v>
      </c>
    </row>
    <row r="2928" spans="1:18" x14ac:dyDescent="0.25">
      <c r="A2928">
        <f>IF(AND(B2928="", D2928&lt;&gt;""), A2927, A2927+1)</f>
        <v>2922</v>
      </c>
      <c r="R2928" t="b">
        <f>AND(ISNUMBER(FIND($E2928,Tables!$I$2)), ISNUMBER(FIND($D2928,Tables!$J$2)), $E2928&lt;&gt;"")</f>
        <v>0</v>
      </c>
    </row>
    <row r="2929" spans="1:18" x14ac:dyDescent="0.25">
      <c r="A2929">
        <f>IF(AND(B2929="", D2929&lt;&gt;""), A2928, A2928+1)</f>
        <v>2923</v>
      </c>
      <c r="R2929" t="b">
        <f>AND(ISNUMBER(FIND($E2929,Tables!$I$2)), ISNUMBER(FIND($D2929,Tables!$J$2)), $E2929&lt;&gt;"")</f>
        <v>0</v>
      </c>
    </row>
    <row r="2930" spans="1:18" x14ac:dyDescent="0.25">
      <c r="A2930">
        <f>IF(AND(B2930="", D2930&lt;&gt;""), A2929, A2929+1)</f>
        <v>2924</v>
      </c>
      <c r="R2930" t="b">
        <f>AND(ISNUMBER(FIND($E2930,Tables!$I$2)), ISNUMBER(FIND($D2930,Tables!$J$2)), $E2930&lt;&gt;"")</f>
        <v>0</v>
      </c>
    </row>
    <row r="2931" spans="1:18" x14ac:dyDescent="0.25">
      <c r="A2931">
        <f>IF(AND(B2931="", D2931&lt;&gt;""), A2930, A2930+1)</f>
        <v>2925</v>
      </c>
      <c r="R2931" t="b">
        <f>AND(ISNUMBER(FIND($E2931,Tables!$I$2)), ISNUMBER(FIND($D2931,Tables!$J$2)), $E2931&lt;&gt;"")</f>
        <v>0</v>
      </c>
    </row>
    <row r="2932" spans="1:18" x14ac:dyDescent="0.25">
      <c r="A2932">
        <f>IF(AND(B2932="", D2932&lt;&gt;""), A2931, A2931+1)</f>
        <v>2926</v>
      </c>
      <c r="R2932" t="b">
        <f>AND(ISNUMBER(FIND($E2932,Tables!$I$2)), ISNUMBER(FIND($D2932,Tables!$J$2)), $E2932&lt;&gt;"")</f>
        <v>0</v>
      </c>
    </row>
    <row r="2933" spans="1:18" x14ac:dyDescent="0.25">
      <c r="A2933">
        <f>IF(AND(B2933="", D2933&lt;&gt;""), A2932, A2932+1)</f>
        <v>2927</v>
      </c>
      <c r="R2933" t="b">
        <f>AND(ISNUMBER(FIND($E2933,Tables!$I$2)), ISNUMBER(FIND($D2933,Tables!$J$2)), $E2933&lt;&gt;"")</f>
        <v>0</v>
      </c>
    </row>
    <row r="2934" spans="1:18" x14ac:dyDescent="0.25">
      <c r="A2934">
        <f>IF(AND(B2934="", D2934&lt;&gt;""), A2933, A2933+1)</f>
        <v>2928</v>
      </c>
      <c r="R2934" t="b">
        <f>AND(ISNUMBER(FIND($E2934,Tables!$I$2)), ISNUMBER(FIND($D2934,Tables!$J$2)), $E2934&lt;&gt;"")</f>
        <v>0</v>
      </c>
    </row>
    <row r="2935" spans="1:18" x14ac:dyDescent="0.25">
      <c r="A2935">
        <f>IF(AND(B2935="", D2935&lt;&gt;""), A2934, A2934+1)</f>
        <v>2929</v>
      </c>
      <c r="R2935" t="b">
        <f>AND(ISNUMBER(FIND($E2935,Tables!$I$2)), ISNUMBER(FIND($D2935,Tables!$J$2)), $E2935&lt;&gt;"")</f>
        <v>0</v>
      </c>
    </row>
    <row r="2936" spans="1:18" x14ac:dyDescent="0.25">
      <c r="A2936">
        <f>IF(AND(B2936="", D2936&lt;&gt;""), A2935, A2935+1)</f>
        <v>2930</v>
      </c>
      <c r="R2936" t="b">
        <f>AND(ISNUMBER(FIND($E2936,Tables!$I$2)), ISNUMBER(FIND($D2936,Tables!$J$2)), $E2936&lt;&gt;"")</f>
        <v>0</v>
      </c>
    </row>
    <row r="2937" spans="1:18" x14ac:dyDescent="0.25">
      <c r="A2937">
        <f>IF(AND(B2937="", D2937&lt;&gt;""), A2936, A2936+1)</f>
        <v>2931</v>
      </c>
      <c r="R2937" t="b">
        <f>AND(ISNUMBER(FIND($E2937,Tables!$I$2)), ISNUMBER(FIND($D2937,Tables!$J$2)), $E2937&lt;&gt;"")</f>
        <v>0</v>
      </c>
    </row>
    <row r="2938" spans="1:18" x14ac:dyDescent="0.25">
      <c r="A2938">
        <f>IF(AND(B2938="", D2938&lt;&gt;""), A2937, A2937+1)</f>
        <v>2932</v>
      </c>
      <c r="R2938" t="b">
        <f>AND(ISNUMBER(FIND($E2938,Tables!$I$2)), ISNUMBER(FIND($D2938,Tables!$J$2)), $E2938&lt;&gt;"")</f>
        <v>0</v>
      </c>
    </row>
    <row r="2939" spans="1:18" x14ac:dyDescent="0.25">
      <c r="A2939">
        <f>IF(AND(B2939="", D2939&lt;&gt;""), A2938, A2938+1)</f>
        <v>2933</v>
      </c>
      <c r="R2939" t="b">
        <f>AND(ISNUMBER(FIND($E2939,Tables!$I$2)), ISNUMBER(FIND($D2939,Tables!$J$2)), $E2939&lt;&gt;"")</f>
        <v>0</v>
      </c>
    </row>
    <row r="2940" spans="1:18" x14ac:dyDescent="0.25">
      <c r="A2940">
        <f>IF(AND(B2940="", D2940&lt;&gt;""), A2939, A2939+1)</f>
        <v>2934</v>
      </c>
      <c r="R2940" t="b">
        <f>AND(ISNUMBER(FIND($E2940,Tables!$I$2)), ISNUMBER(FIND($D2940,Tables!$J$2)), $E2940&lt;&gt;"")</f>
        <v>0</v>
      </c>
    </row>
    <row r="2941" spans="1:18" x14ac:dyDescent="0.25">
      <c r="A2941">
        <f>IF(AND(B2941="", D2941&lt;&gt;""), A2940, A2940+1)</f>
        <v>2935</v>
      </c>
      <c r="R2941" t="b">
        <f>AND(ISNUMBER(FIND($E2941,Tables!$I$2)), ISNUMBER(FIND($D2941,Tables!$J$2)), $E2941&lt;&gt;"")</f>
        <v>0</v>
      </c>
    </row>
    <row r="2942" spans="1:18" x14ac:dyDescent="0.25">
      <c r="A2942">
        <f>IF(AND(B2942="", D2942&lt;&gt;""), A2941, A2941+1)</f>
        <v>2936</v>
      </c>
      <c r="R2942" t="b">
        <f>AND(ISNUMBER(FIND($E2942,Tables!$I$2)), ISNUMBER(FIND($D2942,Tables!$J$2)), $E2942&lt;&gt;"")</f>
        <v>0</v>
      </c>
    </row>
    <row r="2943" spans="1:18" x14ac:dyDescent="0.25">
      <c r="A2943">
        <f>IF(AND(B2943="", D2943&lt;&gt;""), A2942, A2942+1)</f>
        <v>2937</v>
      </c>
      <c r="R2943" t="b">
        <f>AND(ISNUMBER(FIND($E2943,Tables!$I$2)), ISNUMBER(FIND($D2943,Tables!$J$2)), $E2943&lt;&gt;"")</f>
        <v>0</v>
      </c>
    </row>
    <row r="2944" spans="1:18" x14ac:dyDescent="0.25">
      <c r="A2944">
        <f>IF(AND(B2944="", D2944&lt;&gt;""), A2943, A2943+1)</f>
        <v>2938</v>
      </c>
      <c r="R2944" t="b">
        <f>AND(ISNUMBER(FIND($E2944,Tables!$I$2)), ISNUMBER(FIND($D2944,Tables!$J$2)), $E2944&lt;&gt;"")</f>
        <v>0</v>
      </c>
    </row>
    <row r="2945" spans="1:18" x14ac:dyDescent="0.25">
      <c r="A2945">
        <f>IF(AND(B2945="", D2945&lt;&gt;""), A2944, A2944+1)</f>
        <v>2939</v>
      </c>
      <c r="R2945" t="b">
        <f>AND(ISNUMBER(FIND($E2945,Tables!$I$2)), ISNUMBER(FIND($D2945,Tables!$J$2)), $E2945&lt;&gt;"")</f>
        <v>0</v>
      </c>
    </row>
    <row r="2946" spans="1:18" x14ac:dyDescent="0.25">
      <c r="A2946">
        <f>IF(AND(B2946="", D2946&lt;&gt;""), A2945, A2945+1)</f>
        <v>2940</v>
      </c>
      <c r="R2946" t="b">
        <f>AND(ISNUMBER(FIND($E2946,Tables!$I$2)), ISNUMBER(FIND($D2946,Tables!$J$2)), $E2946&lt;&gt;"")</f>
        <v>0</v>
      </c>
    </row>
    <row r="2947" spans="1:18" x14ac:dyDescent="0.25">
      <c r="A2947">
        <f>IF(AND(B2947="", D2947&lt;&gt;""), A2946, A2946+1)</f>
        <v>2941</v>
      </c>
      <c r="R2947" t="b">
        <f>AND(ISNUMBER(FIND($E2947,Tables!$I$2)), ISNUMBER(FIND($D2947,Tables!$J$2)), $E2947&lt;&gt;"")</f>
        <v>0</v>
      </c>
    </row>
    <row r="2948" spans="1:18" x14ac:dyDescent="0.25">
      <c r="A2948">
        <f>IF(AND(B2948="", D2948&lt;&gt;""), A2947, A2947+1)</f>
        <v>2942</v>
      </c>
      <c r="R2948" t="b">
        <f>AND(ISNUMBER(FIND($E2948,Tables!$I$2)), ISNUMBER(FIND($D2948,Tables!$J$2)), $E2948&lt;&gt;"")</f>
        <v>0</v>
      </c>
    </row>
    <row r="2949" spans="1:18" x14ac:dyDescent="0.25">
      <c r="A2949">
        <f>IF(AND(B2949="", D2949&lt;&gt;""), A2948, A2948+1)</f>
        <v>2943</v>
      </c>
      <c r="R2949" t="b">
        <f>AND(ISNUMBER(FIND($E2949,Tables!$I$2)), ISNUMBER(FIND($D2949,Tables!$J$2)), $E2949&lt;&gt;"")</f>
        <v>0</v>
      </c>
    </row>
    <row r="2950" spans="1:18" x14ac:dyDescent="0.25">
      <c r="A2950">
        <f>IF(AND(B2950="", D2950&lt;&gt;""), A2949, A2949+1)</f>
        <v>2944</v>
      </c>
      <c r="R2950" t="b">
        <f>AND(ISNUMBER(FIND($E2950,Tables!$I$2)), ISNUMBER(FIND($D2950,Tables!$J$2)), $E2950&lt;&gt;"")</f>
        <v>0</v>
      </c>
    </row>
    <row r="2951" spans="1:18" x14ac:dyDescent="0.25">
      <c r="A2951">
        <f>IF(AND(B2951="", D2951&lt;&gt;""), A2950, A2950+1)</f>
        <v>2945</v>
      </c>
      <c r="R2951" t="b">
        <f>AND(ISNUMBER(FIND($E2951,Tables!$I$2)), ISNUMBER(FIND($D2951,Tables!$J$2)), $E2951&lt;&gt;"")</f>
        <v>0</v>
      </c>
    </row>
    <row r="2952" spans="1:18" x14ac:dyDescent="0.25">
      <c r="A2952">
        <f>IF(AND(B2952="", D2952&lt;&gt;""), A2951, A2951+1)</f>
        <v>2946</v>
      </c>
      <c r="R2952" t="b">
        <f>AND(ISNUMBER(FIND($E2952,Tables!$I$2)), ISNUMBER(FIND($D2952,Tables!$J$2)), $E2952&lt;&gt;"")</f>
        <v>0</v>
      </c>
    </row>
    <row r="2953" spans="1:18" x14ac:dyDescent="0.25">
      <c r="A2953">
        <f>IF(AND(B2953="", D2953&lt;&gt;""), A2952, A2952+1)</f>
        <v>2947</v>
      </c>
      <c r="R2953" t="b">
        <f>AND(ISNUMBER(FIND($E2953,Tables!$I$2)), ISNUMBER(FIND($D2953,Tables!$J$2)), $E2953&lt;&gt;"")</f>
        <v>0</v>
      </c>
    </row>
    <row r="2954" spans="1:18" x14ac:dyDescent="0.25">
      <c r="A2954">
        <f>IF(AND(B2954="", D2954&lt;&gt;""), A2953, A2953+1)</f>
        <v>2948</v>
      </c>
      <c r="R2954" t="b">
        <f>AND(ISNUMBER(FIND($E2954,Tables!$I$2)), ISNUMBER(FIND($D2954,Tables!$J$2)), $E2954&lt;&gt;"")</f>
        <v>0</v>
      </c>
    </row>
    <row r="2955" spans="1:18" x14ac:dyDescent="0.25">
      <c r="A2955">
        <f>IF(AND(B2955="", D2955&lt;&gt;""), A2954, A2954+1)</f>
        <v>2949</v>
      </c>
      <c r="R2955" t="b">
        <f>AND(ISNUMBER(FIND($E2955,Tables!$I$2)), ISNUMBER(FIND($D2955,Tables!$J$2)), $E2955&lt;&gt;"")</f>
        <v>0</v>
      </c>
    </row>
    <row r="2956" spans="1:18" x14ac:dyDescent="0.25">
      <c r="A2956">
        <f>IF(AND(B2956="", D2956&lt;&gt;""), A2955, A2955+1)</f>
        <v>2950</v>
      </c>
      <c r="R2956" t="b">
        <f>AND(ISNUMBER(FIND($E2956,Tables!$I$2)), ISNUMBER(FIND($D2956,Tables!$J$2)), $E2956&lt;&gt;"")</f>
        <v>0</v>
      </c>
    </row>
    <row r="2957" spans="1:18" x14ac:dyDescent="0.25">
      <c r="A2957">
        <f>IF(AND(B2957="", D2957&lt;&gt;""), A2956, A2956+1)</f>
        <v>2951</v>
      </c>
      <c r="R2957" t="b">
        <f>AND(ISNUMBER(FIND($E2957,Tables!$I$2)), ISNUMBER(FIND($D2957,Tables!$J$2)), $E2957&lt;&gt;"")</f>
        <v>0</v>
      </c>
    </row>
    <row r="2958" spans="1:18" x14ac:dyDescent="0.25">
      <c r="A2958">
        <f>IF(AND(B2958="", D2958&lt;&gt;""), A2957, A2957+1)</f>
        <v>2952</v>
      </c>
      <c r="R2958" t="b">
        <f>AND(ISNUMBER(FIND($E2958,Tables!$I$2)), ISNUMBER(FIND($D2958,Tables!$J$2)), $E2958&lt;&gt;"")</f>
        <v>0</v>
      </c>
    </row>
    <row r="2959" spans="1:18" x14ac:dyDescent="0.25">
      <c r="A2959">
        <f>IF(AND(B2959="", D2959&lt;&gt;""), A2958, A2958+1)</f>
        <v>2953</v>
      </c>
      <c r="R2959" t="b">
        <f>AND(ISNUMBER(FIND($E2959,Tables!$I$2)), ISNUMBER(FIND($D2959,Tables!$J$2)), $E2959&lt;&gt;"")</f>
        <v>0</v>
      </c>
    </row>
    <row r="2960" spans="1:18" x14ac:dyDescent="0.25">
      <c r="A2960">
        <f>IF(AND(B2960="", D2960&lt;&gt;""), A2959, A2959+1)</f>
        <v>2954</v>
      </c>
      <c r="R2960" t="b">
        <f>AND(ISNUMBER(FIND($E2960,Tables!$I$2)), ISNUMBER(FIND($D2960,Tables!$J$2)), $E2960&lt;&gt;"")</f>
        <v>0</v>
      </c>
    </row>
    <row r="2961" spans="1:18" x14ac:dyDescent="0.25">
      <c r="A2961">
        <f>IF(AND(B2961="", D2961&lt;&gt;""), A2960, A2960+1)</f>
        <v>2955</v>
      </c>
      <c r="R2961" t="b">
        <f>AND(ISNUMBER(FIND($E2961,Tables!$I$2)), ISNUMBER(FIND($D2961,Tables!$J$2)), $E2961&lt;&gt;"")</f>
        <v>0</v>
      </c>
    </row>
    <row r="2962" spans="1:18" x14ac:dyDescent="0.25">
      <c r="A2962">
        <f>IF(AND(B2962="", D2962&lt;&gt;""), A2961, A2961+1)</f>
        <v>2956</v>
      </c>
      <c r="R2962" t="b">
        <f>AND(ISNUMBER(FIND($E2962,Tables!$I$2)), ISNUMBER(FIND($D2962,Tables!$J$2)), $E2962&lt;&gt;"")</f>
        <v>0</v>
      </c>
    </row>
    <row r="2963" spans="1:18" x14ac:dyDescent="0.25">
      <c r="A2963">
        <f>IF(AND(B2963="", D2963&lt;&gt;""), A2962, A2962+1)</f>
        <v>2957</v>
      </c>
      <c r="R2963" t="b">
        <f>AND(ISNUMBER(FIND($E2963,Tables!$I$2)), ISNUMBER(FIND($D2963,Tables!$J$2)), $E2963&lt;&gt;"")</f>
        <v>0</v>
      </c>
    </row>
    <row r="2964" spans="1:18" x14ac:dyDescent="0.25">
      <c r="A2964">
        <f>IF(AND(B2964="", D2964&lt;&gt;""), A2963, A2963+1)</f>
        <v>2958</v>
      </c>
      <c r="R2964" t="b">
        <f>AND(ISNUMBER(FIND($E2964,Tables!$I$2)), ISNUMBER(FIND($D2964,Tables!$J$2)), $E2964&lt;&gt;"")</f>
        <v>0</v>
      </c>
    </row>
    <row r="2965" spans="1:18" x14ac:dyDescent="0.25">
      <c r="A2965">
        <f>IF(AND(B2965="", D2965&lt;&gt;""), A2964, A2964+1)</f>
        <v>2959</v>
      </c>
      <c r="R2965" t="b">
        <f>AND(ISNUMBER(FIND($E2965,Tables!$I$2)), ISNUMBER(FIND($D2965,Tables!$J$2)), $E2965&lt;&gt;"")</f>
        <v>0</v>
      </c>
    </row>
    <row r="2966" spans="1:18" x14ac:dyDescent="0.25">
      <c r="A2966">
        <f>IF(AND(B2966="", D2966&lt;&gt;""), A2965, A2965+1)</f>
        <v>2960</v>
      </c>
      <c r="R2966" t="b">
        <f>AND(ISNUMBER(FIND($E2966,Tables!$I$2)), ISNUMBER(FIND($D2966,Tables!$J$2)), $E2966&lt;&gt;"")</f>
        <v>0</v>
      </c>
    </row>
    <row r="2967" spans="1:18" x14ac:dyDescent="0.25">
      <c r="A2967">
        <f>IF(AND(B2967="", D2967&lt;&gt;""), A2966, A2966+1)</f>
        <v>2961</v>
      </c>
      <c r="R2967" t="b">
        <f>AND(ISNUMBER(FIND($E2967,Tables!$I$2)), ISNUMBER(FIND($D2967,Tables!$J$2)), $E2967&lt;&gt;"")</f>
        <v>0</v>
      </c>
    </row>
    <row r="2968" spans="1:18" x14ac:dyDescent="0.25">
      <c r="A2968">
        <f>IF(AND(B2968="", D2968&lt;&gt;""), A2967, A2967+1)</f>
        <v>2962</v>
      </c>
      <c r="R2968" t="b">
        <f>AND(ISNUMBER(FIND($E2968,Tables!$I$2)), ISNUMBER(FIND($D2968,Tables!$J$2)), $E2968&lt;&gt;"")</f>
        <v>0</v>
      </c>
    </row>
    <row r="2969" spans="1:18" x14ac:dyDescent="0.25">
      <c r="A2969">
        <f>IF(AND(B2969="", D2969&lt;&gt;""), A2968, A2968+1)</f>
        <v>2963</v>
      </c>
      <c r="R2969" t="b">
        <f>AND(ISNUMBER(FIND($E2969,Tables!$I$2)), ISNUMBER(FIND($D2969,Tables!$J$2)), $E2969&lt;&gt;"")</f>
        <v>0</v>
      </c>
    </row>
    <row r="2970" spans="1:18" x14ac:dyDescent="0.25">
      <c r="A2970">
        <f>IF(AND(B2970="", D2970&lt;&gt;""), A2969, A2969+1)</f>
        <v>2964</v>
      </c>
      <c r="R2970" t="b">
        <f>AND(ISNUMBER(FIND($E2970,Tables!$I$2)), ISNUMBER(FIND($D2970,Tables!$J$2)), $E2970&lt;&gt;"")</f>
        <v>0</v>
      </c>
    </row>
    <row r="2971" spans="1:18" x14ac:dyDescent="0.25">
      <c r="A2971">
        <f>IF(AND(B2971="", D2971&lt;&gt;""), A2970, A2970+1)</f>
        <v>2965</v>
      </c>
      <c r="R2971" t="b">
        <f>AND(ISNUMBER(FIND($E2971,Tables!$I$2)), ISNUMBER(FIND($D2971,Tables!$J$2)), $E2971&lt;&gt;"")</f>
        <v>0</v>
      </c>
    </row>
    <row r="2972" spans="1:18" x14ac:dyDescent="0.25">
      <c r="A2972">
        <f>IF(AND(B2972="", D2972&lt;&gt;""), A2971, A2971+1)</f>
        <v>2966</v>
      </c>
      <c r="R2972" t="b">
        <f>AND(ISNUMBER(FIND($E2972,Tables!$I$2)), ISNUMBER(FIND($D2972,Tables!$J$2)), $E2972&lt;&gt;"")</f>
        <v>0</v>
      </c>
    </row>
    <row r="2973" spans="1:18" x14ac:dyDescent="0.25">
      <c r="A2973">
        <f>IF(AND(B2973="", D2973&lt;&gt;""), A2972, A2972+1)</f>
        <v>2967</v>
      </c>
      <c r="R2973" t="b">
        <f>AND(ISNUMBER(FIND($E2973,Tables!$I$2)), ISNUMBER(FIND($D2973,Tables!$J$2)), $E2973&lt;&gt;"")</f>
        <v>0</v>
      </c>
    </row>
    <row r="2974" spans="1:18" x14ac:dyDescent="0.25">
      <c r="A2974">
        <f>IF(AND(B2974="", D2974&lt;&gt;""), A2973, A2973+1)</f>
        <v>2968</v>
      </c>
      <c r="R2974" t="b">
        <f>AND(ISNUMBER(FIND($E2974,Tables!$I$2)), ISNUMBER(FIND($D2974,Tables!$J$2)), $E2974&lt;&gt;"")</f>
        <v>0</v>
      </c>
    </row>
    <row r="2975" spans="1:18" x14ac:dyDescent="0.25">
      <c r="A2975">
        <f>IF(AND(B2975="", D2975&lt;&gt;""), A2974, A2974+1)</f>
        <v>2969</v>
      </c>
      <c r="R2975" t="b">
        <f>AND(ISNUMBER(FIND($E2975,Tables!$I$2)), ISNUMBER(FIND($D2975,Tables!$J$2)), $E2975&lt;&gt;"")</f>
        <v>0</v>
      </c>
    </row>
    <row r="2976" spans="1:18" x14ac:dyDescent="0.25">
      <c r="A2976">
        <f>IF(AND(B2976="", D2976&lt;&gt;""), A2975, A2975+1)</f>
        <v>2970</v>
      </c>
      <c r="R2976" t="b">
        <f>AND(ISNUMBER(FIND($E2976,Tables!$I$2)), ISNUMBER(FIND($D2976,Tables!$J$2)), $E2976&lt;&gt;"")</f>
        <v>0</v>
      </c>
    </row>
    <row r="2977" spans="1:18" x14ac:dyDescent="0.25">
      <c r="A2977">
        <f>IF(AND(B2977="", D2977&lt;&gt;""), A2976, A2976+1)</f>
        <v>2971</v>
      </c>
      <c r="R2977" t="b">
        <f>AND(ISNUMBER(FIND($E2977,Tables!$I$2)), ISNUMBER(FIND($D2977,Tables!$J$2)), $E2977&lt;&gt;"")</f>
        <v>0</v>
      </c>
    </row>
    <row r="2978" spans="1:18" x14ac:dyDescent="0.25">
      <c r="A2978">
        <f>IF(AND(B2978="", D2978&lt;&gt;""), A2977, A2977+1)</f>
        <v>2972</v>
      </c>
      <c r="R2978" t="b">
        <f>AND(ISNUMBER(FIND($E2978,Tables!$I$2)), ISNUMBER(FIND($D2978,Tables!$J$2)), $E2978&lt;&gt;"")</f>
        <v>0</v>
      </c>
    </row>
    <row r="2979" spans="1:18" x14ac:dyDescent="0.25">
      <c r="A2979">
        <f>IF(AND(B2979="", D2979&lt;&gt;""), A2978, A2978+1)</f>
        <v>2973</v>
      </c>
      <c r="R2979" t="b">
        <f>AND(ISNUMBER(FIND($E2979,Tables!$I$2)), ISNUMBER(FIND($D2979,Tables!$J$2)), $E2979&lt;&gt;"")</f>
        <v>0</v>
      </c>
    </row>
    <row r="2980" spans="1:18" x14ac:dyDescent="0.25">
      <c r="A2980">
        <f>IF(AND(B2980="", D2980&lt;&gt;""), A2979, A2979+1)</f>
        <v>2974</v>
      </c>
      <c r="R2980" t="b">
        <f>AND(ISNUMBER(FIND($E2980,Tables!$I$2)), ISNUMBER(FIND($D2980,Tables!$J$2)), $E2980&lt;&gt;"")</f>
        <v>0</v>
      </c>
    </row>
    <row r="2981" spans="1:18" x14ac:dyDescent="0.25">
      <c r="A2981">
        <f>IF(AND(B2981="", D2981&lt;&gt;""), A2980, A2980+1)</f>
        <v>2975</v>
      </c>
      <c r="R2981" t="b">
        <f>AND(ISNUMBER(FIND($E2981,Tables!$I$2)), ISNUMBER(FIND($D2981,Tables!$J$2)), $E2981&lt;&gt;"")</f>
        <v>0</v>
      </c>
    </row>
    <row r="2982" spans="1:18" x14ac:dyDescent="0.25">
      <c r="A2982">
        <f>IF(AND(B2982="", D2982&lt;&gt;""), A2981, A2981+1)</f>
        <v>2976</v>
      </c>
      <c r="R2982" t="b">
        <f>AND(ISNUMBER(FIND($E2982,Tables!$I$2)), ISNUMBER(FIND($D2982,Tables!$J$2)), $E2982&lt;&gt;"")</f>
        <v>0</v>
      </c>
    </row>
    <row r="2983" spans="1:18" x14ac:dyDescent="0.25">
      <c r="A2983">
        <f>IF(AND(B2983="", D2983&lt;&gt;""), A2982, A2982+1)</f>
        <v>2977</v>
      </c>
      <c r="R2983" t="b">
        <f>AND(ISNUMBER(FIND($E2983,Tables!$I$2)), ISNUMBER(FIND($D2983,Tables!$J$2)), $E2983&lt;&gt;"")</f>
        <v>0</v>
      </c>
    </row>
    <row r="2984" spans="1:18" x14ac:dyDescent="0.25">
      <c r="A2984">
        <f>IF(AND(B2984="", D2984&lt;&gt;""), A2983, A2983+1)</f>
        <v>2978</v>
      </c>
      <c r="R2984" t="b">
        <f>AND(ISNUMBER(FIND($E2984,Tables!$I$2)), ISNUMBER(FIND($D2984,Tables!$J$2)), $E2984&lt;&gt;"")</f>
        <v>0</v>
      </c>
    </row>
    <row r="2985" spans="1:18" x14ac:dyDescent="0.25">
      <c r="A2985">
        <f>IF(AND(B2985="", D2985&lt;&gt;""), A2984, A2984+1)</f>
        <v>2979</v>
      </c>
      <c r="R2985" t="b">
        <f>AND(ISNUMBER(FIND($E2985,Tables!$I$2)), ISNUMBER(FIND($D2985,Tables!$J$2)), $E2985&lt;&gt;"")</f>
        <v>0</v>
      </c>
    </row>
    <row r="2986" spans="1:18" x14ac:dyDescent="0.25">
      <c r="A2986">
        <f>IF(AND(B2986="", D2986&lt;&gt;""), A2985, A2985+1)</f>
        <v>2980</v>
      </c>
      <c r="R2986" t="b">
        <f>AND(ISNUMBER(FIND($E2986,Tables!$I$2)), ISNUMBER(FIND($D2986,Tables!$J$2)), $E2986&lt;&gt;"")</f>
        <v>0</v>
      </c>
    </row>
    <row r="2987" spans="1:18" x14ac:dyDescent="0.25">
      <c r="A2987">
        <f>IF(AND(B2987="", D2987&lt;&gt;""), A2986, A2986+1)</f>
        <v>2981</v>
      </c>
      <c r="R2987" t="b">
        <f>AND(ISNUMBER(FIND($E2987,Tables!$I$2)), ISNUMBER(FIND($D2987,Tables!$J$2)), $E2987&lt;&gt;"")</f>
        <v>0</v>
      </c>
    </row>
    <row r="2988" spans="1:18" x14ac:dyDescent="0.25">
      <c r="A2988">
        <f>IF(AND(B2988="", D2988&lt;&gt;""), A2987, A2987+1)</f>
        <v>2982</v>
      </c>
      <c r="R2988" t="b">
        <f>AND(ISNUMBER(FIND($E2988,Tables!$I$2)), ISNUMBER(FIND($D2988,Tables!$J$2)), $E2988&lt;&gt;"")</f>
        <v>0</v>
      </c>
    </row>
    <row r="2989" spans="1:18" x14ac:dyDescent="0.25">
      <c r="A2989">
        <f>IF(AND(B2989="", D2989&lt;&gt;""), A2988, A2988+1)</f>
        <v>2983</v>
      </c>
      <c r="R2989" t="b">
        <f>AND(ISNUMBER(FIND($E2989,Tables!$I$2)), ISNUMBER(FIND($D2989,Tables!$J$2)), $E2989&lt;&gt;"")</f>
        <v>0</v>
      </c>
    </row>
    <row r="2990" spans="1:18" x14ac:dyDescent="0.25">
      <c r="A2990">
        <f>IF(AND(B2990="", D2990&lt;&gt;""), A2989, A2989+1)</f>
        <v>2984</v>
      </c>
      <c r="R2990" t="b">
        <f>AND(ISNUMBER(FIND($E2990,Tables!$I$2)), ISNUMBER(FIND($D2990,Tables!$J$2)), $E2990&lt;&gt;"")</f>
        <v>0</v>
      </c>
    </row>
    <row r="2991" spans="1:18" x14ac:dyDescent="0.25">
      <c r="A2991">
        <f>IF(AND(B2991="", D2991&lt;&gt;""), A2990, A2990+1)</f>
        <v>2985</v>
      </c>
      <c r="R2991" t="b">
        <f>AND(ISNUMBER(FIND($E2991,Tables!$I$2)), ISNUMBER(FIND($D2991,Tables!$J$2)), $E2991&lt;&gt;"")</f>
        <v>0</v>
      </c>
    </row>
    <row r="2992" spans="1:18" x14ac:dyDescent="0.25">
      <c r="A2992">
        <f>IF(AND(B2992="", D2992&lt;&gt;""), A2991, A2991+1)</f>
        <v>2986</v>
      </c>
      <c r="R2992" t="b">
        <f>AND(ISNUMBER(FIND($E2992,Tables!$I$2)), ISNUMBER(FIND($D2992,Tables!$J$2)), $E2992&lt;&gt;"")</f>
        <v>0</v>
      </c>
    </row>
    <row r="2993" spans="1:18" x14ac:dyDescent="0.25">
      <c r="A2993">
        <f>IF(AND(B2993="", D2993&lt;&gt;""), A2992, A2992+1)</f>
        <v>2987</v>
      </c>
      <c r="R2993" t="b">
        <f>AND(ISNUMBER(FIND($E2993,Tables!$I$2)), ISNUMBER(FIND($D2993,Tables!$J$2)), $E2993&lt;&gt;"")</f>
        <v>0</v>
      </c>
    </row>
    <row r="2994" spans="1:18" x14ac:dyDescent="0.25">
      <c r="A2994">
        <f>IF(AND(B2994="", D2994&lt;&gt;""), A2993, A2993+1)</f>
        <v>2988</v>
      </c>
      <c r="R2994" t="b">
        <f>AND(ISNUMBER(FIND($E2994,Tables!$I$2)), ISNUMBER(FIND($D2994,Tables!$J$2)), $E2994&lt;&gt;"")</f>
        <v>0</v>
      </c>
    </row>
    <row r="2995" spans="1:18" x14ac:dyDescent="0.25">
      <c r="A2995">
        <f>IF(AND(B2995="", D2995&lt;&gt;""), A2994, A2994+1)</f>
        <v>2989</v>
      </c>
      <c r="R2995" t="b">
        <f>AND(ISNUMBER(FIND($E2995,Tables!$I$2)), ISNUMBER(FIND($D2995,Tables!$J$2)), $E2995&lt;&gt;"")</f>
        <v>0</v>
      </c>
    </row>
    <row r="2996" spans="1:18" x14ac:dyDescent="0.25">
      <c r="A2996">
        <f>IF(AND(B2996="", D2996&lt;&gt;""), A2995, A2995+1)</f>
        <v>2990</v>
      </c>
      <c r="R2996" t="b">
        <f>AND(ISNUMBER(FIND($E2996,Tables!$I$2)), ISNUMBER(FIND($D2996,Tables!$J$2)), $E2996&lt;&gt;"")</f>
        <v>0</v>
      </c>
    </row>
    <row r="2997" spans="1:18" x14ac:dyDescent="0.25">
      <c r="A2997">
        <f>IF(AND(B2997="", D2997&lt;&gt;""), A2996, A2996+1)</f>
        <v>2991</v>
      </c>
      <c r="R2997" t="b">
        <f>AND(ISNUMBER(FIND($E2997,Tables!$I$2)), ISNUMBER(FIND($D2997,Tables!$J$2)), $E2997&lt;&gt;"")</f>
        <v>0</v>
      </c>
    </row>
    <row r="2998" spans="1:18" x14ac:dyDescent="0.25">
      <c r="A2998">
        <f>IF(AND(B2998="", D2998&lt;&gt;""), A2997, A2997+1)</f>
        <v>2992</v>
      </c>
      <c r="R2998" t="b">
        <f>AND(ISNUMBER(FIND($E2998,Tables!$I$2)), ISNUMBER(FIND($D2998,Tables!$J$2)), $E2998&lt;&gt;"")</f>
        <v>0</v>
      </c>
    </row>
    <row r="2999" spans="1:18" x14ac:dyDescent="0.25">
      <c r="A2999">
        <f>IF(AND(B2999="", D2999&lt;&gt;""), A2998, A2998+1)</f>
        <v>2993</v>
      </c>
      <c r="R2999" t="b">
        <f>AND(ISNUMBER(FIND($E2999,Tables!$I$2)), ISNUMBER(FIND($D2999,Tables!$J$2)), $E2999&lt;&gt;"")</f>
        <v>0</v>
      </c>
    </row>
    <row r="3000" spans="1:18" x14ac:dyDescent="0.25">
      <c r="A3000">
        <f>IF(AND(B3000="", D3000&lt;&gt;""), A2999, A2999+1)</f>
        <v>2994</v>
      </c>
      <c r="R3000" t="b">
        <f>AND(ISNUMBER(FIND($E3000,Tables!$I$2)), ISNUMBER(FIND($D3000,Tables!$J$2)), $E3000&lt;&gt;"")</f>
        <v>0</v>
      </c>
    </row>
    <row r="3001" spans="1:18" x14ac:dyDescent="0.25">
      <c r="A3001">
        <f>IF(AND(B3001="", D3001&lt;&gt;""), A3000, A3000+1)</f>
        <v>2995</v>
      </c>
      <c r="R3001" t="b">
        <f>AND(ISNUMBER(FIND($E3001,Tables!$I$2)), ISNUMBER(FIND($D3001,Tables!$J$2)), $E3001&lt;&gt;"")</f>
        <v>0</v>
      </c>
    </row>
    <row r="3002" spans="1:18" x14ac:dyDescent="0.25">
      <c r="A3002">
        <f>IF(AND(B3002="", D3002&lt;&gt;""), A3001, A3001+1)</f>
        <v>2996</v>
      </c>
      <c r="R3002" t="b">
        <f>AND(ISNUMBER(FIND($E3002,Tables!$I$2)), ISNUMBER(FIND($D3002,Tables!$J$2)), $E3002&lt;&gt;"")</f>
        <v>0</v>
      </c>
    </row>
    <row r="3003" spans="1:18" x14ac:dyDescent="0.25">
      <c r="A3003">
        <f>IF(AND(B3003="", D3003&lt;&gt;""), A3002, A3002+1)</f>
        <v>2997</v>
      </c>
      <c r="R3003" t="b">
        <f>AND(ISNUMBER(FIND($E3003,Tables!$I$2)), ISNUMBER(FIND($D3003,Tables!$J$2)), $E3003&lt;&gt;"")</f>
        <v>0</v>
      </c>
    </row>
    <row r="3004" spans="1:18" x14ac:dyDescent="0.25">
      <c r="A3004">
        <f>IF(AND(B3004="", D3004&lt;&gt;""), A3003, A3003+1)</f>
        <v>2998</v>
      </c>
      <c r="R3004" t="b">
        <f>AND(ISNUMBER(FIND($E3004,Tables!$I$2)), ISNUMBER(FIND($D3004,Tables!$J$2)), $E3004&lt;&gt;"")</f>
        <v>0</v>
      </c>
    </row>
    <row r="3005" spans="1:18" x14ac:dyDescent="0.25">
      <c r="A3005">
        <f>IF(AND(B3005="", D3005&lt;&gt;""), A3004, A3004+1)</f>
        <v>2999</v>
      </c>
      <c r="R3005" t="b">
        <f>AND(ISNUMBER(FIND($E3005,Tables!$I$2)), ISNUMBER(FIND($D3005,Tables!$J$2)), $E3005&lt;&gt;"")</f>
        <v>0</v>
      </c>
    </row>
    <row r="3006" spans="1:18" x14ac:dyDescent="0.25">
      <c r="A3006">
        <f>IF(AND(B3006="", D3006&lt;&gt;""), A3005, A3005+1)</f>
        <v>3000</v>
      </c>
      <c r="R3006" t="b">
        <f>AND(ISNUMBER(FIND($E3006,Tables!$I$2)), ISNUMBER(FIND($D3006,Tables!$J$2)), $E3006&lt;&gt;"")</f>
        <v>0</v>
      </c>
    </row>
    <row r="3007" spans="1:18" x14ac:dyDescent="0.25">
      <c r="A3007">
        <f>IF(AND(B3007="", D3007&lt;&gt;""), A3006, A3006+1)</f>
        <v>3001</v>
      </c>
      <c r="R3007" t="b">
        <f>AND(ISNUMBER(FIND($E3007,Tables!$I$2)), ISNUMBER(FIND($D3007,Tables!$J$2)), $E3007&lt;&gt;"")</f>
        <v>0</v>
      </c>
    </row>
    <row r="3008" spans="1:18" x14ac:dyDescent="0.25">
      <c r="A3008">
        <f>IF(AND(B3008="", D3008&lt;&gt;""), A3007, A3007+1)</f>
        <v>3002</v>
      </c>
      <c r="R3008" t="b">
        <f>AND(ISNUMBER(FIND($E3008,Tables!$I$2)), ISNUMBER(FIND($D3008,Tables!$J$2)), $E3008&lt;&gt;"")</f>
        <v>0</v>
      </c>
    </row>
    <row r="3009" spans="1:18" x14ac:dyDescent="0.25">
      <c r="A3009">
        <f>IF(AND(B3009="", D3009&lt;&gt;""), A3008, A3008+1)</f>
        <v>3003</v>
      </c>
      <c r="R3009" t="b">
        <f>AND(ISNUMBER(FIND($E3009,Tables!$I$2)), ISNUMBER(FIND($D3009,Tables!$J$2)), $E3009&lt;&gt;"")</f>
        <v>0</v>
      </c>
    </row>
    <row r="3010" spans="1:18" x14ac:dyDescent="0.25">
      <c r="A3010">
        <f>IF(AND(B3010="", D3010&lt;&gt;""), A3009, A3009+1)</f>
        <v>3004</v>
      </c>
      <c r="R3010" t="b">
        <f>AND(ISNUMBER(FIND($E3010,Tables!$I$2)), ISNUMBER(FIND($D3010,Tables!$J$2)), $E3010&lt;&gt;"")</f>
        <v>0</v>
      </c>
    </row>
    <row r="3011" spans="1:18" x14ac:dyDescent="0.25">
      <c r="A3011">
        <f>IF(AND(B3011="", D3011&lt;&gt;""), A3010, A3010+1)</f>
        <v>3005</v>
      </c>
      <c r="R3011" t="b">
        <f>AND(ISNUMBER(FIND($E3011,Tables!$I$2)), ISNUMBER(FIND($D3011,Tables!$J$2)), $E3011&lt;&gt;"")</f>
        <v>0</v>
      </c>
    </row>
    <row r="3012" spans="1:18" x14ac:dyDescent="0.25">
      <c r="A3012">
        <f>IF(AND(B3012="", D3012&lt;&gt;""), A3011, A3011+1)</f>
        <v>3006</v>
      </c>
      <c r="R3012" t="b">
        <f>AND(ISNUMBER(FIND($E3012,Tables!$I$2)), ISNUMBER(FIND($D3012,Tables!$J$2)), $E3012&lt;&gt;"")</f>
        <v>0</v>
      </c>
    </row>
    <row r="3013" spans="1:18" x14ac:dyDescent="0.25">
      <c r="A3013">
        <f>IF(AND(B3013="", D3013&lt;&gt;""), A3012, A3012+1)</f>
        <v>3007</v>
      </c>
      <c r="R3013" t="b">
        <f>AND(ISNUMBER(FIND($E3013,Tables!$I$2)), ISNUMBER(FIND($D3013,Tables!$J$2)), $E3013&lt;&gt;"")</f>
        <v>0</v>
      </c>
    </row>
    <row r="3014" spans="1:18" x14ac:dyDescent="0.25">
      <c r="A3014">
        <f>IF(AND(B3014="", D3014&lt;&gt;""), A3013, A3013+1)</f>
        <v>3008</v>
      </c>
      <c r="R3014" t="b">
        <f>AND(ISNUMBER(FIND($E3014,Tables!$I$2)), ISNUMBER(FIND($D3014,Tables!$J$2)), $E3014&lt;&gt;"")</f>
        <v>0</v>
      </c>
    </row>
    <row r="3015" spans="1:18" x14ac:dyDescent="0.25">
      <c r="A3015">
        <f>IF(AND(B3015="", D3015&lt;&gt;""), A3014, A3014+1)</f>
        <v>3009</v>
      </c>
      <c r="R3015" t="b">
        <f>AND(ISNUMBER(FIND($E3015,Tables!$I$2)), ISNUMBER(FIND($D3015,Tables!$J$2)), $E3015&lt;&gt;"")</f>
        <v>0</v>
      </c>
    </row>
    <row r="3016" spans="1:18" x14ac:dyDescent="0.25">
      <c r="A3016">
        <f>IF(AND(B3016="", D3016&lt;&gt;""), A3015, A3015+1)</f>
        <v>3010</v>
      </c>
      <c r="R3016" t="b">
        <f>AND(ISNUMBER(FIND($E3016,Tables!$I$2)), ISNUMBER(FIND($D3016,Tables!$J$2)), $E3016&lt;&gt;"")</f>
        <v>0</v>
      </c>
    </row>
    <row r="3017" spans="1:18" x14ac:dyDescent="0.25">
      <c r="A3017">
        <f>IF(AND(B3017="", D3017&lt;&gt;""), A3016, A3016+1)</f>
        <v>3011</v>
      </c>
      <c r="R3017" t="b">
        <f>AND(ISNUMBER(FIND($E3017,Tables!$I$2)), ISNUMBER(FIND($D3017,Tables!$J$2)), $E3017&lt;&gt;"")</f>
        <v>0</v>
      </c>
    </row>
    <row r="3018" spans="1:18" x14ac:dyDescent="0.25">
      <c r="A3018">
        <f>IF(AND(B3018="", D3018&lt;&gt;""), A3017, A3017+1)</f>
        <v>3012</v>
      </c>
      <c r="R3018" t="b">
        <f>AND(ISNUMBER(FIND($E3018,Tables!$I$2)), ISNUMBER(FIND($D3018,Tables!$J$2)), $E3018&lt;&gt;"")</f>
        <v>0</v>
      </c>
    </row>
    <row r="3019" spans="1:18" x14ac:dyDescent="0.25">
      <c r="A3019">
        <f>IF(AND(B3019="", D3019&lt;&gt;""), A3018, A3018+1)</f>
        <v>3013</v>
      </c>
      <c r="R3019" t="b">
        <f>AND(ISNUMBER(FIND($E3019,Tables!$I$2)), ISNUMBER(FIND($D3019,Tables!$J$2)), $E3019&lt;&gt;"")</f>
        <v>0</v>
      </c>
    </row>
    <row r="3020" spans="1:18" x14ac:dyDescent="0.25">
      <c r="A3020">
        <f>IF(AND(B3020="", D3020&lt;&gt;""), A3019, A3019+1)</f>
        <v>3014</v>
      </c>
      <c r="R3020" t="b">
        <f>AND(ISNUMBER(FIND($E3020,Tables!$I$2)), ISNUMBER(FIND($D3020,Tables!$J$2)), $E3020&lt;&gt;"")</f>
        <v>0</v>
      </c>
    </row>
    <row r="3021" spans="1:18" x14ac:dyDescent="0.25">
      <c r="A3021">
        <f>IF(AND(B3021="", D3021&lt;&gt;""), A3020, A3020+1)</f>
        <v>3015</v>
      </c>
      <c r="R3021" t="b">
        <f>AND(ISNUMBER(FIND($E3021,Tables!$I$2)), ISNUMBER(FIND($D3021,Tables!$J$2)), $E3021&lt;&gt;"")</f>
        <v>0</v>
      </c>
    </row>
    <row r="3022" spans="1:18" x14ac:dyDescent="0.25">
      <c r="A3022">
        <f>IF(AND(B3022="", D3022&lt;&gt;""), A3021, A3021+1)</f>
        <v>3016</v>
      </c>
      <c r="R3022" t="b">
        <f>AND(ISNUMBER(FIND($E3022,Tables!$I$2)), ISNUMBER(FIND($D3022,Tables!$J$2)), $E3022&lt;&gt;"")</f>
        <v>0</v>
      </c>
    </row>
    <row r="3023" spans="1:18" x14ac:dyDescent="0.25">
      <c r="A3023">
        <f>IF(AND(B3023="", D3023&lt;&gt;""), A3022, A3022+1)</f>
        <v>3017</v>
      </c>
      <c r="R3023" t="b">
        <f>AND(ISNUMBER(FIND($E3023,Tables!$I$2)), ISNUMBER(FIND($D3023,Tables!$J$2)), $E3023&lt;&gt;"")</f>
        <v>0</v>
      </c>
    </row>
    <row r="3024" spans="1:18" x14ac:dyDescent="0.25">
      <c r="A3024">
        <f>IF(AND(B3024="", D3024&lt;&gt;""), A3023, A3023+1)</f>
        <v>3018</v>
      </c>
      <c r="R3024" t="b">
        <f>AND(ISNUMBER(FIND($E3024,Tables!$I$2)), ISNUMBER(FIND($D3024,Tables!$J$2)), $E3024&lt;&gt;"")</f>
        <v>0</v>
      </c>
    </row>
    <row r="3025" spans="1:18" x14ac:dyDescent="0.25">
      <c r="A3025">
        <f>IF(AND(B3025="", D3025&lt;&gt;""), A3024, A3024+1)</f>
        <v>3019</v>
      </c>
      <c r="R3025" t="b">
        <f>AND(ISNUMBER(FIND($E3025,Tables!$I$2)), ISNUMBER(FIND($D3025,Tables!$J$2)), $E3025&lt;&gt;"")</f>
        <v>0</v>
      </c>
    </row>
    <row r="3026" spans="1:18" x14ac:dyDescent="0.25">
      <c r="A3026">
        <f>IF(AND(B3026="", D3026&lt;&gt;""), A3025, A3025+1)</f>
        <v>3020</v>
      </c>
      <c r="R3026" t="b">
        <f>AND(ISNUMBER(FIND($E3026,Tables!$I$2)), ISNUMBER(FIND($D3026,Tables!$J$2)), $E3026&lt;&gt;"")</f>
        <v>0</v>
      </c>
    </row>
    <row r="3027" spans="1:18" x14ac:dyDescent="0.25">
      <c r="A3027">
        <f>IF(AND(B3027="", D3027&lt;&gt;""), A3026, A3026+1)</f>
        <v>3021</v>
      </c>
      <c r="R3027" t="b">
        <f>AND(ISNUMBER(FIND($E3027,Tables!$I$2)), ISNUMBER(FIND($D3027,Tables!$J$2)), $E3027&lt;&gt;"")</f>
        <v>0</v>
      </c>
    </row>
    <row r="3028" spans="1:18" x14ac:dyDescent="0.25">
      <c r="A3028">
        <f>IF(AND(B3028="", D3028&lt;&gt;""), A3027, A3027+1)</f>
        <v>3022</v>
      </c>
      <c r="R3028" t="b">
        <f>AND(ISNUMBER(FIND($E3028,Tables!$I$2)), ISNUMBER(FIND($D3028,Tables!$J$2)), $E3028&lt;&gt;"")</f>
        <v>0</v>
      </c>
    </row>
    <row r="3029" spans="1:18" x14ac:dyDescent="0.25">
      <c r="A3029">
        <f>IF(AND(B3029="", D3029&lt;&gt;""), A3028, A3028+1)</f>
        <v>3023</v>
      </c>
      <c r="R3029" t="b">
        <f>AND(ISNUMBER(FIND($E3029,Tables!$I$2)), ISNUMBER(FIND($D3029,Tables!$J$2)), $E3029&lt;&gt;"")</f>
        <v>0</v>
      </c>
    </row>
    <row r="3030" spans="1:18" x14ac:dyDescent="0.25">
      <c r="A3030">
        <f>IF(AND(B3030="", D3030&lt;&gt;""), A3029, A3029+1)</f>
        <v>3024</v>
      </c>
      <c r="R3030" t="b">
        <f>AND(ISNUMBER(FIND($E3030,Tables!$I$2)), ISNUMBER(FIND($D3030,Tables!$J$2)), $E3030&lt;&gt;"")</f>
        <v>0</v>
      </c>
    </row>
    <row r="3031" spans="1:18" x14ac:dyDescent="0.25">
      <c r="A3031">
        <f>IF(AND(B3031="", D3031&lt;&gt;""), A3030, A3030+1)</f>
        <v>3025</v>
      </c>
      <c r="R3031" t="b">
        <f>AND(ISNUMBER(FIND($E3031,Tables!$I$2)), ISNUMBER(FIND($D3031,Tables!$J$2)), $E3031&lt;&gt;"")</f>
        <v>0</v>
      </c>
    </row>
    <row r="3032" spans="1:18" x14ac:dyDescent="0.25">
      <c r="A3032">
        <f>IF(AND(B3032="", D3032&lt;&gt;""), A3031, A3031+1)</f>
        <v>3026</v>
      </c>
      <c r="R3032" t="b">
        <f>AND(ISNUMBER(FIND($E3032,Tables!$I$2)), ISNUMBER(FIND($D3032,Tables!$J$2)), $E3032&lt;&gt;"")</f>
        <v>0</v>
      </c>
    </row>
    <row r="3033" spans="1:18" x14ac:dyDescent="0.25">
      <c r="A3033">
        <f>IF(AND(B3033="", D3033&lt;&gt;""), A3032, A3032+1)</f>
        <v>3027</v>
      </c>
      <c r="R3033" t="b">
        <f>AND(ISNUMBER(FIND($E3033,Tables!$I$2)), ISNUMBER(FIND($D3033,Tables!$J$2)), $E3033&lt;&gt;"")</f>
        <v>0</v>
      </c>
    </row>
    <row r="3034" spans="1:18" x14ac:dyDescent="0.25">
      <c r="A3034">
        <f>IF(AND(B3034="", D3034&lt;&gt;""), A3033, A3033+1)</f>
        <v>3028</v>
      </c>
      <c r="R3034" t="b">
        <f>AND(ISNUMBER(FIND($E3034,Tables!$I$2)), ISNUMBER(FIND($D3034,Tables!$J$2)), $E3034&lt;&gt;"")</f>
        <v>0</v>
      </c>
    </row>
    <row r="3035" spans="1:18" x14ac:dyDescent="0.25">
      <c r="A3035">
        <f>IF(AND(B3035="", D3035&lt;&gt;""), A3034, A3034+1)</f>
        <v>3029</v>
      </c>
      <c r="R3035" t="b">
        <f>AND(ISNUMBER(FIND($E3035,Tables!$I$2)), ISNUMBER(FIND($D3035,Tables!$J$2)), $E3035&lt;&gt;"")</f>
        <v>0</v>
      </c>
    </row>
    <row r="3036" spans="1:18" x14ac:dyDescent="0.25">
      <c r="A3036">
        <f>IF(AND(B3036="", D3036&lt;&gt;""), A3035, A3035+1)</f>
        <v>3030</v>
      </c>
      <c r="R3036" t="b">
        <f>AND(ISNUMBER(FIND($E3036,Tables!$I$2)), ISNUMBER(FIND($D3036,Tables!$J$2)), $E3036&lt;&gt;"")</f>
        <v>0</v>
      </c>
    </row>
    <row r="3037" spans="1:18" x14ac:dyDescent="0.25">
      <c r="A3037">
        <f>IF(AND(B3037="", D3037&lt;&gt;""), A3036, A3036+1)</f>
        <v>3031</v>
      </c>
      <c r="R3037" t="b">
        <f>AND(ISNUMBER(FIND($E3037,Tables!$I$2)), ISNUMBER(FIND($D3037,Tables!$J$2)), $E3037&lt;&gt;"")</f>
        <v>0</v>
      </c>
    </row>
    <row r="3038" spans="1:18" x14ac:dyDescent="0.25">
      <c r="A3038">
        <f>IF(AND(B3038="", D3038&lt;&gt;""), A3037, A3037+1)</f>
        <v>3032</v>
      </c>
      <c r="R3038" t="b">
        <f>AND(ISNUMBER(FIND($E3038,Tables!$I$2)), ISNUMBER(FIND($D3038,Tables!$J$2)), $E3038&lt;&gt;"")</f>
        <v>0</v>
      </c>
    </row>
    <row r="3039" spans="1:18" x14ac:dyDescent="0.25">
      <c r="A3039">
        <f>IF(AND(B3039="", D3039&lt;&gt;""), A3038, A3038+1)</f>
        <v>3033</v>
      </c>
      <c r="R3039" t="b">
        <f>AND(ISNUMBER(FIND($E3039,Tables!$I$2)), ISNUMBER(FIND($D3039,Tables!$J$2)), $E3039&lt;&gt;"")</f>
        <v>0</v>
      </c>
    </row>
    <row r="3040" spans="1:18" x14ac:dyDescent="0.25">
      <c r="A3040">
        <f>IF(AND(B3040="", D3040&lt;&gt;""), A3039, A3039+1)</f>
        <v>3034</v>
      </c>
      <c r="R3040" t="b">
        <f>AND(ISNUMBER(FIND($E3040,Tables!$I$2)), ISNUMBER(FIND($D3040,Tables!$J$2)), $E3040&lt;&gt;"")</f>
        <v>0</v>
      </c>
    </row>
    <row r="3041" spans="1:18" x14ac:dyDescent="0.25">
      <c r="A3041">
        <f>IF(AND(B3041="", D3041&lt;&gt;""), A3040, A3040+1)</f>
        <v>3035</v>
      </c>
      <c r="R3041" t="b">
        <f>AND(ISNUMBER(FIND($E3041,Tables!$I$2)), ISNUMBER(FIND($D3041,Tables!$J$2)), $E3041&lt;&gt;"")</f>
        <v>0</v>
      </c>
    </row>
    <row r="3042" spans="1:18" x14ac:dyDescent="0.25">
      <c r="A3042">
        <f>IF(AND(B3042="", D3042&lt;&gt;""), A3041, A3041+1)</f>
        <v>3036</v>
      </c>
      <c r="R3042" t="b">
        <f>AND(ISNUMBER(FIND($E3042,Tables!$I$2)), ISNUMBER(FIND($D3042,Tables!$J$2)), $E3042&lt;&gt;"")</f>
        <v>0</v>
      </c>
    </row>
    <row r="3043" spans="1:18" x14ac:dyDescent="0.25">
      <c r="A3043">
        <f>IF(AND(B3043="", D3043&lt;&gt;""), A3042, A3042+1)</f>
        <v>3037</v>
      </c>
      <c r="R3043" t="b">
        <f>AND(ISNUMBER(FIND($E3043,Tables!$I$2)), ISNUMBER(FIND($D3043,Tables!$J$2)), $E3043&lt;&gt;"")</f>
        <v>0</v>
      </c>
    </row>
    <row r="3044" spans="1:18" x14ac:dyDescent="0.25">
      <c r="A3044">
        <f>IF(AND(B3044="", D3044&lt;&gt;""), A3043, A3043+1)</f>
        <v>3038</v>
      </c>
      <c r="R3044" t="b">
        <f>AND(ISNUMBER(FIND($E3044,Tables!$I$2)), ISNUMBER(FIND($D3044,Tables!$J$2)), $E3044&lt;&gt;"")</f>
        <v>0</v>
      </c>
    </row>
    <row r="3045" spans="1:18" x14ac:dyDescent="0.25">
      <c r="A3045">
        <f>IF(AND(B3045="", D3045&lt;&gt;""), A3044, A3044+1)</f>
        <v>3039</v>
      </c>
      <c r="R3045" t="b">
        <f>AND(ISNUMBER(FIND($E3045,Tables!$I$2)), ISNUMBER(FIND($D3045,Tables!$J$2)), $E3045&lt;&gt;"")</f>
        <v>0</v>
      </c>
    </row>
    <row r="3046" spans="1:18" x14ac:dyDescent="0.25">
      <c r="A3046">
        <f>IF(AND(B3046="", D3046&lt;&gt;""), A3045, A3045+1)</f>
        <v>3040</v>
      </c>
      <c r="R3046" t="b">
        <f>AND(ISNUMBER(FIND($E3046,Tables!$I$2)), ISNUMBER(FIND($D3046,Tables!$J$2)), $E3046&lt;&gt;"")</f>
        <v>0</v>
      </c>
    </row>
    <row r="3047" spans="1:18" x14ac:dyDescent="0.25">
      <c r="A3047">
        <f>IF(AND(B3047="", D3047&lt;&gt;""), A3046, A3046+1)</f>
        <v>3041</v>
      </c>
      <c r="R3047" t="b">
        <f>AND(ISNUMBER(FIND($E3047,Tables!$I$2)), ISNUMBER(FIND($D3047,Tables!$J$2)), $E3047&lt;&gt;"")</f>
        <v>0</v>
      </c>
    </row>
    <row r="3048" spans="1:18" x14ac:dyDescent="0.25">
      <c r="A3048">
        <f>IF(AND(B3048="", D3048&lt;&gt;""), A3047, A3047+1)</f>
        <v>3042</v>
      </c>
      <c r="R3048" t="b">
        <f>AND(ISNUMBER(FIND($E3048,Tables!$I$2)), ISNUMBER(FIND($D3048,Tables!$J$2)), $E3048&lt;&gt;"")</f>
        <v>0</v>
      </c>
    </row>
    <row r="3049" spans="1:18" x14ac:dyDescent="0.25">
      <c r="A3049">
        <f>IF(AND(B3049="", D3049&lt;&gt;""), A3048, A3048+1)</f>
        <v>3043</v>
      </c>
      <c r="R3049" t="b">
        <f>AND(ISNUMBER(FIND($E3049,Tables!$I$2)), ISNUMBER(FIND($D3049,Tables!$J$2)), $E3049&lt;&gt;"")</f>
        <v>0</v>
      </c>
    </row>
    <row r="3050" spans="1:18" x14ac:dyDescent="0.25">
      <c r="A3050">
        <f>IF(AND(B3050="", D3050&lt;&gt;""), A3049, A3049+1)</f>
        <v>3044</v>
      </c>
      <c r="R3050" t="b">
        <f>AND(ISNUMBER(FIND($E3050,Tables!$I$2)), ISNUMBER(FIND($D3050,Tables!$J$2)), $E3050&lt;&gt;"")</f>
        <v>0</v>
      </c>
    </row>
    <row r="3051" spans="1:18" x14ac:dyDescent="0.25">
      <c r="A3051">
        <f>IF(AND(B3051="", D3051&lt;&gt;""), A3050, A3050+1)</f>
        <v>3045</v>
      </c>
      <c r="R3051" t="b">
        <f>AND(ISNUMBER(FIND($E3051,Tables!$I$2)), ISNUMBER(FIND($D3051,Tables!$J$2)), $E3051&lt;&gt;"")</f>
        <v>0</v>
      </c>
    </row>
    <row r="3052" spans="1:18" x14ac:dyDescent="0.25">
      <c r="A3052">
        <f>IF(AND(B3052="", D3052&lt;&gt;""), A3051, A3051+1)</f>
        <v>3046</v>
      </c>
      <c r="R3052" t="b">
        <f>AND(ISNUMBER(FIND($E3052,Tables!$I$2)), ISNUMBER(FIND($D3052,Tables!$J$2)), $E3052&lt;&gt;"")</f>
        <v>0</v>
      </c>
    </row>
    <row r="3053" spans="1:18" x14ac:dyDescent="0.25">
      <c r="A3053">
        <f>IF(AND(B3053="", D3053&lt;&gt;""), A3052, A3052+1)</f>
        <v>3047</v>
      </c>
      <c r="R3053" t="b">
        <f>AND(ISNUMBER(FIND($E3053,Tables!$I$2)), ISNUMBER(FIND($D3053,Tables!$J$2)), $E3053&lt;&gt;"")</f>
        <v>0</v>
      </c>
    </row>
    <row r="3054" spans="1:18" x14ac:dyDescent="0.25">
      <c r="A3054">
        <f>IF(AND(B3054="", D3054&lt;&gt;""), A3053, A3053+1)</f>
        <v>3048</v>
      </c>
      <c r="R3054" t="b">
        <f>AND(ISNUMBER(FIND($E3054,Tables!$I$2)), ISNUMBER(FIND($D3054,Tables!$J$2)), $E3054&lt;&gt;"")</f>
        <v>0</v>
      </c>
    </row>
    <row r="3055" spans="1:18" x14ac:dyDescent="0.25">
      <c r="A3055">
        <f>IF(AND(B3055="", D3055&lt;&gt;""), A3054, A3054+1)</f>
        <v>3049</v>
      </c>
      <c r="R3055" t="b">
        <f>AND(ISNUMBER(FIND($E3055,Tables!$I$2)), ISNUMBER(FIND($D3055,Tables!$J$2)), $E3055&lt;&gt;"")</f>
        <v>0</v>
      </c>
    </row>
    <row r="3056" spans="1:18" x14ac:dyDescent="0.25">
      <c r="A3056">
        <f>IF(AND(B3056="", D3056&lt;&gt;""), A3055, A3055+1)</f>
        <v>3050</v>
      </c>
      <c r="R3056" t="b">
        <f>AND(ISNUMBER(FIND($E3056,Tables!$I$2)), ISNUMBER(FIND($D3056,Tables!$J$2)), $E3056&lt;&gt;"")</f>
        <v>0</v>
      </c>
    </row>
    <row r="3057" spans="1:18" x14ac:dyDescent="0.25">
      <c r="A3057">
        <f>IF(AND(B3057="", D3057&lt;&gt;""), A3056, A3056+1)</f>
        <v>3051</v>
      </c>
      <c r="R3057" t="b">
        <f>AND(ISNUMBER(FIND($E3057,Tables!$I$2)), ISNUMBER(FIND($D3057,Tables!$J$2)), $E3057&lt;&gt;"")</f>
        <v>0</v>
      </c>
    </row>
    <row r="3058" spans="1:18" x14ac:dyDescent="0.25">
      <c r="A3058">
        <f>IF(AND(B3058="", D3058&lt;&gt;""), A3057, A3057+1)</f>
        <v>3052</v>
      </c>
      <c r="R3058" t="b">
        <f>AND(ISNUMBER(FIND($E3058,Tables!$I$2)), ISNUMBER(FIND($D3058,Tables!$J$2)), $E3058&lt;&gt;"")</f>
        <v>0</v>
      </c>
    </row>
    <row r="3059" spans="1:18" x14ac:dyDescent="0.25">
      <c r="A3059">
        <f>IF(AND(B3059="", D3059&lt;&gt;""), A3058, A3058+1)</f>
        <v>3053</v>
      </c>
      <c r="R3059" t="b">
        <f>AND(ISNUMBER(FIND($E3059,Tables!$I$2)), ISNUMBER(FIND($D3059,Tables!$J$2)), $E3059&lt;&gt;"")</f>
        <v>0</v>
      </c>
    </row>
    <row r="3060" spans="1:18" x14ac:dyDescent="0.25">
      <c r="A3060">
        <f>IF(AND(B3060="", D3060&lt;&gt;""), A3059, A3059+1)</f>
        <v>3054</v>
      </c>
      <c r="R3060" t="b">
        <f>AND(ISNUMBER(FIND($E3060,Tables!$I$2)), ISNUMBER(FIND($D3060,Tables!$J$2)), $E3060&lt;&gt;"")</f>
        <v>0</v>
      </c>
    </row>
    <row r="3061" spans="1:18" x14ac:dyDescent="0.25">
      <c r="A3061">
        <f>IF(AND(B3061="", D3061&lt;&gt;""), A3060, A3060+1)</f>
        <v>3055</v>
      </c>
      <c r="R3061" t="b">
        <f>AND(ISNUMBER(FIND($E3061,Tables!$I$2)), ISNUMBER(FIND($D3061,Tables!$J$2)), $E3061&lt;&gt;"")</f>
        <v>0</v>
      </c>
    </row>
    <row r="3062" spans="1:18" x14ac:dyDescent="0.25">
      <c r="A3062">
        <f>IF(AND(B3062="", D3062&lt;&gt;""), A3061, A3061+1)</f>
        <v>3056</v>
      </c>
      <c r="R3062" t="b">
        <f>AND(ISNUMBER(FIND($E3062,Tables!$I$2)), ISNUMBER(FIND($D3062,Tables!$J$2)), $E3062&lt;&gt;"")</f>
        <v>0</v>
      </c>
    </row>
    <row r="3063" spans="1:18" x14ac:dyDescent="0.25">
      <c r="A3063">
        <f>IF(AND(B3063="", D3063&lt;&gt;""), A3062, A3062+1)</f>
        <v>3057</v>
      </c>
      <c r="R3063" t="b">
        <f>AND(ISNUMBER(FIND($E3063,Tables!$I$2)), ISNUMBER(FIND($D3063,Tables!$J$2)), $E3063&lt;&gt;"")</f>
        <v>0</v>
      </c>
    </row>
    <row r="3064" spans="1:18" x14ac:dyDescent="0.25">
      <c r="A3064">
        <f>IF(AND(B3064="", D3064&lt;&gt;""), A3063, A3063+1)</f>
        <v>3058</v>
      </c>
      <c r="R3064" t="b">
        <f>AND(ISNUMBER(FIND($E3064,Tables!$I$2)), ISNUMBER(FIND($D3064,Tables!$J$2)), $E3064&lt;&gt;"")</f>
        <v>0</v>
      </c>
    </row>
    <row r="3065" spans="1:18" x14ac:dyDescent="0.25">
      <c r="A3065">
        <f>IF(AND(B3065="", D3065&lt;&gt;""), A3064, A3064+1)</f>
        <v>3059</v>
      </c>
      <c r="R3065" t="b">
        <f>AND(ISNUMBER(FIND($E3065,Tables!$I$2)), ISNUMBER(FIND($D3065,Tables!$J$2)), $E3065&lt;&gt;"")</f>
        <v>0</v>
      </c>
    </row>
    <row r="3066" spans="1:18" x14ac:dyDescent="0.25">
      <c r="A3066">
        <f>IF(AND(B3066="", D3066&lt;&gt;""), A3065, A3065+1)</f>
        <v>3060</v>
      </c>
      <c r="R3066" t="b">
        <f>AND(ISNUMBER(FIND($E3066,Tables!$I$2)), ISNUMBER(FIND($D3066,Tables!$J$2)), $E3066&lt;&gt;"")</f>
        <v>0</v>
      </c>
    </row>
    <row r="3067" spans="1:18" x14ac:dyDescent="0.25">
      <c r="A3067">
        <f>IF(AND(B3067="", D3067&lt;&gt;""), A3066, A3066+1)</f>
        <v>3061</v>
      </c>
      <c r="R3067" t="b">
        <f>AND(ISNUMBER(FIND($E3067,Tables!$I$2)), ISNUMBER(FIND($D3067,Tables!$J$2)), $E3067&lt;&gt;"")</f>
        <v>0</v>
      </c>
    </row>
    <row r="3068" spans="1:18" x14ac:dyDescent="0.25">
      <c r="A3068">
        <f>IF(AND(B3068="", D3068&lt;&gt;""), A3067, A3067+1)</f>
        <v>3062</v>
      </c>
      <c r="R3068" t="b">
        <f>AND(ISNUMBER(FIND($E3068,Tables!$I$2)), ISNUMBER(FIND($D3068,Tables!$J$2)), $E3068&lt;&gt;"")</f>
        <v>0</v>
      </c>
    </row>
    <row r="3069" spans="1:18" x14ac:dyDescent="0.25">
      <c r="A3069">
        <f>IF(AND(B3069="", D3069&lt;&gt;""), A3068, A3068+1)</f>
        <v>3063</v>
      </c>
      <c r="R3069" t="b">
        <f>AND(ISNUMBER(FIND($E3069,Tables!$I$2)), ISNUMBER(FIND($D3069,Tables!$J$2)), $E3069&lt;&gt;"")</f>
        <v>0</v>
      </c>
    </row>
    <row r="3070" spans="1:18" x14ac:dyDescent="0.25">
      <c r="A3070">
        <f>IF(AND(B3070="", D3070&lt;&gt;""), A3069, A3069+1)</f>
        <v>3064</v>
      </c>
      <c r="R3070" t="b">
        <f>AND(ISNUMBER(FIND($E3070,Tables!$I$2)), ISNUMBER(FIND($D3070,Tables!$J$2)), $E3070&lt;&gt;"")</f>
        <v>0</v>
      </c>
    </row>
    <row r="3071" spans="1:18" x14ac:dyDescent="0.25">
      <c r="A3071">
        <f>IF(AND(B3071="", D3071&lt;&gt;""), A3070, A3070+1)</f>
        <v>3065</v>
      </c>
      <c r="R3071" t="b">
        <f>AND(ISNUMBER(FIND($E3071,Tables!$I$2)), ISNUMBER(FIND($D3071,Tables!$J$2)), $E3071&lt;&gt;"")</f>
        <v>0</v>
      </c>
    </row>
    <row r="3072" spans="1:18" x14ac:dyDescent="0.25">
      <c r="A3072">
        <f>IF(AND(B3072="", D3072&lt;&gt;""), A3071, A3071+1)</f>
        <v>3066</v>
      </c>
      <c r="R3072" t="b">
        <f>AND(ISNUMBER(FIND($E3072,Tables!$I$2)), ISNUMBER(FIND($D3072,Tables!$J$2)), $E3072&lt;&gt;"")</f>
        <v>0</v>
      </c>
    </row>
    <row r="3073" spans="1:18" x14ac:dyDescent="0.25">
      <c r="A3073">
        <f>IF(AND(B3073="", D3073&lt;&gt;""), A3072, A3072+1)</f>
        <v>3067</v>
      </c>
      <c r="R3073" t="b">
        <f>AND(ISNUMBER(FIND($E3073,Tables!$I$2)), ISNUMBER(FIND($D3073,Tables!$J$2)), $E3073&lt;&gt;"")</f>
        <v>0</v>
      </c>
    </row>
    <row r="3074" spans="1:18" x14ac:dyDescent="0.25">
      <c r="A3074">
        <f>IF(AND(B3074="", D3074&lt;&gt;""), A3073, A3073+1)</f>
        <v>3068</v>
      </c>
      <c r="R3074" t="b">
        <f>AND(ISNUMBER(FIND($E3074,Tables!$I$2)), ISNUMBER(FIND($D3074,Tables!$J$2)), $E3074&lt;&gt;"")</f>
        <v>0</v>
      </c>
    </row>
    <row r="3075" spans="1:18" x14ac:dyDescent="0.25">
      <c r="A3075">
        <f>IF(AND(B3075="", D3075&lt;&gt;""), A3074, A3074+1)</f>
        <v>3069</v>
      </c>
      <c r="R3075" t="b">
        <f>AND(ISNUMBER(FIND($E3075,Tables!$I$2)), ISNUMBER(FIND($D3075,Tables!$J$2)), $E3075&lt;&gt;"")</f>
        <v>0</v>
      </c>
    </row>
    <row r="3076" spans="1:18" x14ac:dyDescent="0.25">
      <c r="A3076">
        <f>IF(AND(B3076="", D3076&lt;&gt;""), A3075, A3075+1)</f>
        <v>3070</v>
      </c>
      <c r="R3076" t="b">
        <f>AND(ISNUMBER(FIND($E3076,Tables!$I$2)), ISNUMBER(FIND($D3076,Tables!$J$2)), $E3076&lt;&gt;"")</f>
        <v>0</v>
      </c>
    </row>
    <row r="3077" spans="1:18" x14ac:dyDescent="0.25">
      <c r="A3077">
        <f>IF(AND(B3077="", D3077&lt;&gt;""), A3076, A3076+1)</f>
        <v>3071</v>
      </c>
      <c r="R3077" t="b">
        <f>AND(ISNUMBER(FIND($E3077,Tables!$I$2)), ISNUMBER(FIND($D3077,Tables!$J$2)), $E3077&lt;&gt;"")</f>
        <v>0</v>
      </c>
    </row>
    <row r="3078" spans="1:18" x14ac:dyDescent="0.25">
      <c r="A3078">
        <f>IF(AND(B3078="", D3078&lt;&gt;""), A3077, A3077+1)</f>
        <v>3072</v>
      </c>
      <c r="R3078" t="b">
        <f>AND(ISNUMBER(FIND($E3078,Tables!$I$2)), ISNUMBER(FIND($D3078,Tables!$J$2)), $E3078&lt;&gt;"")</f>
        <v>0</v>
      </c>
    </row>
    <row r="3079" spans="1:18" x14ac:dyDescent="0.25">
      <c r="A3079">
        <f>IF(AND(B3079="", D3079&lt;&gt;""), A3078, A3078+1)</f>
        <v>3073</v>
      </c>
      <c r="R3079" t="b">
        <f>AND(ISNUMBER(FIND($E3079,Tables!$I$2)), ISNUMBER(FIND($D3079,Tables!$J$2)), $E3079&lt;&gt;"")</f>
        <v>0</v>
      </c>
    </row>
    <row r="3080" spans="1:18" x14ac:dyDescent="0.25">
      <c r="A3080">
        <f>IF(AND(B3080="", D3080&lt;&gt;""), A3079, A3079+1)</f>
        <v>3074</v>
      </c>
      <c r="R3080" t="b">
        <f>AND(ISNUMBER(FIND($E3080,Tables!$I$2)), ISNUMBER(FIND($D3080,Tables!$J$2)), $E3080&lt;&gt;"")</f>
        <v>0</v>
      </c>
    </row>
    <row r="3081" spans="1:18" x14ac:dyDescent="0.25">
      <c r="A3081">
        <f>IF(AND(B3081="", D3081&lt;&gt;""), A3080, A3080+1)</f>
        <v>3075</v>
      </c>
      <c r="R3081" t="b">
        <f>AND(ISNUMBER(FIND($E3081,Tables!$I$2)), ISNUMBER(FIND($D3081,Tables!$J$2)), $E3081&lt;&gt;"")</f>
        <v>0</v>
      </c>
    </row>
    <row r="3082" spans="1:18" x14ac:dyDescent="0.25">
      <c r="A3082">
        <f>IF(AND(B3082="", D3082&lt;&gt;""), A3081, A3081+1)</f>
        <v>3076</v>
      </c>
      <c r="R3082" t="b">
        <f>AND(ISNUMBER(FIND($E3082,Tables!$I$2)), ISNUMBER(FIND($D3082,Tables!$J$2)), $E3082&lt;&gt;"")</f>
        <v>0</v>
      </c>
    </row>
    <row r="3083" spans="1:18" x14ac:dyDescent="0.25">
      <c r="A3083">
        <f>IF(AND(B3083="", D3083&lt;&gt;""), A3082, A3082+1)</f>
        <v>3077</v>
      </c>
      <c r="R3083" t="b">
        <f>AND(ISNUMBER(FIND($E3083,Tables!$I$2)), ISNUMBER(FIND($D3083,Tables!$J$2)), $E3083&lt;&gt;"")</f>
        <v>0</v>
      </c>
    </row>
    <row r="3084" spans="1:18" x14ac:dyDescent="0.25">
      <c r="A3084">
        <f>IF(AND(B3084="", D3084&lt;&gt;""), A3083, A3083+1)</f>
        <v>3078</v>
      </c>
      <c r="R3084" t="b">
        <f>AND(ISNUMBER(FIND($E3084,Tables!$I$2)), ISNUMBER(FIND($D3084,Tables!$J$2)), $E3084&lt;&gt;"")</f>
        <v>0</v>
      </c>
    </row>
    <row r="3085" spans="1:18" x14ac:dyDescent="0.25">
      <c r="A3085">
        <f>IF(AND(B3085="", D3085&lt;&gt;""), A3084, A3084+1)</f>
        <v>3079</v>
      </c>
      <c r="R3085" t="b">
        <f>AND(ISNUMBER(FIND($E3085,Tables!$I$2)), ISNUMBER(FIND($D3085,Tables!$J$2)), $E3085&lt;&gt;"")</f>
        <v>0</v>
      </c>
    </row>
    <row r="3086" spans="1:18" x14ac:dyDescent="0.25">
      <c r="A3086">
        <f>IF(AND(B3086="", D3086&lt;&gt;""), A3085, A3085+1)</f>
        <v>3080</v>
      </c>
      <c r="R3086" t="b">
        <f>AND(ISNUMBER(FIND($E3086,Tables!$I$2)), ISNUMBER(FIND($D3086,Tables!$J$2)), $E3086&lt;&gt;"")</f>
        <v>0</v>
      </c>
    </row>
    <row r="3087" spans="1:18" x14ac:dyDescent="0.25">
      <c r="A3087">
        <f>IF(AND(B3087="", D3087&lt;&gt;""), A3086, A3086+1)</f>
        <v>3081</v>
      </c>
      <c r="R3087" t="b">
        <f>AND(ISNUMBER(FIND($E3087,Tables!$I$2)), ISNUMBER(FIND($D3087,Tables!$J$2)), $E3087&lt;&gt;"")</f>
        <v>0</v>
      </c>
    </row>
    <row r="3088" spans="1:18" x14ac:dyDescent="0.25">
      <c r="A3088">
        <f>IF(AND(B3088="", D3088&lt;&gt;""), A3087, A3087+1)</f>
        <v>3082</v>
      </c>
      <c r="R3088" t="b">
        <f>AND(ISNUMBER(FIND($E3088,Tables!$I$2)), ISNUMBER(FIND($D3088,Tables!$J$2)), $E3088&lt;&gt;"")</f>
        <v>0</v>
      </c>
    </row>
    <row r="3089" spans="1:18" x14ac:dyDescent="0.25">
      <c r="A3089">
        <f>IF(AND(B3089="", D3089&lt;&gt;""), A3088, A3088+1)</f>
        <v>3083</v>
      </c>
      <c r="R3089" t="b">
        <f>AND(ISNUMBER(FIND($E3089,Tables!$I$2)), ISNUMBER(FIND($D3089,Tables!$J$2)), $E3089&lt;&gt;"")</f>
        <v>0</v>
      </c>
    </row>
    <row r="3090" spans="1:18" x14ac:dyDescent="0.25">
      <c r="A3090">
        <f>IF(AND(B3090="", D3090&lt;&gt;""), A3089, A3089+1)</f>
        <v>3084</v>
      </c>
      <c r="R3090" t="b">
        <f>AND(ISNUMBER(FIND($E3090,Tables!$I$2)), ISNUMBER(FIND($D3090,Tables!$J$2)), $E3090&lt;&gt;"")</f>
        <v>0</v>
      </c>
    </row>
    <row r="3091" spans="1:18" x14ac:dyDescent="0.25">
      <c r="A3091">
        <f>IF(AND(B3091="", D3091&lt;&gt;""), A3090, A3090+1)</f>
        <v>3085</v>
      </c>
      <c r="R3091" t="b">
        <f>AND(ISNUMBER(FIND($E3091,Tables!$I$2)), ISNUMBER(FIND($D3091,Tables!$J$2)), $E3091&lt;&gt;"")</f>
        <v>0</v>
      </c>
    </row>
    <row r="3092" spans="1:18" x14ac:dyDescent="0.25">
      <c r="A3092">
        <f>IF(AND(B3092="", D3092&lt;&gt;""), A3091, A3091+1)</f>
        <v>3086</v>
      </c>
      <c r="R3092" t="b">
        <f>AND(ISNUMBER(FIND($E3092,Tables!$I$2)), ISNUMBER(FIND($D3092,Tables!$J$2)), $E3092&lt;&gt;"")</f>
        <v>0</v>
      </c>
    </row>
    <row r="3093" spans="1:18" x14ac:dyDescent="0.25">
      <c r="A3093">
        <f>IF(AND(B3093="", D3093&lt;&gt;""), A3092, A3092+1)</f>
        <v>3087</v>
      </c>
      <c r="R3093" t="b">
        <f>AND(ISNUMBER(FIND($E3093,Tables!$I$2)), ISNUMBER(FIND($D3093,Tables!$J$2)), $E3093&lt;&gt;"")</f>
        <v>0</v>
      </c>
    </row>
    <row r="3094" spans="1:18" x14ac:dyDescent="0.25">
      <c r="A3094">
        <f>IF(AND(B3094="", D3094&lt;&gt;""), A3093, A3093+1)</f>
        <v>3088</v>
      </c>
      <c r="R3094" t="b">
        <f>AND(ISNUMBER(FIND($E3094,Tables!$I$2)), ISNUMBER(FIND($D3094,Tables!$J$2)), $E3094&lt;&gt;"")</f>
        <v>0</v>
      </c>
    </row>
    <row r="3095" spans="1:18" x14ac:dyDescent="0.25">
      <c r="A3095">
        <f>IF(AND(B3095="", D3095&lt;&gt;""), A3094, A3094+1)</f>
        <v>3089</v>
      </c>
      <c r="R3095" t="b">
        <f>AND(ISNUMBER(FIND($E3095,Tables!$I$2)), ISNUMBER(FIND($D3095,Tables!$J$2)), $E3095&lt;&gt;"")</f>
        <v>0</v>
      </c>
    </row>
    <row r="3096" spans="1:18" x14ac:dyDescent="0.25">
      <c r="A3096">
        <f>IF(AND(B3096="", D3096&lt;&gt;""), A3095, A3095+1)</f>
        <v>3090</v>
      </c>
      <c r="R3096" t="b">
        <f>AND(ISNUMBER(FIND($E3096,Tables!$I$2)), ISNUMBER(FIND($D3096,Tables!$J$2)), $E3096&lt;&gt;"")</f>
        <v>0</v>
      </c>
    </row>
    <row r="3097" spans="1:18" x14ac:dyDescent="0.25">
      <c r="A3097">
        <f>IF(AND(B3097="", D3097&lt;&gt;""), A3096, A3096+1)</f>
        <v>3091</v>
      </c>
      <c r="R3097" t="b">
        <f>AND(ISNUMBER(FIND($E3097,Tables!$I$2)), ISNUMBER(FIND($D3097,Tables!$J$2)), $E3097&lt;&gt;"")</f>
        <v>0</v>
      </c>
    </row>
    <row r="3098" spans="1:18" x14ac:dyDescent="0.25">
      <c r="A3098">
        <f>IF(AND(B3098="", D3098&lt;&gt;""), A3097, A3097+1)</f>
        <v>3092</v>
      </c>
      <c r="R3098" t="b">
        <f>AND(ISNUMBER(FIND($E3098,Tables!$I$2)), ISNUMBER(FIND($D3098,Tables!$J$2)), $E3098&lt;&gt;"")</f>
        <v>0</v>
      </c>
    </row>
    <row r="3099" spans="1:18" x14ac:dyDescent="0.25">
      <c r="A3099">
        <f>IF(AND(B3099="", D3099&lt;&gt;""), A3098, A3098+1)</f>
        <v>3093</v>
      </c>
      <c r="R3099" t="b">
        <f>AND(ISNUMBER(FIND($E3099,Tables!$I$2)), ISNUMBER(FIND($D3099,Tables!$J$2)), $E3099&lt;&gt;"")</f>
        <v>0</v>
      </c>
    </row>
    <row r="3100" spans="1:18" x14ac:dyDescent="0.25">
      <c r="A3100">
        <f>IF(AND(B3100="", D3100&lt;&gt;""), A3099, A3099+1)</f>
        <v>3094</v>
      </c>
      <c r="R3100" t="b">
        <f>AND(ISNUMBER(FIND($E3100,Tables!$I$2)), ISNUMBER(FIND($D3100,Tables!$J$2)), $E3100&lt;&gt;"")</f>
        <v>0</v>
      </c>
    </row>
    <row r="3101" spans="1:18" x14ac:dyDescent="0.25">
      <c r="A3101">
        <f>IF(AND(B3101="", D3101&lt;&gt;""), A3100, A3100+1)</f>
        <v>3095</v>
      </c>
      <c r="R3101" t="b">
        <f>AND(ISNUMBER(FIND($E3101,Tables!$I$2)), ISNUMBER(FIND($D3101,Tables!$J$2)), $E3101&lt;&gt;"")</f>
        <v>0</v>
      </c>
    </row>
    <row r="3102" spans="1:18" x14ac:dyDescent="0.25">
      <c r="A3102">
        <f>IF(AND(B3102="", D3102&lt;&gt;""), A3101, A3101+1)</f>
        <v>3096</v>
      </c>
      <c r="R3102" t="b">
        <f>AND(ISNUMBER(FIND($E3102,Tables!$I$2)), ISNUMBER(FIND($D3102,Tables!$J$2)), $E3102&lt;&gt;"")</f>
        <v>0</v>
      </c>
    </row>
    <row r="3103" spans="1:18" x14ac:dyDescent="0.25">
      <c r="A3103">
        <f>IF(AND(B3103="", D3103&lt;&gt;""), A3102, A3102+1)</f>
        <v>3097</v>
      </c>
      <c r="R3103" t="b">
        <f>AND(ISNUMBER(FIND($E3103,Tables!$I$2)), ISNUMBER(FIND($D3103,Tables!$J$2)), $E3103&lt;&gt;"")</f>
        <v>0</v>
      </c>
    </row>
    <row r="3104" spans="1:18" x14ac:dyDescent="0.25">
      <c r="A3104">
        <f>IF(AND(B3104="", D3104&lt;&gt;""), A3103, A3103+1)</f>
        <v>3098</v>
      </c>
      <c r="R3104" t="b">
        <f>AND(ISNUMBER(FIND($E3104,Tables!$I$2)), ISNUMBER(FIND($D3104,Tables!$J$2)), $E3104&lt;&gt;"")</f>
        <v>0</v>
      </c>
    </row>
    <row r="3105" spans="1:18" x14ac:dyDescent="0.25">
      <c r="A3105">
        <f>IF(AND(B3105="", D3105&lt;&gt;""), A3104, A3104+1)</f>
        <v>3099</v>
      </c>
      <c r="R3105" t="b">
        <f>AND(ISNUMBER(FIND($E3105,Tables!$I$2)), ISNUMBER(FIND($D3105,Tables!$J$2)), $E3105&lt;&gt;"")</f>
        <v>0</v>
      </c>
    </row>
    <row r="3106" spans="1:18" x14ac:dyDescent="0.25">
      <c r="A3106">
        <f>IF(AND(B3106="", D3106&lt;&gt;""), A3105, A3105+1)</f>
        <v>3100</v>
      </c>
      <c r="R3106" t="b">
        <f>AND(ISNUMBER(FIND($E3106,Tables!$I$2)), ISNUMBER(FIND($D3106,Tables!$J$2)), $E3106&lt;&gt;"")</f>
        <v>0</v>
      </c>
    </row>
    <row r="3107" spans="1:18" x14ac:dyDescent="0.25">
      <c r="A3107">
        <f>IF(AND(B3107="", D3107&lt;&gt;""), A3106, A3106+1)</f>
        <v>3101</v>
      </c>
      <c r="R3107" t="b">
        <f>AND(ISNUMBER(FIND($E3107,Tables!$I$2)), ISNUMBER(FIND($D3107,Tables!$J$2)), $E3107&lt;&gt;"")</f>
        <v>0</v>
      </c>
    </row>
    <row r="3108" spans="1:18" x14ac:dyDescent="0.25">
      <c r="A3108">
        <f>IF(AND(B3108="", D3108&lt;&gt;""), A3107, A3107+1)</f>
        <v>3102</v>
      </c>
      <c r="R3108" t="b">
        <f>AND(ISNUMBER(FIND($E3108,Tables!$I$2)), ISNUMBER(FIND($D3108,Tables!$J$2)), $E3108&lt;&gt;"")</f>
        <v>0</v>
      </c>
    </row>
    <row r="3109" spans="1:18" x14ac:dyDescent="0.25">
      <c r="A3109">
        <f>IF(AND(B3109="", D3109&lt;&gt;""), A3108, A3108+1)</f>
        <v>3103</v>
      </c>
      <c r="R3109" t="b">
        <f>AND(ISNUMBER(FIND($E3109,Tables!$I$2)), ISNUMBER(FIND($D3109,Tables!$J$2)), $E3109&lt;&gt;"")</f>
        <v>0</v>
      </c>
    </row>
    <row r="3110" spans="1:18" x14ac:dyDescent="0.25">
      <c r="A3110">
        <f>IF(AND(B3110="", D3110&lt;&gt;""), A3109, A3109+1)</f>
        <v>3104</v>
      </c>
      <c r="R3110" t="b">
        <f>AND(ISNUMBER(FIND($E3110,Tables!$I$2)), ISNUMBER(FIND($D3110,Tables!$J$2)), $E3110&lt;&gt;"")</f>
        <v>0</v>
      </c>
    </row>
    <row r="3111" spans="1:18" x14ac:dyDescent="0.25">
      <c r="A3111">
        <f>IF(AND(B3111="", D3111&lt;&gt;""), A3110, A3110+1)</f>
        <v>3105</v>
      </c>
      <c r="R3111" t="b">
        <f>AND(ISNUMBER(FIND($E3111,Tables!$I$2)), ISNUMBER(FIND($D3111,Tables!$J$2)), $E3111&lt;&gt;"")</f>
        <v>0</v>
      </c>
    </row>
    <row r="3112" spans="1:18" x14ac:dyDescent="0.25">
      <c r="A3112">
        <f>IF(AND(B3112="", D3112&lt;&gt;""), A3111, A3111+1)</f>
        <v>3106</v>
      </c>
      <c r="R3112" t="b">
        <f>AND(ISNUMBER(FIND($E3112,Tables!$I$2)), ISNUMBER(FIND($D3112,Tables!$J$2)), $E3112&lt;&gt;"")</f>
        <v>0</v>
      </c>
    </row>
    <row r="3113" spans="1:18" x14ac:dyDescent="0.25">
      <c r="A3113">
        <f>IF(AND(B3113="", D3113&lt;&gt;""), A3112, A3112+1)</f>
        <v>3107</v>
      </c>
      <c r="R3113" t="b">
        <f>AND(ISNUMBER(FIND($E3113,Tables!$I$2)), ISNUMBER(FIND($D3113,Tables!$J$2)), $E3113&lt;&gt;"")</f>
        <v>0</v>
      </c>
    </row>
    <row r="3114" spans="1:18" x14ac:dyDescent="0.25">
      <c r="A3114">
        <f>IF(AND(B3114="", D3114&lt;&gt;""), A3113, A3113+1)</f>
        <v>3108</v>
      </c>
      <c r="R3114" t="b">
        <f>AND(ISNUMBER(FIND($E3114,Tables!$I$2)), ISNUMBER(FIND($D3114,Tables!$J$2)), $E3114&lt;&gt;"")</f>
        <v>0</v>
      </c>
    </row>
    <row r="3115" spans="1:18" x14ac:dyDescent="0.25">
      <c r="A3115">
        <f>IF(AND(B3115="", D3115&lt;&gt;""), A3114, A3114+1)</f>
        <v>3109</v>
      </c>
      <c r="R3115" t="b">
        <f>AND(ISNUMBER(FIND($E3115,Tables!$I$2)), ISNUMBER(FIND($D3115,Tables!$J$2)), $E3115&lt;&gt;"")</f>
        <v>0</v>
      </c>
    </row>
    <row r="3116" spans="1:18" x14ac:dyDescent="0.25">
      <c r="A3116">
        <f>IF(AND(B3116="", D3116&lt;&gt;""), A3115, A3115+1)</f>
        <v>3110</v>
      </c>
      <c r="R3116" t="b">
        <f>AND(ISNUMBER(FIND($E3116,Tables!$I$2)), ISNUMBER(FIND($D3116,Tables!$J$2)), $E3116&lt;&gt;"")</f>
        <v>0</v>
      </c>
    </row>
    <row r="3117" spans="1:18" x14ac:dyDescent="0.25">
      <c r="A3117">
        <f>IF(AND(B3117="", D3117&lt;&gt;""), A3116, A3116+1)</f>
        <v>3111</v>
      </c>
      <c r="R3117" t="b">
        <f>AND(ISNUMBER(FIND($E3117,Tables!$I$2)), ISNUMBER(FIND($D3117,Tables!$J$2)), $E3117&lt;&gt;"")</f>
        <v>0</v>
      </c>
    </row>
    <row r="3118" spans="1:18" x14ac:dyDescent="0.25">
      <c r="A3118">
        <f>IF(AND(B3118="", D3118&lt;&gt;""), A3117, A3117+1)</f>
        <v>3112</v>
      </c>
      <c r="R3118" t="b">
        <f>AND(ISNUMBER(FIND($E3118,Tables!$I$2)), ISNUMBER(FIND($D3118,Tables!$J$2)), $E3118&lt;&gt;"")</f>
        <v>0</v>
      </c>
    </row>
    <row r="3119" spans="1:18" x14ac:dyDescent="0.25">
      <c r="A3119">
        <f>IF(AND(B3119="", D3119&lt;&gt;""), A3118, A3118+1)</f>
        <v>3113</v>
      </c>
      <c r="R3119" t="b">
        <f>AND(ISNUMBER(FIND($E3119,Tables!$I$2)), ISNUMBER(FIND($D3119,Tables!$J$2)), $E3119&lt;&gt;"")</f>
        <v>0</v>
      </c>
    </row>
    <row r="3120" spans="1:18" x14ac:dyDescent="0.25">
      <c r="A3120">
        <f>IF(AND(B3120="", D3120&lt;&gt;""), A3119, A3119+1)</f>
        <v>3114</v>
      </c>
      <c r="R3120" t="b">
        <f>AND(ISNUMBER(FIND($E3120,Tables!$I$2)), ISNUMBER(FIND($D3120,Tables!$J$2)), $E3120&lt;&gt;"")</f>
        <v>0</v>
      </c>
    </row>
    <row r="3121" spans="1:18" x14ac:dyDescent="0.25">
      <c r="A3121">
        <f>IF(AND(B3121="", D3121&lt;&gt;""), A3120, A3120+1)</f>
        <v>3115</v>
      </c>
      <c r="R3121" t="b">
        <f>AND(ISNUMBER(FIND($E3121,Tables!$I$2)), ISNUMBER(FIND($D3121,Tables!$J$2)), $E3121&lt;&gt;"")</f>
        <v>0</v>
      </c>
    </row>
    <row r="3122" spans="1:18" x14ac:dyDescent="0.25">
      <c r="A3122">
        <f>IF(AND(B3122="", D3122&lt;&gt;""), A3121, A3121+1)</f>
        <v>3116</v>
      </c>
      <c r="R3122" t="b">
        <f>AND(ISNUMBER(FIND($E3122,Tables!$I$2)), ISNUMBER(FIND($D3122,Tables!$J$2)), $E3122&lt;&gt;"")</f>
        <v>0</v>
      </c>
    </row>
    <row r="3123" spans="1:18" x14ac:dyDescent="0.25">
      <c r="A3123">
        <f>IF(AND(B3123="", D3123&lt;&gt;""), A3122, A3122+1)</f>
        <v>3117</v>
      </c>
      <c r="R3123" t="b">
        <f>AND(ISNUMBER(FIND($E3123,Tables!$I$2)), ISNUMBER(FIND($D3123,Tables!$J$2)), $E3123&lt;&gt;"")</f>
        <v>0</v>
      </c>
    </row>
    <row r="3124" spans="1:18" x14ac:dyDescent="0.25">
      <c r="A3124">
        <f>IF(AND(B3124="", D3124&lt;&gt;""), A3123, A3123+1)</f>
        <v>3118</v>
      </c>
      <c r="R3124" t="b">
        <f>AND(ISNUMBER(FIND($E3124,Tables!$I$2)), ISNUMBER(FIND($D3124,Tables!$J$2)), $E3124&lt;&gt;"")</f>
        <v>0</v>
      </c>
    </row>
    <row r="3125" spans="1:18" x14ac:dyDescent="0.25">
      <c r="A3125">
        <f>IF(AND(B3125="", D3125&lt;&gt;""), A3124, A3124+1)</f>
        <v>3119</v>
      </c>
      <c r="R3125" t="b">
        <f>AND(ISNUMBER(FIND($E3125,Tables!$I$2)), ISNUMBER(FIND($D3125,Tables!$J$2)), $E3125&lt;&gt;"")</f>
        <v>0</v>
      </c>
    </row>
    <row r="3126" spans="1:18" x14ac:dyDescent="0.25">
      <c r="A3126">
        <f>IF(AND(B3126="", D3126&lt;&gt;""), A3125, A3125+1)</f>
        <v>3120</v>
      </c>
      <c r="R3126" t="b">
        <f>AND(ISNUMBER(FIND($E3126,Tables!$I$2)), ISNUMBER(FIND($D3126,Tables!$J$2)), $E3126&lt;&gt;"")</f>
        <v>0</v>
      </c>
    </row>
    <row r="3127" spans="1:18" x14ac:dyDescent="0.25">
      <c r="A3127">
        <f>IF(AND(B3127="", D3127&lt;&gt;""), A3126, A3126+1)</f>
        <v>3121</v>
      </c>
      <c r="R3127" t="b">
        <f>AND(ISNUMBER(FIND($E3127,Tables!$I$2)), ISNUMBER(FIND($D3127,Tables!$J$2)), $E3127&lt;&gt;"")</f>
        <v>0</v>
      </c>
    </row>
    <row r="3128" spans="1:18" x14ac:dyDescent="0.25">
      <c r="A3128">
        <f>IF(AND(B3128="", D3128&lt;&gt;""), A3127, A3127+1)</f>
        <v>3122</v>
      </c>
      <c r="R3128" t="b">
        <f>AND(ISNUMBER(FIND($E3128,Tables!$I$2)), ISNUMBER(FIND($D3128,Tables!$J$2)), $E3128&lt;&gt;"")</f>
        <v>0</v>
      </c>
    </row>
    <row r="3129" spans="1:18" x14ac:dyDescent="0.25">
      <c r="A3129">
        <f>IF(AND(B3129="", D3129&lt;&gt;""), A3128, A3128+1)</f>
        <v>3123</v>
      </c>
      <c r="R3129" t="b">
        <f>AND(ISNUMBER(FIND($E3129,Tables!$I$2)), ISNUMBER(FIND($D3129,Tables!$J$2)), $E3129&lt;&gt;"")</f>
        <v>0</v>
      </c>
    </row>
    <row r="3130" spans="1:18" x14ac:dyDescent="0.25">
      <c r="A3130">
        <f>IF(AND(B3130="", D3130&lt;&gt;""), A3129, A3129+1)</f>
        <v>3124</v>
      </c>
      <c r="R3130" t="b">
        <f>AND(ISNUMBER(FIND($E3130,Tables!$I$2)), ISNUMBER(FIND($D3130,Tables!$J$2)), $E3130&lt;&gt;"")</f>
        <v>0</v>
      </c>
    </row>
    <row r="3131" spans="1:18" x14ac:dyDescent="0.25">
      <c r="A3131">
        <f>IF(AND(B3131="", D3131&lt;&gt;""), A3130, A3130+1)</f>
        <v>3125</v>
      </c>
      <c r="R3131" t="b">
        <f>AND(ISNUMBER(FIND($E3131,Tables!$I$2)), ISNUMBER(FIND($D3131,Tables!$J$2)), $E3131&lt;&gt;"")</f>
        <v>0</v>
      </c>
    </row>
    <row r="3132" spans="1:18" x14ac:dyDescent="0.25">
      <c r="A3132">
        <f>IF(AND(B3132="", D3132&lt;&gt;""), A3131, A3131+1)</f>
        <v>3126</v>
      </c>
      <c r="R3132" t="b">
        <f>AND(ISNUMBER(FIND($E3132,Tables!$I$2)), ISNUMBER(FIND($D3132,Tables!$J$2)), $E3132&lt;&gt;"")</f>
        <v>0</v>
      </c>
    </row>
    <row r="3133" spans="1:18" x14ac:dyDescent="0.25">
      <c r="A3133">
        <f>IF(AND(B3133="", D3133&lt;&gt;""), A3132, A3132+1)</f>
        <v>3127</v>
      </c>
      <c r="R3133" t="b">
        <f>AND(ISNUMBER(FIND($E3133,Tables!$I$2)), ISNUMBER(FIND($D3133,Tables!$J$2)), $E3133&lt;&gt;"")</f>
        <v>0</v>
      </c>
    </row>
    <row r="3134" spans="1:18" x14ac:dyDescent="0.25">
      <c r="A3134">
        <f>IF(AND(B3134="", D3134&lt;&gt;""), A3133, A3133+1)</f>
        <v>3128</v>
      </c>
      <c r="R3134" t="b">
        <f>AND(ISNUMBER(FIND($E3134,Tables!$I$2)), ISNUMBER(FIND($D3134,Tables!$J$2)), $E3134&lt;&gt;"")</f>
        <v>0</v>
      </c>
    </row>
    <row r="3135" spans="1:18" x14ac:dyDescent="0.25">
      <c r="A3135">
        <f>IF(AND(B3135="", D3135&lt;&gt;""), A3134, A3134+1)</f>
        <v>3129</v>
      </c>
      <c r="R3135" t="b">
        <f>AND(ISNUMBER(FIND($E3135,Tables!$I$2)), ISNUMBER(FIND($D3135,Tables!$J$2)), $E3135&lt;&gt;"")</f>
        <v>0</v>
      </c>
    </row>
    <row r="3136" spans="1:18" x14ac:dyDescent="0.25">
      <c r="A3136">
        <f>IF(AND(B3136="", D3136&lt;&gt;""), A3135, A3135+1)</f>
        <v>3130</v>
      </c>
      <c r="R3136" t="b">
        <f>AND(ISNUMBER(FIND($E3136,Tables!$I$2)), ISNUMBER(FIND($D3136,Tables!$J$2)), $E3136&lt;&gt;"")</f>
        <v>0</v>
      </c>
    </row>
    <row r="3137" spans="1:18" x14ac:dyDescent="0.25">
      <c r="A3137">
        <f>IF(AND(B3137="", D3137&lt;&gt;""), A3136, A3136+1)</f>
        <v>3131</v>
      </c>
      <c r="R3137" t="b">
        <f>AND(ISNUMBER(FIND($E3137,Tables!$I$2)), ISNUMBER(FIND($D3137,Tables!$J$2)), $E3137&lt;&gt;"")</f>
        <v>0</v>
      </c>
    </row>
    <row r="3138" spans="1:18" x14ac:dyDescent="0.25">
      <c r="A3138">
        <f>IF(AND(B3138="", D3138&lt;&gt;""), A3137, A3137+1)</f>
        <v>3132</v>
      </c>
      <c r="R3138" t="b">
        <f>AND(ISNUMBER(FIND($E3138,Tables!$I$2)), ISNUMBER(FIND($D3138,Tables!$J$2)), $E3138&lt;&gt;"")</f>
        <v>0</v>
      </c>
    </row>
    <row r="3139" spans="1:18" x14ac:dyDescent="0.25">
      <c r="A3139">
        <f>IF(AND(B3139="", D3139&lt;&gt;""), A3138, A3138+1)</f>
        <v>3133</v>
      </c>
      <c r="R3139" t="b">
        <f>AND(ISNUMBER(FIND($E3139,Tables!$I$2)), ISNUMBER(FIND($D3139,Tables!$J$2)), $E3139&lt;&gt;"")</f>
        <v>0</v>
      </c>
    </row>
    <row r="3140" spans="1:18" x14ac:dyDescent="0.25">
      <c r="A3140">
        <f>IF(AND(B3140="", D3140&lt;&gt;""), A3139, A3139+1)</f>
        <v>3134</v>
      </c>
      <c r="R3140" t="b">
        <f>AND(ISNUMBER(FIND($E3140,Tables!$I$2)), ISNUMBER(FIND($D3140,Tables!$J$2)), $E3140&lt;&gt;"")</f>
        <v>0</v>
      </c>
    </row>
    <row r="3141" spans="1:18" x14ac:dyDescent="0.25">
      <c r="A3141">
        <f>IF(AND(B3141="", D3141&lt;&gt;""), A3140, A3140+1)</f>
        <v>3135</v>
      </c>
      <c r="R3141" t="b">
        <f>AND(ISNUMBER(FIND($E3141,Tables!$I$2)), ISNUMBER(FIND($D3141,Tables!$J$2)), $E3141&lt;&gt;"")</f>
        <v>0</v>
      </c>
    </row>
    <row r="3142" spans="1:18" x14ac:dyDescent="0.25">
      <c r="A3142">
        <f>IF(AND(B3142="", D3142&lt;&gt;""), A3141, A3141+1)</f>
        <v>3136</v>
      </c>
      <c r="R3142" t="b">
        <f>AND(ISNUMBER(FIND($E3142,Tables!$I$2)), ISNUMBER(FIND($D3142,Tables!$J$2)), $E3142&lt;&gt;"")</f>
        <v>0</v>
      </c>
    </row>
    <row r="3143" spans="1:18" x14ac:dyDescent="0.25">
      <c r="A3143">
        <f>IF(AND(B3143="", D3143&lt;&gt;""), A3142, A3142+1)</f>
        <v>3137</v>
      </c>
      <c r="R3143" t="b">
        <f>AND(ISNUMBER(FIND($E3143,Tables!$I$2)), ISNUMBER(FIND($D3143,Tables!$J$2)), $E3143&lt;&gt;"")</f>
        <v>0</v>
      </c>
    </row>
    <row r="3144" spans="1:18" x14ac:dyDescent="0.25">
      <c r="A3144">
        <f>IF(AND(B3144="", D3144&lt;&gt;""), A3143, A3143+1)</f>
        <v>3138</v>
      </c>
      <c r="R3144" t="b">
        <f>AND(ISNUMBER(FIND($E3144,Tables!$I$2)), ISNUMBER(FIND($D3144,Tables!$J$2)), $E3144&lt;&gt;"")</f>
        <v>0</v>
      </c>
    </row>
    <row r="3145" spans="1:18" x14ac:dyDescent="0.25">
      <c r="A3145">
        <f>IF(AND(B3145="", D3145&lt;&gt;""), A3144, A3144+1)</f>
        <v>3139</v>
      </c>
      <c r="R3145" t="b">
        <f>AND(ISNUMBER(FIND($E3145,Tables!$I$2)), ISNUMBER(FIND($D3145,Tables!$J$2)), $E3145&lt;&gt;"")</f>
        <v>0</v>
      </c>
    </row>
    <row r="3146" spans="1:18" x14ac:dyDescent="0.25">
      <c r="A3146">
        <f>IF(AND(B3146="", D3146&lt;&gt;""), A3145, A3145+1)</f>
        <v>3140</v>
      </c>
      <c r="R3146" t="b">
        <f>AND(ISNUMBER(FIND($E3146,Tables!$I$2)), ISNUMBER(FIND($D3146,Tables!$J$2)), $E3146&lt;&gt;"")</f>
        <v>0</v>
      </c>
    </row>
    <row r="3147" spans="1:18" x14ac:dyDescent="0.25">
      <c r="A3147">
        <f>IF(AND(B3147="", D3147&lt;&gt;""), A3146, A3146+1)</f>
        <v>3141</v>
      </c>
      <c r="R3147" t="b">
        <f>AND(ISNUMBER(FIND($E3147,Tables!$I$2)), ISNUMBER(FIND($D3147,Tables!$J$2)), $E3147&lt;&gt;"")</f>
        <v>0</v>
      </c>
    </row>
    <row r="3148" spans="1:18" x14ac:dyDescent="0.25">
      <c r="A3148">
        <f>IF(AND(B3148="", D3148&lt;&gt;""), A3147, A3147+1)</f>
        <v>3142</v>
      </c>
      <c r="R3148" t="b">
        <f>AND(ISNUMBER(FIND($E3148,Tables!$I$2)), ISNUMBER(FIND($D3148,Tables!$J$2)), $E3148&lt;&gt;"")</f>
        <v>0</v>
      </c>
    </row>
    <row r="3149" spans="1:18" x14ac:dyDescent="0.25">
      <c r="A3149">
        <f>IF(AND(B3149="", D3149&lt;&gt;""), A3148, A3148+1)</f>
        <v>3143</v>
      </c>
      <c r="R3149" t="b">
        <f>AND(ISNUMBER(FIND($E3149,Tables!$I$2)), ISNUMBER(FIND($D3149,Tables!$J$2)), $E3149&lt;&gt;"")</f>
        <v>0</v>
      </c>
    </row>
    <row r="3150" spans="1:18" x14ac:dyDescent="0.25">
      <c r="A3150">
        <f>IF(AND(B3150="", D3150&lt;&gt;""), A3149, A3149+1)</f>
        <v>3144</v>
      </c>
      <c r="R3150" t="b">
        <f>AND(ISNUMBER(FIND($E3150,Tables!$I$2)), ISNUMBER(FIND($D3150,Tables!$J$2)), $E3150&lt;&gt;"")</f>
        <v>0</v>
      </c>
    </row>
    <row r="3151" spans="1:18" x14ac:dyDescent="0.25">
      <c r="A3151">
        <f>IF(AND(B3151="", D3151&lt;&gt;""), A3150, A3150+1)</f>
        <v>3145</v>
      </c>
      <c r="R3151" t="b">
        <f>AND(ISNUMBER(FIND($E3151,Tables!$I$2)), ISNUMBER(FIND($D3151,Tables!$J$2)), $E3151&lt;&gt;"")</f>
        <v>0</v>
      </c>
    </row>
    <row r="3152" spans="1:18" x14ac:dyDescent="0.25">
      <c r="A3152">
        <f>IF(AND(B3152="", D3152&lt;&gt;""), A3151, A3151+1)</f>
        <v>3146</v>
      </c>
      <c r="R3152" t="b">
        <f>AND(ISNUMBER(FIND($E3152,Tables!$I$2)), ISNUMBER(FIND($D3152,Tables!$J$2)), $E3152&lt;&gt;"")</f>
        <v>0</v>
      </c>
    </row>
    <row r="3153" spans="1:18" x14ac:dyDescent="0.25">
      <c r="A3153">
        <f>IF(AND(B3153="", D3153&lt;&gt;""), A3152, A3152+1)</f>
        <v>3147</v>
      </c>
      <c r="R3153" t="b">
        <f>AND(ISNUMBER(FIND($E3153,Tables!$I$2)), ISNUMBER(FIND($D3153,Tables!$J$2)), $E3153&lt;&gt;"")</f>
        <v>0</v>
      </c>
    </row>
    <row r="3154" spans="1:18" x14ac:dyDescent="0.25">
      <c r="A3154">
        <f>IF(AND(B3154="", D3154&lt;&gt;""), A3153, A3153+1)</f>
        <v>3148</v>
      </c>
      <c r="R3154" t="b">
        <f>AND(ISNUMBER(FIND($E3154,Tables!$I$2)), ISNUMBER(FIND($D3154,Tables!$J$2)), $E3154&lt;&gt;"")</f>
        <v>0</v>
      </c>
    </row>
    <row r="3155" spans="1:18" x14ac:dyDescent="0.25">
      <c r="A3155">
        <f>IF(AND(B3155="", D3155&lt;&gt;""), A3154, A3154+1)</f>
        <v>3149</v>
      </c>
      <c r="R3155" t="b">
        <f>AND(ISNUMBER(FIND($E3155,Tables!$I$2)), ISNUMBER(FIND($D3155,Tables!$J$2)), $E3155&lt;&gt;"")</f>
        <v>0</v>
      </c>
    </row>
    <row r="3156" spans="1:18" x14ac:dyDescent="0.25">
      <c r="A3156">
        <f>IF(AND(B3156="", D3156&lt;&gt;""), A3155, A3155+1)</f>
        <v>3150</v>
      </c>
      <c r="R3156" t="b">
        <f>AND(ISNUMBER(FIND($E3156,Tables!$I$2)), ISNUMBER(FIND($D3156,Tables!$J$2)), $E3156&lt;&gt;"")</f>
        <v>0</v>
      </c>
    </row>
    <row r="3157" spans="1:18" x14ac:dyDescent="0.25">
      <c r="A3157">
        <f>IF(AND(B3157="", D3157&lt;&gt;""), A3156, A3156+1)</f>
        <v>3151</v>
      </c>
      <c r="R3157" t="b">
        <f>AND(ISNUMBER(FIND($E3157,Tables!$I$2)), ISNUMBER(FIND($D3157,Tables!$J$2)), $E3157&lt;&gt;"")</f>
        <v>0</v>
      </c>
    </row>
    <row r="3158" spans="1:18" x14ac:dyDescent="0.25">
      <c r="A3158">
        <f>IF(AND(B3158="", D3158&lt;&gt;""), A3157, A3157+1)</f>
        <v>3152</v>
      </c>
      <c r="R3158" t="b">
        <f>AND(ISNUMBER(FIND($E3158,Tables!$I$2)), ISNUMBER(FIND($D3158,Tables!$J$2)), $E3158&lt;&gt;"")</f>
        <v>0</v>
      </c>
    </row>
    <row r="3159" spans="1:18" x14ac:dyDescent="0.25">
      <c r="A3159">
        <f>IF(AND(B3159="", D3159&lt;&gt;""), A3158, A3158+1)</f>
        <v>3153</v>
      </c>
      <c r="R3159" t="b">
        <f>AND(ISNUMBER(FIND($E3159,Tables!$I$2)), ISNUMBER(FIND($D3159,Tables!$J$2)), $E3159&lt;&gt;"")</f>
        <v>0</v>
      </c>
    </row>
    <row r="3160" spans="1:18" x14ac:dyDescent="0.25">
      <c r="A3160">
        <f>IF(AND(B3160="", D3160&lt;&gt;""), A3159, A3159+1)</f>
        <v>3154</v>
      </c>
      <c r="R3160" t="b">
        <f>AND(ISNUMBER(FIND($E3160,Tables!$I$2)), ISNUMBER(FIND($D3160,Tables!$J$2)), $E3160&lt;&gt;"")</f>
        <v>0</v>
      </c>
    </row>
    <row r="3161" spans="1:18" x14ac:dyDescent="0.25">
      <c r="A3161">
        <f>IF(AND(B3161="", D3161&lt;&gt;""), A3160, A3160+1)</f>
        <v>3155</v>
      </c>
      <c r="R3161" t="b">
        <f>AND(ISNUMBER(FIND($E3161,Tables!$I$2)), ISNUMBER(FIND($D3161,Tables!$J$2)), $E3161&lt;&gt;"")</f>
        <v>0</v>
      </c>
    </row>
  </sheetData>
  <autoFilter ref="A1:Q3161" xr:uid="{0C8D1BC5-4D2C-477A-A90E-69847125A4EB}"/>
  <conditionalFormatting sqref="M24">
    <cfRule type="cellIs" dxfId="28" priority="17" operator="equal">
      <formula>"win"</formula>
    </cfRule>
    <cfRule type="cellIs" dxfId="27" priority="18" operator="equal">
      <formula>"loss"</formula>
    </cfRule>
  </conditionalFormatting>
  <conditionalFormatting sqref="M24">
    <cfRule type="cellIs" dxfId="26" priority="16" operator="equal">
      <formula>"draw"</formula>
    </cfRule>
  </conditionalFormatting>
  <conditionalFormatting sqref="I24">
    <cfRule type="expression" dxfId="25" priority="19">
      <formula>$I24&lt;0</formula>
    </cfRule>
    <cfRule type="expression" dxfId="24" priority="20">
      <formula>$I24&gt;0</formula>
    </cfRule>
  </conditionalFormatting>
  <conditionalFormatting sqref="J24">
    <cfRule type="expression" dxfId="23" priority="14">
      <formula>$I24&lt;0</formula>
    </cfRule>
    <cfRule type="expression" dxfId="22" priority="15">
      <formula>$I24&gt;0</formula>
    </cfRule>
  </conditionalFormatting>
  <conditionalFormatting sqref="F2:G29998">
    <cfRule type="cellIs" dxfId="21" priority="2" operator="equal">
      <formula>"Parlay"</formula>
    </cfRule>
  </conditionalFormatting>
  <conditionalFormatting sqref="J2:J29998">
    <cfRule type="expression" dxfId="20" priority="21">
      <formula>$I2&lt;0</formula>
    </cfRule>
    <cfRule type="expression" dxfId="19" priority="22">
      <formula>$I2&gt;0</formula>
    </cfRule>
  </conditionalFormatting>
  <conditionalFormatting sqref="I2:I29998">
    <cfRule type="expression" dxfId="18" priority="7">
      <formula>$I2&lt;0</formula>
    </cfRule>
    <cfRule type="expression" dxfId="17" priority="25">
      <formula>$I2&gt;0</formula>
    </cfRule>
  </conditionalFormatting>
  <conditionalFormatting sqref="N2:N30001">
    <cfRule type="expression" dxfId="16" priority="5">
      <formula>TRUE</formula>
    </cfRule>
  </conditionalFormatting>
  <conditionalFormatting sqref="B12:N12">
    <cfRule type="expression" dxfId="15" priority="30">
      <formula>$A12 &lt;&gt; $A10</formula>
    </cfRule>
    <cfRule type="expression" dxfId="14" priority="31">
      <formula>OR($A12=$A13, $A12=$A10)</formula>
    </cfRule>
  </conditionalFormatting>
  <conditionalFormatting sqref="A2:A3161">
    <cfRule type="expression" dxfId="13" priority="3">
      <formula>$A2 &lt;&gt; $A1</formula>
    </cfRule>
    <cfRule type="expression" dxfId="12" priority="4">
      <formula>OR($A2=$A4, $A2=$A1)</formula>
    </cfRule>
  </conditionalFormatting>
  <conditionalFormatting sqref="A2:N30000">
    <cfRule type="expression" dxfId="11" priority="1">
      <formula>$A2 &lt;&gt; $A1</formula>
    </cfRule>
    <cfRule type="expression" dxfId="10" priority="26">
      <formula>$E2 = "NBA"</formula>
    </cfRule>
    <cfRule type="expression" dxfId="9" priority="32">
      <formula>OR($A2=$A4, $A2=$A1)</formula>
    </cfRule>
    <cfRule type="expression" dxfId="8" priority="33">
      <formula>MOD($A2,2)=1</formula>
    </cfRule>
  </conditionalFormatting>
  <conditionalFormatting sqref="M2:M30000">
    <cfRule type="cellIs" dxfId="7" priority="13" operator="equal">
      <formula>"draw"</formula>
    </cfRule>
    <cfRule type="cellIs" dxfId="6" priority="23" operator="equal">
      <formula>"win"</formula>
    </cfRule>
    <cfRule type="cellIs" dxfId="5" priority="24" operator="equal">
      <formula>"loss"</formula>
    </cfRule>
  </conditionalFormatting>
  <conditionalFormatting sqref="D2:D30000">
    <cfRule type="cellIs" dxfId="4" priority="10" operator="equal">
      <formula>"Prop"</formula>
    </cfRule>
    <cfRule type="cellIs" dxfId="3" priority="11" operator="equal">
      <formula>"Parlay"</formula>
    </cfRule>
    <cfRule type="cellIs" dxfId="2" priority="12" operator="equal">
      <formula>"Pick"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abSelected="1" workbookViewId="0">
      <selection activeCell="K12" sqref="K12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344.8</v>
      </c>
      <c r="C2" s="3">
        <f ca="1">SUMIFS(Bets!$L:$L,Bets!$I:$I, "&lt;0",Bets!$M:$M,"&lt;&gt;",Bets!$M:$M,"&lt;&gt;draw",Bets!$R:$R, TRUE)</f>
        <v>113</v>
      </c>
      <c r="D2" s="10">
        <f>COUNTIFS(Bets!$M:$M,"win",Bets!$I:$I, "&lt;0",Bets!$B:$B,"&lt;&gt;",Bets!$R:$R, TRUE)</f>
        <v>3</v>
      </c>
      <c r="E2" s="10">
        <f ca="1">COUNTIFS(Bets!$M:$M,"loss",Bets!$I:$I, "&lt;0",Bets!$B:$B,"&lt;&gt;",Bets!$R:$R, TRUE)</f>
        <v>3</v>
      </c>
      <c r="F2" s="3">
        <f ca="1">SUMIFS(Bets!$N:$N,Bets!$I:$I, "&lt;0",Bets!$R:$R, TRUE)</f>
        <v>-177.8</v>
      </c>
      <c r="G2" s="19">
        <f ca="1">F2/B2</f>
        <v>-0.51566125290023201</v>
      </c>
      <c r="I2" s="21" t="s">
        <v>84</v>
      </c>
      <c r="J2" s="21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302.5</v>
      </c>
      <c r="C3" s="3">
        <f ca="1">SUMIFS(Bets!$L:$L,Bets!$I:$I, "&gt;0",Bets!$M:$M,"&lt;&gt;",Bets!$M:$M,"&lt;&gt;draw",Bets!$R:$R, TRUE)</f>
        <v>445.625</v>
      </c>
      <c r="D3" s="10">
        <f>COUNTIFS(Bets!$M:$M,"win",Bets!$I:$I, "&gt;0",Bets!$B:$B,"&lt;&gt;",Bets!$R:$R, TRUE)</f>
        <v>7</v>
      </c>
      <c r="E3" s="10">
        <f ca="1">COUNTIFS(Bets!$M:$M,"loss",Bets!$I:$I, "&gt;0",Bets!$B:$B,"&lt;&gt;",Bets!$R:$R, TRUE)</f>
        <v>3</v>
      </c>
      <c r="F3" s="3">
        <f ca="1">SUMIFS(Bets!$N:$N,Bets!$I:$I, "&gt;0",Bets!$R:$R, TRUE)</f>
        <v>256.125</v>
      </c>
      <c r="G3" s="19">
        <f t="shared" ref="G3:G4" ca="1" si="0">F3/B3</f>
        <v>0.84669421487603302</v>
      </c>
      <c r="I3" s="21"/>
      <c r="J3" s="21"/>
    </row>
    <row r="4" spans="1:37" x14ac:dyDescent="0.25">
      <c r="A4" s="14" t="s">
        <v>0</v>
      </c>
      <c r="B4" s="18">
        <f ca="1">SUM(B2:B3)</f>
        <v>647.29999999999995</v>
      </c>
      <c r="C4" s="18">
        <f t="shared" ref="C4:F4" ca="1" si="1">SUM(C2:C3)</f>
        <v>558.625</v>
      </c>
      <c r="D4" s="17">
        <f t="shared" si="1"/>
        <v>10</v>
      </c>
      <c r="E4" s="17">
        <f t="shared" ca="1" si="1"/>
        <v>6</v>
      </c>
      <c r="F4" s="18">
        <f t="shared" ca="1" si="1"/>
        <v>78.324999999999989</v>
      </c>
      <c r="G4" s="20">
        <f t="shared" ca="1" si="0"/>
        <v>0.12100262629383593</v>
      </c>
      <c r="I4" s="21"/>
      <c r="J4" s="21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2">IFERROR(ROUND(IF(AJ8&lt;=0.5,(1-AJ8)/AJ8*100,AJ8/(1-AJ8)*-100),0),"")</f>
        <v>10000</v>
      </c>
      <c r="C8" s="8">
        <f>IFERROR(ROUND(IF(AK8&lt;=0.5, (1-AK8)/AK8*100, AK8/(1-AK8)*-100),0),"")+1</f>
        <v>901</v>
      </c>
      <c r="D8" s="13">
        <f ca="1">SUMIFS(Bets!K:K,Bets!$I:$I,"&lt;="&amp;$B8,Bets!$I:$I,"&gt;="&amp;$C8,Bets!$M:$M,"&lt;&gt;")</f>
        <v>0</v>
      </c>
      <c r="E8" s="13">
        <f ca="1">SUMIFS(Bets!L:L,Bets!$I:$I,"&lt;="&amp;$B8,Bets!$I:$I,"&gt;="&amp;$C8,Bets!$M:$M,"&lt;&gt;")</f>
        <v>0</v>
      </c>
      <c r="F8" s="10">
        <f ca="1">COUNTIFS(Bets!$I:$I,"&lt;="&amp;$B8,Bets!$I:$I,"&gt;="&amp;$C8,Bets!$M:$M,"win",Bets!$B:$B,"&lt;&gt;")</f>
        <v>0</v>
      </c>
      <c r="G8" s="10">
        <f ca="1">COUNTIFS(Bets!$I:$I,"&lt;="&amp;$B8,Bets!$I:$I,"&gt;="&amp;$C8,Bets!$M:$M,"loss",Bets!$B:$B,"&lt;&gt;")</f>
        <v>0</v>
      </c>
      <c r="H8" s="13">
        <f ca="1">SUMIFS(Bets!N:N,Bets!$I:$I,"&lt;="&amp;$B8,Bets!$I:$I,"&gt;="&amp;$C8)</f>
        <v>0</v>
      </c>
      <c r="I8" s="19" t="str">
        <f ca="1">IFERROR((H8+D8)/D8,"")</f>
        <v/>
      </c>
      <c r="AJ8">
        <f>1/101</f>
        <v>9.9009900990099011E-3</v>
      </c>
      <c r="AK8" s="10">
        <v>0.1</v>
      </c>
    </row>
    <row r="9" spans="1:37" x14ac:dyDescent="0.25">
      <c r="A9" s="2" t="s">
        <v>105</v>
      </c>
      <c r="B9" s="8">
        <f t="shared" si="2"/>
        <v>900</v>
      </c>
      <c r="C9" s="8">
        <f t="shared" ref="C9:C25" si="3">IFERROR(ROUND(IF(AK9&lt;=0.5, (1-AK9)/AK9*100, AK9/(1-AK9)*-100),0),"")+1</f>
        <v>568</v>
      </c>
      <c r="D9" s="13">
        <f ca="1">SUMIFS(Bets!K:K,Bets!$I:$I,"&lt;="&amp;$B9,Bets!$I:$I,"&gt;="&amp;$C9,Bets!$M:$M,"&lt;&gt;")</f>
        <v>0</v>
      </c>
      <c r="E9" s="13">
        <f ca="1">SUMIFS(Bets!L:L,Bets!$I:$I,"&lt;="&amp;$B9,Bets!$I:$I,"&gt;="&amp;$C9,Bets!$M:$M,"&lt;&gt;")</f>
        <v>0</v>
      </c>
      <c r="F9" s="10">
        <f ca="1">COUNTIFS(Bets!$I:$I,"&lt;="&amp;$B9,Bets!$I:$I,"&gt;="&amp;$C9,Bets!$M:$M,"win",Bets!$B:$B,"&lt;&gt;")</f>
        <v>0</v>
      </c>
      <c r="G9" s="10">
        <f ca="1">COUNTIFS(Bets!$I:$I,"&lt;="&amp;$B9,Bets!$I:$I,"&gt;="&amp;$C9,Bets!$M:$M,"loss",Bets!$B:$B,"&lt;&gt;")</f>
        <v>0</v>
      </c>
      <c r="H9" s="13">
        <f ca="1">SUMIFS(Bets!N:N,Bets!$I:$I,"&lt;="&amp;$B9,Bets!$I:$I,"&gt;="&amp;$C9)</f>
        <v>0</v>
      </c>
      <c r="I9" s="19" t="str">
        <f t="shared" ref="I9:I25" ca="1" si="4">IFERROR((H9)/D9,"")</f>
        <v/>
      </c>
      <c r="AJ9" s="10">
        <v>0.1</v>
      </c>
      <c r="AK9" s="10">
        <v>0.15</v>
      </c>
    </row>
    <row r="10" spans="1:37" x14ac:dyDescent="0.25">
      <c r="A10" s="2" t="s">
        <v>106</v>
      </c>
      <c r="B10" s="8">
        <f t="shared" si="2"/>
        <v>567</v>
      </c>
      <c r="C10" s="8">
        <f t="shared" si="3"/>
        <v>401</v>
      </c>
      <c r="D10" s="13">
        <f ca="1">SUMIFS(Bets!K:K,Bets!$I:$I,"&lt;="&amp;$B10,Bets!$I:$I,"&gt;="&amp;$C10,Bets!$M:$M,"&lt;&gt;")</f>
        <v>0</v>
      </c>
      <c r="E10" s="13">
        <f ca="1">SUMIFS(Bets!L:L,Bets!$I:$I,"&lt;="&amp;$B10,Bets!$I:$I,"&gt;="&amp;$C10,Bets!$M:$M,"&lt;&gt;")</f>
        <v>0</v>
      </c>
      <c r="F10" s="10">
        <f ca="1">COUNTIFS(Bets!$I:$I,"&lt;="&amp;$B10,Bets!$I:$I,"&gt;="&amp;$C10,Bets!$M:$M,"win",Bets!$B:$B,"&lt;&gt;")</f>
        <v>0</v>
      </c>
      <c r="G10" s="10">
        <f ca="1">COUNTIFS(Bets!$I:$I,"&lt;="&amp;$B10,Bets!$I:$I,"&gt;="&amp;$C10,Bets!$M:$M,"loss",Bets!$B:$B,"&lt;&gt;")</f>
        <v>0</v>
      </c>
      <c r="H10" s="13">
        <f ca="1">SUMIFS(Bets!N:N,Bets!$I:$I,"&lt;="&amp;$B10,Bets!$I:$I,"&gt;="&amp;$C10)</f>
        <v>0</v>
      </c>
      <c r="I10" s="19" t="str">
        <f t="shared" ca="1" si="4"/>
        <v/>
      </c>
      <c r="AJ10" s="10">
        <v>0.15</v>
      </c>
      <c r="AK10" s="10">
        <v>0.2</v>
      </c>
    </row>
    <row r="11" spans="1:37" x14ac:dyDescent="0.25">
      <c r="A11" s="2" t="s">
        <v>107</v>
      </c>
      <c r="B11" s="8">
        <f t="shared" si="2"/>
        <v>400</v>
      </c>
      <c r="C11" s="8">
        <f t="shared" si="3"/>
        <v>301</v>
      </c>
      <c r="D11" s="13">
        <f ca="1">SUMIFS(Bets!K:K,Bets!$I:$I,"&lt;="&amp;$B11,Bets!$I:$I,"&gt;="&amp;$C11,Bets!$M:$M,"&lt;&gt;")</f>
        <v>10</v>
      </c>
      <c r="E11" s="13">
        <f ca="1">SUMIFS(Bets!L:L,Bets!$I:$I,"&lt;="&amp;$B11,Bets!$I:$I,"&gt;="&amp;$C11,Bets!$M:$M,"&lt;&gt;")</f>
        <v>40</v>
      </c>
      <c r="F11" s="10">
        <f ca="1">COUNTIFS(Bets!$I:$I,"&lt;="&amp;$B11,Bets!$I:$I,"&gt;="&amp;$C11,Bets!$M:$M,"win",Bets!$B:$B,"&lt;&gt;")</f>
        <v>0</v>
      </c>
      <c r="G11" s="10">
        <f ca="1">COUNTIFS(Bets!$I:$I,"&lt;="&amp;$B11,Bets!$I:$I,"&gt;="&amp;$C11,Bets!$M:$M,"loss",Bets!$B:$B,"&lt;&gt;")</f>
        <v>1</v>
      </c>
      <c r="H11" s="13">
        <f ca="1">SUMIFS(Bets!N:N,Bets!$I:$I,"&lt;="&amp;$B11,Bets!$I:$I,"&gt;="&amp;$C11)</f>
        <v>-10</v>
      </c>
      <c r="I11" s="19">
        <f t="shared" ca="1" si="4"/>
        <v>-1</v>
      </c>
      <c r="AJ11" s="10">
        <v>0.2</v>
      </c>
      <c r="AK11" s="10">
        <v>0.25</v>
      </c>
    </row>
    <row r="12" spans="1:37" x14ac:dyDescent="0.25">
      <c r="A12" s="2" t="s">
        <v>108</v>
      </c>
      <c r="B12" s="8">
        <f t="shared" si="2"/>
        <v>300</v>
      </c>
      <c r="C12" s="8">
        <f t="shared" si="3"/>
        <v>234</v>
      </c>
      <c r="D12" s="13">
        <f ca="1">SUMIFS(Bets!K:K,Bets!$I:$I,"&lt;="&amp;$B12,Bets!$I:$I,"&gt;="&amp;$C12,Bets!$M:$M,"&lt;&gt;")</f>
        <v>36</v>
      </c>
      <c r="E12" s="13">
        <f ca="1">SUMIFS(Bets!L:L,Bets!$I:$I,"&lt;="&amp;$B12,Bets!$I:$I,"&gt;="&amp;$C12,Bets!$M:$M,"&lt;&gt;")</f>
        <v>94.411188811188808</v>
      </c>
      <c r="F12" s="10">
        <f ca="1">COUNTIFS(Bets!$I:$I,"&lt;="&amp;$B12,Bets!$I:$I,"&gt;="&amp;$C12,Bets!$M:$M,"win",Bets!$B:$B,"&lt;&gt;")</f>
        <v>1</v>
      </c>
      <c r="G12" s="10">
        <f ca="1">COUNTIFS(Bets!$I:$I,"&lt;="&amp;$B12,Bets!$I:$I,"&gt;="&amp;$C12,Bets!$M:$M,"loss",Bets!$B:$B,"&lt;&gt;")</f>
        <v>2</v>
      </c>
      <c r="H12" s="13">
        <f ca="1">SUMIFS(Bets!N:N,Bets!$I:$I,"&lt;="&amp;$B12,Bets!$I:$I,"&gt;="&amp;$C12)</f>
        <v>-2</v>
      </c>
      <c r="I12" s="19">
        <f t="shared" ca="1" si="4"/>
        <v>-5.5555555555555552E-2</v>
      </c>
      <c r="AJ12" s="10">
        <v>0.25</v>
      </c>
      <c r="AK12" s="10">
        <v>0.3</v>
      </c>
    </row>
    <row r="13" spans="1:37" x14ac:dyDescent="0.25">
      <c r="A13" s="2" t="s">
        <v>115</v>
      </c>
      <c r="B13" s="8">
        <f t="shared" si="2"/>
        <v>233</v>
      </c>
      <c r="C13" s="8">
        <f t="shared" si="3"/>
        <v>187</v>
      </c>
      <c r="D13" s="13">
        <f ca="1">SUMIFS(Bets!K:K,Bets!$I:$I,"&lt;="&amp;$B13,Bets!$I:$I,"&gt;="&amp;$C13,Bets!$M:$M,"&lt;&gt;")</f>
        <v>0</v>
      </c>
      <c r="E13" s="13">
        <f ca="1">SUMIFS(Bets!L:L,Bets!$I:$I,"&lt;="&amp;$B13,Bets!$I:$I,"&gt;="&amp;$C13,Bets!$M:$M,"&lt;&gt;")</f>
        <v>0</v>
      </c>
      <c r="F13" s="10">
        <f ca="1">COUNTIFS(Bets!$I:$I,"&lt;="&amp;$B13,Bets!$I:$I,"&gt;="&amp;$C13,Bets!$M:$M,"win",Bets!$B:$B,"&lt;&gt;")</f>
        <v>0</v>
      </c>
      <c r="G13" s="10">
        <f ca="1">COUNTIFS(Bets!$I:$I,"&lt;="&amp;$B13,Bets!$I:$I,"&gt;="&amp;$C13,Bets!$M:$M,"loss",Bets!$B:$B,"&lt;&gt;")</f>
        <v>0</v>
      </c>
      <c r="H13" s="13">
        <f ca="1">SUMIFS(Bets!N:N,Bets!$I:$I,"&lt;="&amp;$B13,Bets!$I:$I,"&gt;="&amp;$C13)</f>
        <v>0</v>
      </c>
      <c r="I13" s="19" t="str">
        <f t="shared" ca="1" si="4"/>
        <v/>
      </c>
      <c r="AJ13" s="10">
        <v>0.3</v>
      </c>
      <c r="AK13" s="10">
        <v>0.35</v>
      </c>
    </row>
    <row r="14" spans="1:37" x14ac:dyDescent="0.25">
      <c r="A14" s="2" t="s">
        <v>109</v>
      </c>
      <c r="B14" s="8">
        <f t="shared" si="2"/>
        <v>186</v>
      </c>
      <c r="C14" s="8">
        <f t="shared" si="3"/>
        <v>151</v>
      </c>
      <c r="D14" s="13">
        <f ca="1">SUMIFS(Bets!K:K,Bets!$I:$I,"&lt;="&amp;$B14,Bets!$I:$I,"&gt;="&amp;$C14,Bets!$M:$M,"&lt;&gt;")</f>
        <v>40</v>
      </c>
      <c r="E14" s="13">
        <f ca="1">SUMIFS(Bets!L:L,Bets!$I:$I,"&lt;="&amp;$B14,Bets!$I:$I,"&gt;="&amp;$C14,Bets!$M:$M,"&lt;&gt;")</f>
        <v>74</v>
      </c>
      <c r="F14" s="10">
        <f ca="1">COUNTIFS(Bets!$I:$I,"&lt;="&amp;$B14,Bets!$I:$I,"&gt;="&amp;$C14,Bets!$M:$M,"win",Bets!$B:$B,"&lt;&gt;")</f>
        <v>1</v>
      </c>
      <c r="G14" s="10">
        <f ca="1">COUNTIFS(Bets!$I:$I,"&lt;="&amp;$B14,Bets!$I:$I,"&gt;="&amp;$C14,Bets!$M:$M,"loss",Bets!$B:$B,"&lt;&gt;")</f>
        <v>0</v>
      </c>
      <c r="H14" s="13">
        <f ca="1">SUMIFS(Bets!N:N,Bets!$I:$I,"&lt;="&amp;$B14,Bets!$I:$I,"&gt;="&amp;$C14)</f>
        <v>74</v>
      </c>
      <c r="I14" s="19">
        <f t="shared" ca="1" si="4"/>
        <v>1.85</v>
      </c>
      <c r="AJ14" s="10">
        <v>0.35</v>
      </c>
      <c r="AK14" s="10">
        <v>0.4</v>
      </c>
    </row>
    <row r="15" spans="1:37" x14ac:dyDescent="0.25">
      <c r="A15" s="2" t="s">
        <v>110</v>
      </c>
      <c r="B15" s="8">
        <f t="shared" si="2"/>
        <v>150</v>
      </c>
      <c r="C15" s="8">
        <f t="shared" si="3"/>
        <v>123</v>
      </c>
      <c r="D15" s="13">
        <f ca="1">SUMIFS(Bets!K:K,Bets!$I:$I,"&lt;="&amp;$B15,Bets!$I:$I,"&gt;="&amp;$C15,Bets!$M:$M,"&lt;&gt;")</f>
        <v>100</v>
      </c>
      <c r="E15" s="13">
        <f ca="1">SUMIFS(Bets!L:L,Bets!$I:$I,"&lt;="&amp;$B15,Bets!$I:$I,"&gt;="&amp;$C15,Bets!$M:$M,"&lt;&gt;")</f>
        <v>141.5</v>
      </c>
      <c r="F15" s="10">
        <f ca="1">COUNTIFS(Bets!$I:$I,"&lt;="&amp;$B15,Bets!$I:$I,"&gt;="&amp;$C15,Bets!$M:$M,"win",Bets!$B:$B,"&lt;&gt;")</f>
        <v>2</v>
      </c>
      <c r="G15" s="10">
        <f ca="1">COUNTIFS(Bets!$I:$I,"&lt;="&amp;$B15,Bets!$I:$I,"&gt;="&amp;$C15,Bets!$M:$M,"loss",Bets!$B:$B,"&lt;&gt;")</f>
        <v>0</v>
      </c>
      <c r="H15" s="13">
        <f ca="1">SUMIFS(Bets!N:N,Bets!$I:$I,"&lt;="&amp;$B15,Bets!$I:$I,"&gt;="&amp;$C15)</f>
        <v>40</v>
      </c>
      <c r="I15" s="19">
        <f t="shared" ca="1" si="4"/>
        <v>0.4</v>
      </c>
      <c r="AJ15" s="10">
        <v>0.4</v>
      </c>
      <c r="AK15" s="10">
        <v>0.45</v>
      </c>
    </row>
    <row r="16" spans="1:37" x14ac:dyDescent="0.25">
      <c r="A16" s="2" t="s">
        <v>111</v>
      </c>
      <c r="B16" s="8">
        <f t="shared" si="2"/>
        <v>122</v>
      </c>
      <c r="C16" s="8">
        <f t="shared" si="3"/>
        <v>101</v>
      </c>
      <c r="D16" s="13">
        <f ca="1">SUMIFS(Bets!K:K,Bets!$I:$I,"&lt;="&amp;$B16,Bets!$I:$I,"&gt;="&amp;$C16,Bets!$M:$M,"&lt;&gt;")</f>
        <v>197.5</v>
      </c>
      <c r="E16" s="13">
        <f ca="1">SUMIFS(Bets!L:L,Bets!$I:$I,"&lt;="&amp;$B16,Bets!$I:$I,"&gt;="&amp;$C16,Bets!$M:$M,"&lt;&gt;")</f>
        <v>217.875</v>
      </c>
      <c r="F16" s="10">
        <f ca="1">COUNTIFS(Bets!$I:$I,"&lt;="&amp;$B16,Bets!$I:$I,"&gt;="&amp;$C16,Bets!$M:$M,"win",Bets!$B:$B,"&lt;&gt;")</f>
        <v>3</v>
      </c>
      <c r="G16" s="10">
        <f ca="1">COUNTIFS(Bets!$I:$I,"&lt;="&amp;$B16,Bets!$I:$I,"&gt;="&amp;$C16,Bets!$M:$M,"loss",Bets!$B:$B,"&lt;&gt;")</f>
        <v>2</v>
      </c>
      <c r="H16" s="13">
        <f ca="1">SUMIFS(Bets!N:N,Bets!$I:$I,"&lt;="&amp;$B16,Bets!$I:$I,"&gt;="&amp;$C16)</f>
        <v>143.125</v>
      </c>
      <c r="I16" s="19">
        <f t="shared" ca="1" si="4"/>
        <v>0.72468354430379744</v>
      </c>
      <c r="AJ16" s="10">
        <v>0.45</v>
      </c>
      <c r="AK16" s="10">
        <v>0.5</v>
      </c>
    </row>
    <row r="17" spans="1:37" x14ac:dyDescent="0.25">
      <c r="A17" s="2" t="s">
        <v>112</v>
      </c>
      <c r="B17" s="8">
        <f t="shared" ref="B17:B25" si="5">IFERROR(ROUND(IF(AJ17&lt;=0.5,(1-AJ17)/AJ17*100,AJ17/(1-AJ17)*-100),0),"")</f>
        <v>100</v>
      </c>
      <c r="C17" s="8">
        <f t="shared" si="3"/>
        <v>-121</v>
      </c>
      <c r="D17" s="13">
        <f ca="1">SUMIFS(Bets!K:K,Bets!$I:$I,"&lt;="&amp;$B17,Bets!$I:$I,"&gt;="&amp;$C17,Bets!$M:$M,"&lt;&gt;")</f>
        <v>0</v>
      </c>
      <c r="E17" s="13">
        <f ca="1">SUMIFS(Bets!L:L,Bets!$I:$I,"&lt;="&amp;$B17,Bets!$I:$I,"&gt;="&amp;$C17,Bets!$M:$M,"&lt;&gt;")</f>
        <v>0</v>
      </c>
      <c r="F17" s="10">
        <f ca="1">COUNTIFS(Bets!$I:$I,"&lt;="&amp;$B17,Bets!$I:$I,"&gt;="&amp;$C17,Bets!$M:$M,"win",Bets!$B:$B,"&lt;&gt;")</f>
        <v>0</v>
      </c>
      <c r="G17" s="10">
        <f ca="1">COUNTIFS(Bets!$I:$I,"&lt;="&amp;$B17,Bets!$I:$I,"&gt;="&amp;$C17,Bets!$M:$M,"loss",Bets!$B:$B,"&lt;&gt;")</f>
        <v>0</v>
      </c>
      <c r="H17" s="13">
        <f ca="1">SUMIFS(Bets!N:N,Bets!$I:$I,"&lt;="&amp;$B17,Bets!$I:$I,"&gt;="&amp;$C17)</f>
        <v>0</v>
      </c>
      <c r="I17" s="19" t="str">
        <f t="shared" ca="1" si="4"/>
        <v/>
      </c>
      <c r="AJ17" s="10">
        <v>0.5</v>
      </c>
      <c r="AK17" s="10">
        <v>0.55000000000000004</v>
      </c>
    </row>
    <row r="18" spans="1:37" x14ac:dyDescent="0.25">
      <c r="A18" s="2" t="s">
        <v>113</v>
      </c>
      <c r="B18" s="8">
        <f t="shared" si="5"/>
        <v>-122</v>
      </c>
      <c r="C18" s="8">
        <f t="shared" si="3"/>
        <v>-149</v>
      </c>
      <c r="D18" s="13">
        <f ca="1">SUMIFS(Bets!K:K,Bets!$I:$I,"&lt;="&amp;$B18,Bets!$I:$I,"&gt;="&amp;$C18,Bets!$M:$M,"&lt;&gt;")</f>
        <v>0</v>
      </c>
      <c r="E18" s="13">
        <f ca="1">SUMIFS(Bets!L:L,Bets!$I:$I,"&lt;="&amp;$B18,Bets!$I:$I,"&gt;="&amp;$C18,Bets!$M:$M,"&lt;&gt;")</f>
        <v>0</v>
      </c>
      <c r="F18" s="10">
        <f ca="1">COUNTIFS(Bets!$I:$I,"&lt;="&amp;$B18,Bets!$I:$I,"&gt;="&amp;$C18,Bets!$M:$M,"win",Bets!$B:$B,"&lt;&gt;")</f>
        <v>0</v>
      </c>
      <c r="G18" s="10">
        <f ca="1">COUNTIFS(Bets!$I:$I,"&lt;="&amp;$B18,Bets!$I:$I,"&gt;="&amp;$C18,Bets!$M:$M,"loss",Bets!$B:$B,"&lt;&gt;")</f>
        <v>0</v>
      </c>
      <c r="H18" s="13">
        <f ca="1">SUMIFS(Bets!N:N,Bets!$I:$I,"&lt;="&amp;$B18,Bets!$I:$I,"&gt;="&amp;$C18)</f>
        <v>0</v>
      </c>
      <c r="I18" s="19" t="str">
        <f t="shared" ca="1" si="4"/>
        <v/>
      </c>
      <c r="AJ18" s="10">
        <v>0.55000000000000004</v>
      </c>
      <c r="AK18" s="10">
        <v>0.6</v>
      </c>
    </row>
    <row r="19" spans="1:37" x14ac:dyDescent="0.25">
      <c r="A19" s="2" t="s">
        <v>114</v>
      </c>
      <c r="B19" s="8">
        <f t="shared" si="5"/>
        <v>-150</v>
      </c>
      <c r="C19" s="8">
        <f t="shared" si="3"/>
        <v>-185</v>
      </c>
      <c r="D19" s="13">
        <f ca="1">SUMIFS(Bets!K:K,Bets!$I:$I,"&lt;="&amp;$B19,Bets!$I:$I,"&gt;="&amp;$C19,Bets!$M:$M,"&lt;&gt;")</f>
        <v>126</v>
      </c>
      <c r="E19" s="13">
        <f ca="1">SUMIFS(Bets!L:L,Bets!$I:$I,"&lt;="&amp;$B19,Bets!$I:$I,"&gt;="&amp;$C19,Bets!$M:$M,"&lt;&gt;")</f>
        <v>70</v>
      </c>
      <c r="F19" s="10">
        <f ca="1">COUNTIFS(Bets!$I:$I,"&lt;="&amp;$B19,Bets!$I:$I,"&gt;="&amp;$C19,Bets!$M:$M,"win",Bets!$B:$B,"&lt;&gt;")</f>
        <v>0</v>
      </c>
      <c r="G19" s="10">
        <f ca="1">COUNTIFS(Bets!$I:$I,"&lt;="&amp;$B19,Bets!$I:$I,"&gt;="&amp;$C19,Bets!$M:$M,"loss",Bets!$B:$B,"&lt;&gt;")</f>
        <v>1</v>
      </c>
      <c r="H19" s="13">
        <f ca="1">SUMIFS(Bets!N:N,Bets!$I:$I,"&lt;="&amp;$B19,Bets!$I:$I,"&gt;="&amp;$C19)</f>
        <v>-126</v>
      </c>
      <c r="I19" s="19">
        <f t="shared" ca="1" si="4"/>
        <v>-1</v>
      </c>
      <c r="AJ19" s="10">
        <v>0.6</v>
      </c>
      <c r="AK19" s="10">
        <v>0.65</v>
      </c>
    </row>
    <row r="20" spans="1:37" x14ac:dyDescent="0.25">
      <c r="A20" s="2" t="s">
        <v>116</v>
      </c>
      <c r="B20" s="8">
        <f t="shared" si="5"/>
        <v>-186</v>
      </c>
      <c r="C20" s="8">
        <f t="shared" si="3"/>
        <v>-232</v>
      </c>
      <c r="D20" s="13">
        <f ca="1">SUMIFS(Bets!K:K,Bets!$I:$I,"&lt;="&amp;$B20,Bets!$I:$I,"&gt;="&amp;$C20,Bets!$M:$M,"&lt;&gt;")</f>
        <v>0</v>
      </c>
      <c r="E20" s="13">
        <f ca="1">SUMIFS(Bets!L:L,Bets!$I:$I,"&lt;="&amp;$B20,Bets!$I:$I,"&gt;="&amp;$C20,Bets!$M:$M,"&lt;&gt;")</f>
        <v>0</v>
      </c>
      <c r="F20" s="10">
        <f ca="1">COUNTIFS(Bets!$I:$I,"&lt;="&amp;$B20,Bets!$I:$I,"&gt;="&amp;$C20,Bets!$M:$M,"win",Bets!$B:$B,"&lt;&gt;")</f>
        <v>0</v>
      </c>
      <c r="G20" s="10">
        <f ca="1">COUNTIFS(Bets!$I:$I,"&lt;="&amp;$B20,Bets!$I:$I,"&gt;="&amp;$C20,Bets!$M:$M,"loss",Bets!$B:$B,"&lt;&gt;")</f>
        <v>0</v>
      </c>
      <c r="H20" s="13">
        <f ca="1">SUMIFS(Bets!N:N,Bets!$I:$I,"&lt;="&amp;$B20,Bets!$I:$I,"&gt;="&amp;$C20)</f>
        <v>0</v>
      </c>
      <c r="I20" s="19" t="str">
        <f t="shared" ca="1" si="4"/>
        <v/>
      </c>
      <c r="AJ20" s="10">
        <v>0.65</v>
      </c>
      <c r="AK20" s="10">
        <v>0.7</v>
      </c>
    </row>
    <row r="21" spans="1:37" x14ac:dyDescent="0.25">
      <c r="A21" s="2" t="s">
        <v>117</v>
      </c>
      <c r="B21" s="8">
        <f t="shared" si="5"/>
        <v>-233</v>
      </c>
      <c r="C21" s="8">
        <f t="shared" si="3"/>
        <v>-299</v>
      </c>
      <c r="D21" s="13">
        <f ca="1">SUMIFS(Bets!K:K,Bets!$I:$I,"&lt;="&amp;$B21,Bets!$I:$I,"&gt;="&amp;$C21,Bets!$M:$M,"&lt;&gt;")</f>
        <v>54.5</v>
      </c>
      <c r="E21" s="13">
        <f ca="1">SUMIFS(Bets!L:L,Bets!$I:$I,"&lt;="&amp;$B21,Bets!$I:$I,"&gt;="&amp;$C21,Bets!$M:$M,"&lt;&gt;")</f>
        <v>20</v>
      </c>
      <c r="F21" s="10">
        <f ca="1">COUNTIFS(Bets!$I:$I,"&lt;="&amp;$B21,Bets!$I:$I,"&gt;="&amp;$C21,Bets!$M:$M,"win",Bets!$B:$B,"&lt;&gt;")</f>
        <v>2</v>
      </c>
      <c r="G21" s="10">
        <f ca="1">COUNTIFS(Bets!$I:$I,"&lt;="&amp;$B21,Bets!$I:$I,"&gt;="&amp;$C21,Bets!$M:$M,"loss",Bets!$B:$B,"&lt;&gt;")</f>
        <v>0</v>
      </c>
      <c r="H21" s="13">
        <f ca="1">SUMIFS(Bets!N:N,Bets!$I:$I,"&lt;="&amp;$B21,Bets!$I:$I,"&gt;="&amp;$C21)</f>
        <v>20</v>
      </c>
      <c r="I21" s="19">
        <f t="shared" ca="1" si="4"/>
        <v>0.3669724770642202</v>
      </c>
      <c r="AJ21" s="10">
        <v>0.7</v>
      </c>
      <c r="AK21" s="10">
        <v>0.75</v>
      </c>
    </row>
    <row r="22" spans="1:37" x14ac:dyDescent="0.25">
      <c r="A22" s="2" t="s">
        <v>118</v>
      </c>
      <c r="B22" s="8">
        <f t="shared" si="5"/>
        <v>-300</v>
      </c>
      <c r="C22" s="8">
        <f t="shared" si="3"/>
        <v>-399</v>
      </c>
      <c r="D22" s="13">
        <f ca="1">SUMIFS(Bets!K:K,Bets!$I:$I,"&lt;="&amp;$B22,Bets!$I:$I,"&gt;="&amp;$C22,Bets!$M:$M,"&lt;&gt;")</f>
        <v>26.8</v>
      </c>
      <c r="E22" s="13">
        <f ca="1">SUMIFS(Bets!L:L,Bets!$I:$I,"&lt;="&amp;$B22,Bets!$I:$I,"&gt;="&amp;$C22,Bets!$M:$M,"&lt;&gt;")</f>
        <v>8</v>
      </c>
      <c r="F22" s="10">
        <f ca="1">COUNTIFS(Bets!$I:$I,"&lt;="&amp;$B22,Bets!$I:$I,"&gt;="&amp;$C22,Bets!$M:$M,"win",Bets!$B:$B,"&lt;&gt;")</f>
        <v>0</v>
      </c>
      <c r="G22" s="10">
        <f ca="1">COUNTIFS(Bets!$I:$I,"&lt;="&amp;$B22,Bets!$I:$I,"&gt;="&amp;$C22,Bets!$M:$M,"loss",Bets!$B:$B,"&lt;&gt;")</f>
        <v>1</v>
      </c>
      <c r="H22" s="13">
        <f ca="1">SUMIFS(Bets!N:N,Bets!$I:$I,"&lt;="&amp;$B22,Bets!$I:$I,"&gt;="&amp;$C22)</f>
        <v>-26.8</v>
      </c>
      <c r="I22" s="19">
        <f t="shared" ca="1" si="4"/>
        <v>-1</v>
      </c>
      <c r="AJ22" s="10">
        <v>0.75</v>
      </c>
      <c r="AK22" s="10">
        <v>0.8</v>
      </c>
    </row>
    <row r="23" spans="1:37" x14ac:dyDescent="0.25">
      <c r="A23" s="2" t="s">
        <v>119</v>
      </c>
      <c r="B23" s="8">
        <f t="shared" si="5"/>
        <v>-400</v>
      </c>
      <c r="C23" s="8">
        <f t="shared" si="3"/>
        <v>-566</v>
      </c>
      <c r="D23" s="13">
        <f ca="1">SUMIFS(Bets!K:K,Bets!$I:$I,"&lt;="&amp;$B23,Bets!$I:$I,"&gt;="&amp;$C23,Bets!$M:$M,"&lt;&gt;")</f>
        <v>50</v>
      </c>
      <c r="E23" s="13">
        <f ca="1">SUMIFS(Bets!L:L,Bets!$I:$I,"&lt;="&amp;$B23,Bets!$I:$I,"&gt;="&amp;$C23,Bets!$M:$M,"&lt;&gt;")</f>
        <v>10</v>
      </c>
      <c r="F23" s="10">
        <f ca="1">COUNTIFS(Bets!$I:$I,"&lt;="&amp;$B23,Bets!$I:$I,"&gt;="&amp;$C23,Bets!$M:$M,"win",Bets!$B:$B,"&lt;&gt;")</f>
        <v>0</v>
      </c>
      <c r="G23" s="10">
        <f ca="1">COUNTIFS(Bets!$I:$I,"&lt;="&amp;$B23,Bets!$I:$I,"&gt;="&amp;$C23,Bets!$M:$M,"loss",Bets!$B:$B,"&lt;&gt;")</f>
        <v>1</v>
      </c>
      <c r="H23" s="13">
        <f ca="1">SUMIFS(Bets!N:N,Bets!$I:$I,"&lt;="&amp;$B23,Bets!$I:$I,"&gt;="&amp;$C23)</f>
        <v>-50</v>
      </c>
      <c r="I23" s="19">
        <f t="shared" ca="1" si="4"/>
        <v>-1</v>
      </c>
      <c r="AJ23" s="10">
        <v>0.8</v>
      </c>
      <c r="AK23" s="10">
        <v>0.85</v>
      </c>
    </row>
    <row r="24" spans="1:37" x14ac:dyDescent="0.25">
      <c r="A24" s="2" t="s">
        <v>120</v>
      </c>
      <c r="B24" s="8">
        <f t="shared" si="5"/>
        <v>-567</v>
      </c>
      <c r="C24" s="8">
        <f t="shared" si="3"/>
        <v>-899</v>
      </c>
      <c r="D24" s="13">
        <f ca="1">SUMIFS(Bets!K:K,Bets!$I:$I,"&lt;="&amp;$B24,Bets!$I:$I,"&gt;="&amp;$C24,Bets!$M:$M,"&lt;&gt;")</f>
        <v>0</v>
      </c>
      <c r="E24" s="13">
        <f ca="1">SUMIFS(Bets!L:L,Bets!$I:$I,"&lt;="&amp;$B24,Bets!$I:$I,"&gt;="&amp;$C24,Bets!$M:$M,"&lt;&gt;")</f>
        <v>0</v>
      </c>
      <c r="F24" s="10">
        <f ca="1">COUNTIFS(Bets!$I:$I,"&lt;="&amp;$B24,Bets!$I:$I,"&gt;="&amp;$C24,Bets!$M:$M,"win",Bets!$B:$B,"&lt;&gt;")</f>
        <v>0</v>
      </c>
      <c r="G24" s="10">
        <f ca="1">COUNTIFS(Bets!$I:$I,"&lt;="&amp;$B24,Bets!$I:$I,"&gt;="&amp;$C24,Bets!$M:$M,"loss",Bets!$B:$B,"&lt;&gt;")</f>
        <v>0</v>
      </c>
      <c r="H24" s="13">
        <f ca="1">SUMIFS(Bets!N:N,Bets!$I:$I,"&lt;="&amp;$B24,Bets!$I:$I,"&gt;="&amp;$C24)</f>
        <v>0</v>
      </c>
      <c r="I24" s="19" t="str">
        <f t="shared" ca="1" si="4"/>
        <v/>
      </c>
      <c r="AJ24" s="10">
        <v>0.85</v>
      </c>
      <c r="AK24" s="10">
        <v>0.9</v>
      </c>
    </row>
    <row r="25" spans="1:37" x14ac:dyDescent="0.25">
      <c r="A25" s="2" t="s">
        <v>123</v>
      </c>
      <c r="B25" s="8">
        <f t="shared" si="5"/>
        <v>-900</v>
      </c>
      <c r="C25" s="8">
        <f t="shared" si="3"/>
        <v>-9999</v>
      </c>
      <c r="D25" s="13">
        <f ca="1">SUMIFS(Bets!K:K,Bets!$I:$I,"&lt;="&amp;$B25,Bets!$I:$I,"&gt;="&amp;$C25,Bets!$M:$M,"&lt;&gt;")</f>
        <v>187.5</v>
      </c>
      <c r="E25" s="13">
        <f ca="1">SUMIFS(Bets!L:L,Bets!$I:$I,"&lt;="&amp;$B25,Bets!$I:$I,"&gt;="&amp;$C25,Bets!$M:$M,"&lt;&gt;")</f>
        <v>9</v>
      </c>
      <c r="F25" s="10">
        <f ca="1">COUNTIFS(Bets!$I:$I,"&lt;="&amp;$B25,Bets!$I:$I,"&gt;="&amp;$C25,Bets!$M:$M,"win",Bets!$B:$B,"&lt;&gt;")</f>
        <v>2</v>
      </c>
      <c r="G25" s="10">
        <f ca="1">COUNTIFS(Bets!$I:$I,"&lt;="&amp;$B25,Bets!$I:$I,"&gt;="&amp;$C25,Bets!$M:$M,"loss",Bets!$B:$B,"&lt;&gt;")</f>
        <v>0</v>
      </c>
      <c r="H25" s="13">
        <f ca="1">SUMIFS(Bets!N:N,Bets!$I:$I,"&lt;="&amp;$B25,Bets!$I:$I,"&gt;="&amp;$C25)</f>
        <v>9</v>
      </c>
      <c r="I25" s="19">
        <f t="shared" ca="1" si="4"/>
        <v>4.8000000000000001E-2</v>
      </c>
      <c r="AJ25" s="10">
        <v>0.9</v>
      </c>
      <c r="AK25" s="10">
        <f>100/101</f>
        <v>0.99009900990099009</v>
      </c>
    </row>
    <row r="26" spans="1:37" x14ac:dyDescent="0.25">
      <c r="A26" s="14" t="s">
        <v>126</v>
      </c>
      <c r="B26" s="16">
        <f t="shared" ref="B26" si="6">IFERROR(ROUND(IF(AJ26&lt;=0.5,(1-AJ26)/AJ26*100,AJ26/(1-AJ26)*-100),0),"")</f>
        <v>10000</v>
      </c>
      <c r="C26" s="16">
        <f t="shared" ref="C26" si="7">IFERROR(ROUND(IF(AK26&lt;=0.5, (1-AK26)/AK26*100, AK26/(1-AK26)*-100),0),"")+1</f>
        <v>-9999</v>
      </c>
      <c r="D26" s="15">
        <f ca="1">SUMIFS(Bets!K:K,Bets!$I:$I,"&lt;="&amp;$B26,Bets!$I:$I,"&gt;="&amp;$C26,Bets!$M:$M,"&lt;&gt;")</f>
        <v>828.3</v>
      </c>
      <c r="E26" s="15">
        <f ca="1">SUMIFS(Bets!L:L,Bets!$I:$I,"&lt;="&amp;$B26,Bets!$I:$I,"&gt;="&amp;$C26,Bets!$M:$M,"&lt;&gt;")</f>
        <v>684.78618881118882</v>
      </c>
      <c r="F26" s="17">
        <f ca="1">COUNTIFS(Bets!$I:$I,"&lt;="&amp;$B26,Bets!$I:$I,"&gt;="&amp;$C26,Bets!$M:$M,"win",Bets!$B:$B,"&lt;&gt;")</f>
        <v>11</v>
      </c>
      <c r="G26" s="17">
        <f ca="1">COUNTIFS(Bets!$I:$I,"&lt;="&amp;$B26,Bets!$I:$I,"&gt;="&amp;$C26,Bets!$M:$M,"loss",Bets!$B:$B,"&lt;&gt;")</f>
        <v>8</v>
      </c>
      <c r="H26" s="15">
        <f ca="1">SUMIFS(Bets!N:N,Bets!$I:$I,"&lt;="&amp;$B26,Bets!$I:$I,"&gt;="&amp;$C26)</f>
        <v>71.325000000000003</v>
      </c>
      <c r="I26" s="20">
        <f t="shared" ref="I26" ca="1" si="8">IFERROR((H26)/D26,"")</f>
        <v>8.611010503440783E-2</v>
      </c>
      <c r="AJ26">
        <f>1/101</f>
        <v>9.9009900990099011E-3</v>
      </c>
      <c r="AK26" s="10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O15" sqref="O15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2" t="s">
        <v>2</v>
      </c>
      <c r="B1" s="12" t="s">
        <v>99</v>
      </c>
      <c r="C1" s="12" t="s">
        <v>22</v>
      </c>
      <c r="D1" s="12" t="s">
        <v>100</v>
      </c>
      <c r="E1" s="12" t="s">
        <v>98</v>
      </c>
      <c r="F1" s="12" t="s">
        <v>103</v>
      </c>
    </row>
    <row r="2" spans="1:6" hidden="1" x14ac:dyDescent="0.25">
      <c r="A2" s="22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22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22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22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22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22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22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22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22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22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22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22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22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22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22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22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22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22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22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22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22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22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22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22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22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22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22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22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22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>SUMIFS(Bets!N:N,Bets!B:B,'By Day'!$A30)</f>
        <v>-62</v>
      </c>
      <c r="F30" s="7">
        <f>SUM($E$2:E30)</f>
        <v>-21.674999999999997</v>
      </c>
    </row>
    <row r="31" spans="1:6" hidden="1" x14ac:dyDescent="0.25">
      <c r="A31" s="22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>SUM($E$2:E31)</f>
        <v>-21.674999999999997</v>
      </c>
    </row>
    <row r="32" spans="1:6" x14ac:dyDescent="0.25">
      <c r="A32" s="22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>SUM($E$2:E32)</f>
        <v>71.325000000000003</v>
      </c>
    </row>
    <row r="33" spans="1:6" hidden="1" x14ac:dyDescent="0.25">
      <c r="A33" s="22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>SUM($E$2:E33)</f>
        <v>71.325000000000003</v>
      </c>
    </row>
    <row r="34" spans="1:6" hidden="1" x14ac:dyDescent="0.25">
      <c r="A34" s="22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>SUM($E$2:E34)</f>
        <v>71.325000000000003</v>
      </c>
    </row>
    <row r="35" spans="1:6" hidden="1" x14ac:dyDescent="0.25">
      <c r="A35" s="22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>SUM($E$2:E35)</f>
        <v>71.325000000000003</v>
      </c>
    </row>
    <row r="36" spans="1:6" hidden="1" x14ac:dyDescent="0.25">
      <c r="A36" s="22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>SUM($E$2:E36)</f>
        <v>71.325000000000003</v>
      </c>
    </row>
    <row r="37" spans="1:6" hidden="1" x14ac:dyDescent="0.25">
      <c r="A37" s="22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>SUM($E$2:E37)</f>
        <v>71.325000000000003</v>
      </c>
    </row>
    <row r="38" spans="1:6" hidden="1" x14ac:dyDescent="0.25">
      <c r="A38" s="22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>SUM($E$2:E38)</f>
        <v>71.325000000000003</v>
      </c>
    </row>
    <row r="39" spans="1:6" hidden="1" x14ac:dyDescent="0.25">
      <c r="A39" s="22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>SUM($E$2:E39)</f>
        <v>71.325000000000003</v>
      </c>
    </row>
    <row r="40" spans="1:6" hidden="1" x14ac:dyDescent="0.25">
      <c r="A40" s="22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>SUM($E$2:E40)</f>
        <v>71.325000000000003</v>
      </c>
    </row>
    <row r="41" spans="1:6" hidden="1" x14ac:dyDescent="0.25">
      <c r="A41" s="22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>SUM($E$2:E41)</f>
        <v>71.325000000000003</v>
      </c>
    </row>
    <row r="42" spans="1:6" hidden="1" x14ac:dyDescent="0.25">
      <c r="A42" s="22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>SUM($E$2:E42)</f>
        <v>71.325000000000003</v>
      </c>
    </row>
    <row r="43" spans="1:6" hidden="1" x14ac:dyDescent="0.25">
      <c r="A43" s="22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>SUM($E$2:E43)</f>
        <v>71.325000000000003</v>
      </c>
    </row>
    <row r="44" spans="1:6" hidden="1" x14ac:dyDescent="0.25">
      <c r="A44" s="22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>SUM($E$2:E44)</f>
        <v>71.325000000000003</v>
      </c>
    </row>
    <row r="45" spans="1:6" hidden="1" x14ac:dyDescent="0.25">
      <c r="A45" s="22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>SUM($E$2:E45)</f>
        <v>71.325000000000003</v>
      </c>
    </row>
    <row r="46" spans="1:6" hidden="1" x14ac:dyDescent="0.25">
      <c r="A46" s="22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>SUM($E$2:E46)</f>
        <v>71.325000000000003</v>
      </c>
    </row>
    <row r="47" spans="1:6" hidden="1" x14ac:dyDescent="0.25">
      <c r="A47" s="22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>SUM($E$2:E47)</f>
        <v>71.325000000000003</v>
      </c>
    </row>
    <row r="48" spans="1:6" hidden="1" x14ac:dyDescent="0.25">
      <c r="A48" s="22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>SUM($E$2:E48)</f>
        <v>71.325000000000003</v>
      </c>
    </row>
    <row r="49" spans="1:6" hidden="1" x14ac:dyDescent="0.25">
      <c r="A49" s="22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>SUM($E$2:E49)</f>
        <v>71.325000000000003</v>
      </c>
    </row>
    <row r="50" spans="1:6" hidden="1" x14ac:dyDescent="0.25">
      <c r="A50" s="22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>SUM($E$2:E50)</f>
        <v>71.325000000000003</v>
      </c>
    </row>
    <row r="51" spans="1:6" hidden="1" x14ac:dyDescent="0.25">
      <c r="A51" s="22">
        <v>43484</v>
      </c>
      <c r="B51">
        <f>COUNTIFS(Bets!$B:$B,'By Day'!$A51,Bets!$M:$M,"win")</f>
        <v>0</v>
      </c>
      <c r="C51">
        <f>COUNTIFS(Bets!$B:$B,'By Day'!$A51,Bets!$M:$M,"loss")</f>
        <v>0</v>
      </c>
      <c r="D51">
        <f t="shared" si="0"/>
        <v>0</v>
      </c>
      <c r="E51" s="7">
        <f>SUMIFS(Bets!N:N,Bets!B:B,'By Day'!$A51)</f>
        <v>0</v>
      </c>
      <c r="F51" s="7">
        <f>SUM($E$2:E51)</f>
        <v>71.325000000000003</v>
      </c>
    </row>
    <row r="52" spans="1:6" hidden="1" x14ac:dyDescent="0.25">
      <c r="A52" s="22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>SUM($E$2:E52)</f>
        <v>71.325000000000003</v>
      </c>
    </row>
    <row r="53" spans="1:6" hidden="1" x14ac:dyDescent="0.25">
      <c r="A53" s="22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>SUM($E$2:E53)</f>
        <v>71.325000000000003</v>
      </c>
    </row>
    <row r="54" spans="1:6" hidden="1" x14ac:dyDescent="0.25">
      <c r="A54" s="22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>SUM($E$2:E54)</f>
        <v>71.325000000000003</v>
      </c>
    </row>
    <row r="55" spans="1:6" hidden="1" x14ac:dyDescent="0.25">
      <c r="A55" s="22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>SUM($E$2:E55)</f>
        <v>71.325000000000003</v>
      </c>
    </row>
    <row r="56" spans="1:6" hidden="1" x14ac:dyDescent="0.25">
      <c r="A56" s="22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>SUM($E$2:E56)</f>
        <v>71.325000000000003</v>
      </c>
    </row>
    <row r="57" spans="1:6" hidden="1" x14ac:dyDescent="0.25">
      <c r="A57" s="22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>SUM($E$2:E57)</f>
        <v>71.325000000000003</v>
      </c>
    </row>
    <row r="58" spans="1:6" hidden="1" x14ac:dyDescent="0.25">
      <c r="A58" s="22">
        <v>43491</v>
      </c>
      <c r="B58">
        <f>COUNTIFS(Bets!$B:$B,'By Day'!$A58,Bets!$M:$M,"win")</f>
        <v>0</v>
      </c>
      <c r="C58">
        <f>COUNTIFS(Bets!$B:$B,'By Day'!$A58,Bets!$M:$M,"loss")</f>
        <v>0</v>
      </c>
      <c r="D58">
        <f t="shared" si="0"/>
        <v>0</v>
      </c>
      <c r="E58" s="7">
        <f>SUMIFS(Bets!N:N,Bets!B:B,'By Day'!$A58)</f>
        <v>0</v>
      </c>
      <c r="F58" s="7">
        <f>SUM($E$2:E58)</f>
        <v>71.325000000000003</v>
      </c>
    </row>
    <row r="59" spans="1:6" hidden="1" x14ac:dyDescent="0.25">
      <c r="A59" s="22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>SUM($E$2:E59)</f>
        <v>71.325000000000003</v>
      </c>
    </row>
    <row r="60" spans="1:6" hidden="1" x14ac:dyDescent="0.25">
      <c r="A60" s="22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>SUM($E$2:E60)</f>
        <v>71.325000000000003</v>
      </c>
    </row>
    <row r="61" spans="1:6" hidden="1" x14ac:dyDescent="0.25">
      <c r="A61" s="22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>SUM($E$2:E61)</f>
        <v>71.325000000000003</v>
      </c>
    </row>
    <row r="62" spans="1:6" hidden="1" x14ac:dyDescent="0.25">
      <c r="A62" s="22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>SUM($E$2:E62)</f>
        <v>71.325000000000003</v>
      </c>
    </row>
    <row r="63" spans="1:6" hidden="1" x14ac:dyDescent="0.25">
      <c r="A63" s="22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>SUM($E$2:E63)</f>
        <v>71.325000000000003</v>
      </c>
    </row>
    <row r="64" spans="1:6" hidden="1" x14ac:dyDescent="0.25">
      <c r="A64" s="22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>SUM($E$2:E64)</f>
        <v>71.325000000000003</v>
      </c>
    </row>
    <row r="65" spans="1:6" hidden="1" x14ac:dyDescent="0.25">
      <c r="A65" s="22">
        <v>43498</v>
      </c>
      <c r="B65">
        <f>COUNTIFS(Bets!$B:$B,'By Day'!$A65,Bets!$M:$M,"win")</f>
        <v>0</v>
      </c>
      <c r="C65">
        <f>COUNTIFS(Bets!$B:$B,'By Day'!$A65,Bets!$M:$M,"loss")</f>
        <v>0</v>
      </c>
      <c r="D65">
        <f t="shared" si="0"/>
        <v>0</v>
      </c>
      <c r="E65" s="7">
        <f>SUMIFS(Bets!N:N,Bets!B:B,'By Day'!$A65)</f>
        <v>0</v>
      </c>
      <c r="F65" s="7">
        <f>SUM($E$2:E65)</f>
        <v>71.325000000000003</v>
      </c>
    </row>
    <row r="66" spans="1:6" hidden="1" x14ac:dyDescent="0.25">
      <c r="A66" s="22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>SUM($E$2:E66)</f>
        <v>71.325000000000003</v>
      </c>
    </row>
    <row r="67" spans="1:6" hidden="1" x14ac:dyDescent="0.25">
      <c r="A67" s="22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>SUM($E$2:E67)</f>
        <v>71.325000000000003</v>
      </c>
    </row>
    <row r="68" spans="1:6" hidden="1" x14ac:dyDescent="0.25">
      <c r="A68" s="22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>SUM($E$2:E68)</f>
        <v>71.325000000000003</v>
      </c>
    </row>
    <row r="69" spans="1:6" hidden="1" x14ac:dyDescent="0.25">
      <c r="A69" s="22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>SUM($E$2:E69)</f>
        <v>71.325000000000003</v>
      </c>
    </row>
    <row r="70" spans="1:6" hidden="1" x14ac:dyDescent="0.25">
      <c r="A70" s="22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>SUM($E$2:E70)</f>
        <v>71.325000000000003</v>
      </c>
    </row>
    <row r="71" spans="1:6" hidden="1" x14ac:dyDescent="0.25">
      <c r="A71" s="22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>SUM($E$2:E71)</f>
        <v>71.325000000000003</v>
      </c>
    </row>
    <row r="72" spans="1:6" hidden="1" x14ac:dyDescent="0.25">
      <c r="A72" s="22">
        <v>43505</v>
      </c>
      <c r="B72">
        <f>COUNTIFS(Bets!$B:$B,'By Day'!$A72,Bets!$M:$M,"win")</f>
        <v>0</v>
      </c>
      <c r="C72">
        <f>COUNTIFS(Bets!$B:$B,'By Day'!$A72,Bets!$M:$M,"loss")</f>
        <v>0</v>
      </c>
      <c r="D72">
        <f t="shared" si="1"/>
        <v>0</v>
      </c>
      <c r="E72" s="7">
        <f>SUMIFS(Bets!N:N,Bets!B:B,'By Day'!$A72)</f>
        <v>0</v>
      </c>
      <c r="F72" s="7">
        <f>SUM($E$2:E72)</f>
        <v>71.325000000000003</v>
      </c>
    </row>
    <row r="73" spans="1:6" hidden="1" x14ac:dyDescent="0.25">
      <c r="A73" s="22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>SUM($E$2:E73)</f>
        <v>71.325000000000003</v>
      </c>
    </row>
    <row r="74" spans="1:6" hidden="1" x14ac:dyDescent="0.25">
      <c r="A74" s="22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>SUM($E$2:E74)</f>
        <v>71.325000000000003</v>
      </c>
    </row>
    <row r="75" spans="1:6" hidden="1" x14ac:dyDescent="0.25">
      <c r="A75" s="22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>SUM($E$2:E75)</f>
        <v>71.325000000000003</v>
      </c>
    </row>
    <row r="76" spans="1:6" hidden="1" x14ac:dyDescent="0.25">
      <c r="A76" s="22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>SUM($E$2:E76)</f>
        <v>71.325000000000003</v>
      </c>
    </row>
    <row r="77" spans="1:6" hidden="1" x14ac:dyDescent="0.25">
      <c r="A77" s="22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>SUM($E$2:E77)</f>
        <v>71.325000000000003</v>
      </c>
    </row>
    <row r="78" spans="1:6" hidden="1" x14ac:dyDescent="0.25">
      <c r="A78" s="22">
        <v>43511</v>
      </c>
      <c r="B78">
        <f>COUNTIFS(Bets!$B:$B,'By Day'!$A78,Bets!$M:$M,"win")</f>
        <v>0</v>
      </c>
      <c r="C78">
        <f>COUNTIFS(Bets!$B:$B,'By Day'!$A78,Bets!$M:$M,"loss")</f>
        <v>0</v>
      </c>
      <c r="D78">
        <f t="shared" si="1"/>
        <v>0</v>
      </c>
      <c r="E78" s="7">
        <f>SUMIFS(Bets!N:N,Bets!B:B,'By Day'!$A78)</f>
        <v>0</v>
      </c>
      <c r="F78" s="7">
        <f>SUM($E$2:E78)</f>
        <v>71.325000000000003</v>
      </c>
    </row>
    <row r="79" spans="1:6" hidden="1" x14ac:dyDescent="0.25">
      <c r="A79" s="22">
        <v>43512</v>
      </c>
      <c r="B79">
        <f>COUNTIFS(Bets!$B:$B,'By Day'!$A79,Bets!$M:$M,"win")</f>
        <v>0</v>
      </c>
      <c r="C79">
        <f>COUNTIFS(Bets!$B:$B,'By Day'!$A79,Bets!$M:$M,"loss")</f>
        <v>0</v>
      </c>
      <c r="D79">
        <f t="shared" si="1"/>
        <v>0</v>
      </c>
      <c r="E79" s="7">
        <f>SUMIFS(Bets!N:N,Bets!B:B,'By Day'!$A79)</f>
        <v>0</v>
      </c>
      <c r="F79" s="7">
        <f>SUM($E$2:E79)</f>
        <v>71.325000000000003</v>
      </c>
    </row>
    <row r="80" spans="1:6" hidden="1" x14ac:dyDescent="0.25">
      <c r="A80" s="22">
        <v>43513</v>
      </c>
      <c r="B80">
        <f>COUNTIFS(Bets!$B:$B,'By Day'!$A80,Bets!$M:$M,"win")</f>
        <v>0</v>
      </c>
      <c r="C80">
        <f>COUNTIFS(Bets!$B:$B,'By Day'!$A80,Bets!$M:$M,"loss")</f>
        <v>0</v>
      </c>
      <c r="D80">
        <f t="shared" si="1"/>
        <v>0</v>
      </c>
      <c r="E80" s="7">
        <f>SUMIFS(Bets!N:N,Bets!B:B,'By Day'!$A80)</f>
        <v>0</v>
      </c>
      <c r="F80" s="7">
        <f>SUM($E$2:E80)</f>
        <v>71.325000000000003</v>
      </c>
    </row>
    <row r="81" spans="1:6" hidden="1" x14ac:dyDescent="0.25">
      <c r="A81" s="22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>SUM($E$2:E81)</f>
        <v>71.325000000000003</v>
      </c>
    </row>
    <row r="82" spans="1:6" hidden="1" x14ac:dyDescent="0.25">
      <c r="A82" s="22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>SUM($E$2:E82)</f>
        <v>71.325000000000003</v>
      </c>
    </row>
    <row r="83" spans="1:6" hidden="1" x14ac:dyDescent="0.25">
      <c r="A83" s="22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>SUM($E$2:E83)</f>
        <v>71.325000000000003</v>
      </c>
    </row>
    <row r="84" spans="1:6" hidden="1" x14ac:dyDescent="0.25">
      <c r="A84" s="22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>SUM($E$2:E84)</f>
        <v>71.325000000000003</v>
      </c>
    </row>
    <row r="85" spans="1:6" hidden="1" x14ac:dyDescent="0.25">
      <c r="A85" s="22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>SUM($E$2:E85)</f>
        <v>71.325000000000003</v>
      </c>
    </row>
    <row r="86" spans="1:6" hidden="1" x14ac:dyDescent="0.25">
      <c r="A86" s="22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>SUMIFS(Bets!N:N,Bets!B:B,'By Day'!$A86)</f>
        <v>0</v>
      </c>
      <c r="F86" s="7">
        <f>SUM($E$2:E86)</f>
        <v>71.325000000000003</v>
      </c>
    </row>
    <row r="87" spans="1:6" hidden="1" x14ac:dyDescent="0.25">
      <c r="A87" s="22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>SUM($E$2:E87)</f>
        <v>71.325000000000003</v>
      </c>
    </row>
    <row r="88" spans="1:6" hidden="1" x14ac:dyDescent="0.25">
      <c r="A88" s="22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>SUM($E$2:E88)</f>
        <v>71.325000000000003</v>
      </c>
    </row>
    <row r="89" spans="1:6" hidden="1" x14ac:dyDescent="0.25">
      <c r="A89" s="22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>SUM($E$2:E89)</f>
        <v>71.325000000000003</v>
      </c>
    </row>
    <row r="90" spans="1:6" hidden="1" x14ac:dyDescent="0.25">
      <c r="A90" s="22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>SUM($E$2:E90)</f>
        <v>71.325000000000003</v>
      </c>
    </row>
    <row r="91" spans="1:6" hidden="1" x14ac:dyDescent="0.25">
      <c r="A91" s="22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>SUM($E$2:E91)</f>
        <v>71.325000000000003</v>
      </c>
    </row>
    <row r="92" spans="1:6" hidden="1" x14ac:dyDescent="0.25">
      <c r="A92" s="22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>SUM($E$2:E92)</f>
        <v>71.325000000000003</v>
      </c>
    </row>
    <row r="93" spans="1:6" hidden="1" x14ac:dyDescent="0.25">
      <c r="A93" s="22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>SUM($E$2:E93)</f>
        <v>71.325000000000003</v>
      </c>
    </row>
    <row r="94" spans="1:6" hidden="1" x14ac:dyDescent="0.25">
      <c r="A94" s="22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>SUM($E$2:E94)</f>
        <v>71.325000000000003</v>
      </c>
    </row>
    <row r="95" spans="1:6" hidden="1" x14ac:dyDescent="0.25">
      <c r="A95" s="22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>SUM($E$2:E95)</f>
        <v>71.325000000000003</v>
      </c>
    </row>
    <row r="96" spans="1:6" hidden="1" x14ac:dyDescent="0.25">
      <c r="A96" s="22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>SUM($E$2:E96)</f>
        <v>71.325000000000003</v>
      </c>
    </row>
    <row r="97" spans="1:6" hidden="1" x14ac:dyDescent="0.25">
      <c r="A97" s="22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>SUM($E$2:E97)</f>
        <v>71.325000000000003</v>
      </c>
    </row>
    <row r="98" spans="1:6" hidden="1" x14ac:dyDescent="0.25">
      <c r="A98" s="22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>SUM($E$2:E98)</f>
        <v>71.325000000000003</v>
      </c>
    </row>
    <row r="99" spans="1:6" hidden="1" x14ac:dyDescent="0.25">
      <c r="A99" s="22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>SUM($E$2:E99)</f>
        <v>71.325000000000003</v>
      </c>
    </row>
    <row r="100" spans="1:6" hidden="1" x14ac:dyDescent="0.25">
      <c r="A100" s="22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>SUM($E$2:E100)</f>
        <v>71.325000000000003</v>
      </c>
    </row>
    <row r="101" spans="1:6" hidden="1" x14ac:dyDescent="0.25">
      <c r="A101" s="22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>SUM($E$2:E101)</f>
        <v>71.325000000000003</v>
      </c>
    </row>
    <row r="102" spans="1:6" hidden="1" x14ac:dyDescent="0.25">
      <c r="A102" s="22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>SUM($E$2:E102)</f>
        <v>71.325000000000003</v>
      </c>
    </row>
    <row r="103" spans="1:6" hidden="1" x14ac:dyDescent="0.25">
      <c r="A103" s="22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>SUM($E$2:E103)</f>
        <v>71.325000000000003</v>
      </c>
    </row>
    <row r="104" spans="1:6" hidden="1" x14ac:dyDescent="0.25">
      <c r="A104" s="22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>SUM($E$2:E104)</f>
        <v>71.325000000000003</v>
      </c>
    </row>
    <row r="105" spans="1:6" hidden="1" x14ac:dyDescent="0.25">
      <c r="A105" s="22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>SUM($E$2:E105)</f>
        <v>71.325000000000003</v>
      </c>
    </row>
    <row r="106" spans="1:6" hidden="1" x14ac:dyDescent="0.25">
      <c r="A106" s="22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>SUM($E$2:E106)</f>
        <v>71.325000000000003</v>
      </c>
    </row>
    <row r="107" spans="1:6" hidden="1" x14ac:dyDescent="0.25">
      <c r="A107" s="22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>SUM($E$2:E107)</f>
        <v>71.325000000000003</v>
      </c>
    </row>
    <row r="108" spans="1:6" hidden="1" x14ac:dyDescent="0.25">
      <c r="A108" s="22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>SUM($E$2:E108)</f>
        <v>71.325000000000003</v>
      </c>
    </row>
    <row r="109" spans="1:6" hidden="1" x14ac:dyDescent="0.25">
      <c r="A109" s="22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>SUM($E$2:E109)</f>
        <v>71.325000000000003</v>
      </c>
    </row>
    <row r="110" spans="1:6" hidden="1" x14ac:dyDescent="0.25">
      <c r="A110" s="22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>SUM($E$2:E110)</f>
        <v>71.325000000000003</v>
      </c>
    </row>
    <row r="111" spans="1:6" hidden="1" x14ac:dyDescent="0.25">
      <c r="A111" s="22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>SUM($E$2:E111)</f>
        <v>71.325000000000003</v>
      </c>
    </row>
    <row r="112" spans="1:6" hidden="1" x14ac:dyDescent="0.25">
      <c r="A112" s="22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>SUM($E$2:E112)</f>
        <v>71.325000000000003</v>
      </c>
    </row>
    <row r="113" spans="1:6" hidden="1" x14ac:dyDescent="0.25">
      <c r="A113" s="22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>SUM($E$2:E113)</f>
        <v>71.325000000000003</v>
      </c>
    </row>
    <row r="114" spans="1:6" hidden="1" x14ac:dyDescent="0.25">
      <c r="A114" s="22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>SUM($E$2:E114)</f>
        <v>71.325000000000003</v>
      </c>
    </row>
    <row r="115" spans="1:6" hidden="1" x14ac:dyDescent="0.25">
      <c r="A115" s="22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>SUM($E$2:E115)</f>
        <v>71.325000000000003</v>
      </c>
    </row>
    <row r="116" spans="1:6" hidden="1" x14ac:dyDescent="0.25">
      <c r="A116" s="22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>SUM($E$2:E116)</f>
        <v>71.325000000000003</v>
      </c>
    </row>
    <row r="117" spans="1:6" hidden="1" x14ac:dyDescent="0.25">
      <c r="A117" s="22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>SUM($E$2:E117)</f>
        <v>71.325000000000003</v>
      </c>
    </row>
    <row r="118" spans="1:6" hidden="1" x14ac:dyDescent="0.25">
      <c r="A118" s="22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>SUM($E$2:E118)</f>
        <v>71.325000000000003</v>
      </c>
    </row>
    <row r="119" spans="1:6" hidden="1" x14ac:dyDescent="0.25">
      <c r="A119" s="22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>SUM($E$2:E119)</f>
        <v>71.325000000000003</v>
      </c>
    </row>
    <row r="120" spans="1:6" hidden="1" x14ac:dyDescent="0.25">
      <c r="A120" s="22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>SUM($E$2:E120)</f>
        <v>71.325000000000003</v>
      </c>
    </row>
    <row r="121" spans="1:6" hidden="1" x14ac:dyDescent="0.25">
      <c r="A121" s="22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>SUM($E$2:E121)</f>
        <v>71.325000000000003</v>
      </c>
    </row>
    <row r="122" spans="1:6" hidden="1" x14ac:dyDescent="0.25">
      <c r="A122" s="22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>SUM($E$2:E122)</f>
        <v>71.325000000000003</v>
      </c>
    </row>
    <row r="123" spans="1:6" hidden="1" x14ac:dyDescent="0.25">
      <c r="A123" s="22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>SUM($E$2:E123)</f>
        <v>71.325000000000003</v>
      </c>
    </row>
    <row r="124" spans="1:6" hidden="1" x14ac:dyDescent="0.25">
      <c r="A124" s="22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>SUM($E$2:E124)</f>
        <v>71.325000000000003</v>
      </c>
    </row>
    <row r="125" spans="1:6" hidden="1" x14ac:dyDescent="0.25">
      <c r="A125" s="22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>SUM($E$2:E125)</f>
        <v>71.325000000000003</v>
      </c>
    </row>
    <row r="126" spans="1:6" hidden="1" x14ac:dyDescent="0.25">
      <c r="A126" s="22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>SUM($E$2:E126)</f>
        <v>71.325000000000003</v>
      </c>
    </row>
    <row r="127" spans="1:6" hidden="1" x14ac:dyDescent="0.25">
      <c r="A127" s="22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>SUM($E$2:E127)</f>
        <v>71.325000000000003</v>
      </c>
    </row>
    <row r="128" spans="1:6" hidden="1" x14ac:dyDescent="0.25">
      <c r="A128" s="22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>SUM($E$2:E128)</f>
        <v>71.325000000000003</v>
      </c>
    </row>
    <row r="129" spans="1:6" hidden="1" x14ac:dyDescent="0.25">
      <c r="A129" s="22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>SUM($E$2:E129)</f>
        <v>71.325000000000003</v>
      </c>
    </row>
    <row r="130" spans="1:6" hidden="1" x14ac:dyDescent="0.25">
      <c r="A130" s="22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>SUM($E$2:E130)</f>
        <v>71.325000000000003</v>
      </c>
    </row>
    <row r="131" spans="1:6" hidden="1" x14ac:dyDescent="0.25">
      <c r="A131" s="22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>SUM($E$2:E131)</f>
        <v>71.325000000000003</v>
      </c>
    </row>
    <row r="132" spans="1:6" hidden="1" x14ac:dyDescent="0.25">
      <c r="A132" s="22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>SUM($E$2:E132)</f>
        <v>71.325000000000003</v>
      </c>
    </row>
    <row r="133" spans="1:6" hidden="1" x14ac:dyDescent="0.25">
      <c r="A133" s="22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>SUM($E$2:E133)</f>
        <v>71.325000000000003</v>
      </c>
    </row>
    <row r="134" spans="1:6" hidden="1" x14ac:dyDescent="0.25">
      <c r="A134" s="22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>SUM($E$2:E134)</f>
        <v>71.325000000000003</v>
      </c>
    </row>
    <row r="135" spans="1:6" hidden="1" x14ac:dyDescent="0.25">
      <c r="A135" s="22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>SUM($E$2:E135)</f>
        <v>71.325000000000003</v>
      </c>
    </row>
    <row r="136" spans="1:6" hidden="1" x14ac:dyDescent="0.25">
      <c r="A136" s="22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>SUM($E$2:E136)</f>
        <v>71.325000000000003</v>
      </c>
    </row>
    <row r="137" spans="1:6" hidden="1" x14ac:dyDescent="0.25">
      <c r="A137" s="22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>SUM($E$2:E137)</f>
        <v>71.325000000000003</v>
      </c>
    </row>
    <row r="138" spans="1:6" hidden="1" x14ac:dyDescent="0.25">
      <c r="A138" s="22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>SUM($E$2:E138)</f>
        <v>71.325000000000003</v>
      </c>
    </row>
    <row r="139" spans="1:6" hidden="1" x14ac:dyDescent="0.25">
      <c r="A139" s="22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>SUM($E$2:E139)</f>
        <v>71.325000000000003</v>
      </c>
    </row>
    <row r="140" spans="1:6" hidden="1" x14ac:dyDescent="0.25">
      <c r="A140" s="22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>SUM($E$2:E140)</f>
        <v>71.325000000000003</v>
      </c>
    </row>
    <row r="141" spans="1:6" hidden="1" x14ac:dyDescent="0.25">
      <c r="A141" s="22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>SUM($E$2:E141)</f>
        <v>71.325000000000003</v>
      </c>
    </row>
    <row r="142" spans="1:6" hidden="1" x14ac:dyDescent="0.25">
      <c r="A142" s="22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>SUM($E$2:E142)</f>
        <v>71.325000000000003</v>
      </c>
    </row>
    <row r="143" spans="1:6" hidden="1" x14ac:dyDescent="0.25">
      <c r="A143" s="22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>SUM($E$2:E143)</f>
        <v>71.325000000000003</v>
      </c>
    </row>
    <row r="144" spans="1:6" hidden="1" x14ac:dyDescent="0.25">
      <c r="A144" s="22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>SUM($E$2:E144)</f>
        <v>71.325000000000003</v>
      </c>
    </row>
    <row r="145" spans="1:6" hidden="1" x14ac:dyDescent="0.25">
      <c r="A145" s="22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>SUM($E$2:E145)</f>
        <v>71.325000000000003</v>
      </c>
    </row>
    <row r="146" spans="1:6" hidden="1" x14ac:dyDescent="0.25">
      <c r="A146" s="22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>SUM($E$2:E146)</f>
        <v>71.325000000000003</v>
      </c>
    </row>
    <row r="147" spans="1:6" hidden="1" x14ac:dyDescent="0.25">
      <c r="A147" s="22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>SUM($E$2:E147)</f>
        <v>71.325000000000003</v>
      </c>
    </row>
    <row r="148" spans="1:6" hidden="1" x14ac:dyDescent="0.25">
      <c r="A148" s="22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>SUM($E$2:E148)</f>
        <v>71.325000000000003</v>
      </c>
    </row>
    <row r="149" spans="1:6" hidden="1" x14ac:dyDescent="0.25">
      <c r="A149" s="22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>SUM($E$2:E149)</f>
        <v>71.325000000000003</v>
      </c>
    </row>
    <row r="150" spans="1:6" hidden="1" x14ac:dyDescent="0.25">
      <c r="A150" s="22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>SUM($E$2:E150)</f>
        <v>71.325000000000003</v>
      </c>
    </row>
    <row r="151" spans="1:6" hidden="1" x14ac:dyDescent="0.25">
      <c r="A151" s="22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>SUM($E$2:E151)</f>
        <v>71.325000000000003</v>
      </c>
    </row>
    <row r="152" spans="1:6" hidden="1" x14ac:dyDescent="0.25">
      <c r="A152" s="22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>SUM($E$2:E152)</f>
        <v>71.325000000000003</v>
      </c>
    </row>
    <row r="153" spans="1:6" hidden="1" x14ac:dyDescent="0.25">
      <c r="A153" s="22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>SUM($E$2:E153)</f>
        <v>71.325000000000003</v>
      </c>
    </row>
    <row r="154" spans="1:6" hidden="1" x14ac:dyDescent="0.25">
      <c r="A154" s="22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>SUM($E$2:E154)</f>
        <v>71.325000000000003</v>
      </c>
    </row>
    <row r="155" spans="1:6" hidden="1" x14ac:dyDescent="0.25">
      <c r="A155" s="22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>SUM($E$2:E155)</f>
        <v>71.325000000000003</v>
      </c>
    </row>
    <row r="156" spans="1:6" hidden="1" x14ac:dyDescent="0.25">
      <c r="A156" s="22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>SUM($E$2:E156)</f>
        <v>71.325000000000003</v>
      </c>
    </row>
    <row r="157" spans="1:6" hidden="1" x14ac:dyDescent="0.25">
      <c r="A157" s="22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>SUM($E$2:E157)</f>
        <v>71.325000000000003</v>
      </c>
    </row>
    <row r="158" spans="1:6" hidden="1" x14ac:dyDescent="0.25">
      <c r="A158" s="22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>SUM($E$2:E158)</f>
        <v>71.325000000000003</v>
      </c>
    </row>
    <row r="159" spans="1:6" hidden="1" x14ac:dyDescent="0.25">
      <c r="A159" s="22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>SUM($E$2:E159)</f>
        <v>71.325000000000003</v>
      </c>
    </row>
    <row r="160" spans="1:6" hidden="1" x14ac:dyDescent="0.25">
      <c r="A160" s="22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>SUM($E$2:E160)</f>
        <v>71.325000000000003</v>
      </c>
    </row>
    <row r="161" spans="1:6" hidden="1" x14ac:dyDescent="0.25">
      <c r="A161" s="22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>SUM($E$2:E161)</f>
        <v>71.325000000000003</v>
      </c>
    </row>
    <row r="162" spans="1:6" hidden="1" x14ac:dyDescent="0.25">
      <c r="A162" s="22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>SUM($E$2:E162)</f>
        <v>71.325000000000003</v>
      </c>
    </row>
    <row r="163" spans="1:6" hidden="1" x14ac:dyDescent="0.25">
      <c r="A163" s="22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>SUM($E$2:E163)</f>
        <v>71.325000000000003</v>
      </c>
    </row>
    <row r="164" spans="1:6" hidden="1" x14ac:dyDescent="0.25">
      <c r="A164" s="22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>SUM($E$2:E164)</f>
        <v>71.325000000000003</v>
      </c>
    </row>
    <row r="165" spans="1:6" hidden="1" x14ac:dyDescent="0.25">
      <c r="A165" s="22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>SUM($E$2:E165)</f>
        <v>71.325000000000003</v>
      </c>
    </row>
    <row r="166" spans="1:6" hidden="1" x14ac:dyDescent="0.25">
      <c r="A166" s="22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>SUM($E$2:E166)</f>
        <v>71.325000000000003</v>
      </c>
    </row>
    <row r="167" spans="1:6" hidden="1" x14ac:dyDescent="0.25">
      <c r="A167" s="22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>SUM($E$2:E167)</f>
        <v>71.325000000000003</v>
      </c>
    </row>
    <row r="168" spans="1:6" hidden="1" x14ac:dyDescent="0.25">
      <c r="A168" s="22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>SUM($E$2:E168)</f>
        <v>71.325000000000003</v>
      </c>
    </row>
    <row r="169" spans="1:6" hidden="1" x14ac:dyDescent="0.25">
      <c r="A169" s="22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>SUM($E$2:E169)</f>
        <v>71.325000000000003</v>
      </c>
    </row>
    <row r="170" spans="1:6" hidden="1" x14ac:dyDescent="0.25">
      <c r="A170" s="22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>SUM($E$2:E170)</f>
        <v>71.325000000000003</v>
      </c>
    </row>
    <row r="171" spans="1:6" hidden="1" x14ac:dyDescent="0.25">
      <c r="A171" s="22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>SUM($E$2:E171)</f>
        <v>71.325000000000003</v>
      </c>
    </row>
    <row r="172" spans="1:6" hidden="1" x14ac:dyDescent="0.25">
      <c r="A172" s="22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>SUM($E$2:E172)</f>
        <v>71.325000000000003</v>
      </c>
    </row>
    <row r="173" spans="1:6" hidden="1" x14ac:dyDescent="0.25">
      <c r="A173" s="22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>SUM($E$2:E173)</f>
        <v>71.325000000000003</v>
      </c>
    </row>
    <row r="174" spans="1:6" hidden="1" x14ac:dyDescent="0.25">
      <c r="A174" s="22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>SUM($E$2:E174)</f>
        <v>71.325000000000003</v>
      </c>
    </row>
    <row r="175" spans="1:6" hidden="1" x14ac:dyDescent="0.25">
      <c r="A175" s="22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>SUM($E$2:E175)</f>
        <v>71.325000000000003</v>
      </c>
    </row>
    <row r="176" spans="1:6" hidden="1" x14ac:dyDescent="0.25">
      <c r="A176" s="22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>SUM($E$2:E176)</f>
        <v>71.325000000000003</v>
      </c>
    </row>
    <row r="177" spans="1:6" hidden="1" x14ac:dyDescent="0.25">
      <c r="A177" s="22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>SUM($E$2:E177)</f>
        <v>71.325000000000003</v>
      </c>
    </row>
    <row r="178" spans="1:6" hidden="1" x14ac:dyDescent="0.25">
      <c r="A178" s="22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>SUM($E$2:E178)</f>
        <v>71.325000000000003</v>
      </c>
    </row>
    <row r="179" spans="1:6" hidden="1" x14ac:dyDescent="0.25">
      <c r="A179" s="22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>SUM($E$2:E179)</f>
        <v>71.325000000000003</v>
      </c>
    </row>
    <row r="180" spans="1:6" hidden="1" x14ac:dyDescent="0.25">
      <c r="A180" s="22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>SUM($E$2:E180)</f>
        <v>71.325000000000003</v>
      </c>
    </row>
    <row r="181" spans="1:6" hidden="1" x14ac:dyDescent="0.25">
      <c r="A181" s="22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>SUM($E$2:E181)</f>
        <v>71.325000000000003</v>
      </c>
    </row>
    <row r="182" spans="1:6" hidden="1" x14ac:dyDescent="0.25">
      <c r="A182" s="22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>SUM($E$2:E182)</f>
        <v>71.325000000000003</v>
      </c>
    </row>
    <row r="183" spans="1:6" hidden="1" x14ac:dyDescent="0.25">
      <c r="A183" s="22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>SUM($E$2:E183)</f>
        <v>71.325000000000003</v>
      </c>
    </row>
    <row r="184" spans="1:6" hidden="1" x14ac:dyDescent="0.25">
      <c r="A184" s="22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>SUM($E$2:E184)</f>
        <v>71.325000000000003</v>
      </c>
    </row>
    <row r="185" spans="1:6" hidden="1" x14ac:dyDescent="0.25">
      <c r="A185" s="22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>SUM($E$2:E185)</f>
        <v>71.325000000000003</v>
      </c>
    </row>
    <row r="186" spans="1:6" hidden="1" x14ac:dyDescent="0.25">
      <c r="A186" s="22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>SUM($E$2:E186)</f>
        <v>71.325000000000003</v>
      </c>
    </row>
    <row r="187" spans="1:6" hidden="1" x14ac:dyDescent="0.25">
      <c r="A187" s="22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>SUM($E$2:E187)</f>
        <v>71.325000000000003</v>
      </c>
    </row>
    <row r="188" spans="1:6" hidden="1" x14ac:dyDescent="0.25">
      <c r="A188" s="22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>SUM($E$2:E188)</f>
        <v>71.325000000000003</v>
      </c>
    </row>
    <row r="189" spans="1:6" hidden="1" x14ac:dyDescent="0.25">
      <c r="A189" s="22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>SUM($E$2:E189)</f>
        <v>71.325000000000003</v>
      </c>
    </row>
    <row r="190" spans="1:6" hidden="1" x14ac:dyDescent="0.25">
      <c r="A190" s="22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>SUM($E$2:E190)</f>
        <v>71.325000000000003</v>
      </c>
    </row>
    <row r="191" spans="1:6" hidden="1" x14ac:dyDescent="0.25">
      <c r="A191" s="22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>SUM($E$2:E191)</f>
        <v>71.325000000000003</v>
      </c>
    </row>
    <row r="192" spans="1:6" hidden="1" x14ac:dyDescent="0.25">
      <c r="A192" s="22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>SUM($E$2:E192)</f>
        <v>71.325000000000003</v>
      </c>
    </row>
    <row r="193" spans="1:6" hidden="1" x14ac:dyDescent="0.25">
      <c r="A193" s="22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>SUM($E$2:E193)</f>
        <v>71.325000000000003</v>
      </c>
    </row>
    <row r="194" spans="1:6" hidden="1" x14ac:dyDescent="0.25">
      <c r="A194" s="22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>SUM($E$2:E194)</f>
        <v>71.325000000000003</v>
      </c>
    </row>
    <row r="195" spans="1:6" hidden="1" x14ac:dyDescent="0.25">
      <c r="A195" s="22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>SUM($E$2:E195)</f>
        <v>71.325000000000003</v>
      </c>
    </row>
    <row r="196" spans="1:6" hidden="1" x14ac:dyDescent="0.25">
      <c r="A196" s="22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>SUM($E$2:E196)</f>
        <v>71.325000000000003</v>
      </c>
    </row>
    <row r="197" spans="1:6" hidden="1" x14ac:dyDescent="0.25">
      <c r="A197" s="22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>SUM($E$2:E197)</f>
        <v>71.325000000000003</v>
      </c>
    </row>
    <row r="198" spans="1:6" hidden="1" x14ac:dyDescent="0.25">
      <c r="A198" s="22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>SUM($E$2:E198)</f>
        <v>71.325000000000003</v>
      </c>
    </row>
    <row r="199" spans="1:6" hidden="1" x14ac:dyDescent="0.25">
      <c r="A199" s="22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>SUM($E$2:E199)</f>
        <v>71.325000000000003</v>
      </c>
    </row>
    <row r="200" spans="1:6" hidden="1" x14ac:dyDescent="0.25">
      <c r="A200" s="22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>SUM($E$2:E200)</f>
        <v>71.325000000000003</v>
      </c>
    </row>
    <row r="201" spans="1:6" hidden="1" x14ac:dyDescent="0.25">
      <c r="A201" s="22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>SUM($E$2:E201)</f>
        <v>71.325000000000003</v>
      </c>
    </row>
    <row r="202" spans="1:6" hidden="1" x14ac:dyDescent="0.25">
      <c r="A202" s="22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>SUM($E$2:E202)</f>
        <v>71.325000000000003</v>
      </c>
    </row>
    <row r="203" spans="1:6" hidden="1" x14ac:dyDescent="0.25">
      <c r="A203" s="22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>SUM($E$2:E203)</f>
        <v>71.325000000000003</v>
      </c>
    </row>
    <row r="204" spans="1:6" hidden="1" x14ac:dyDescent="0.25">
      <c r="A204" s="22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>SUM($E$2:E204)</f>
        <v>71.325000000000003</v>
      </c>
    </row>
    <row r="205" spans="1:6" hidden="1" x14ac:dyDescent="0.25">
      <c r="A205" s="22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>SUM($E$2:E205)</f>
        <v>71.325000000000003</v>
      </c>
    </row>
    <row r="206" spans="1:6" hidden="1" x14ac:dyDescent="0.25">
      <c r="A206" s="22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>SUM($E$2:E206)</f>
        <v>71.325000000000003</v>
      </c>
    </row>
    <row r="207" spans="1:6" hidden="1" x14ac:dyDescent="0.25">
      <c r="A207" s="22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>SUM($E$2:E207)</f>
        <v>71.325000000000003</v>
      </c>
    </row>
    <row r="208" spans="1:6" hidden="1" x14ac:dyDescent="0.25">
      <c r="A208" s="22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>SUM($E$2:E208)</f>
        <v>71.325000000000003</v>
      </c>
    </row>
    <row r="209" spans="1:6" hidden="1" x14ac:dyDescent="0.25">
      <c r="A209" s="22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>SUM($E$2:E209)</f>
        <v>71.325000000000003</v>
      </c>
    </row>
    <row r="210" spans="1:6" hidden="1" x14ac:dyDescent="0.25">
      <c r="A210" s="22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>SUM($E$2:E210)</f>
        <v>71.325000000000003</v>
      </c>
    </row>
    <row r="211" spans="1:6" hidden="1" x14ac:dyDescent="0.25">
      <c r="A211" s="22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>SUM($E$2:E211)</f>
        <v>71.325000000000003</v>
      </c>
    </row>
    <row r="212" spans="1:6" hidden="1" x14ac:dyDescent="0.25">
      <c r="A212" s="22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>SUM($E$2:E212)</f>
        <v>71.325000000000003</v>
      </c>
    </row>
    <row r="213" spans="1:6" hidden="1" x14ac:dyDescent="0.25">
      <c r="A213" s="22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>SUM($E$2:E213)</f>
        <v>71.325000000000003</v>
      </c>
    </row>
    <row r="214" spans="1:6" hidden="1" x14ac:dyDescent="0.25">
      <c r="A214" s="22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>SUM($E$2:E214)</f>
        <v>71.325000000000003</v>
      </c>
    </row>
    <row r="215" spans="1:6" hidden="1" x14ac:dyDescent="0.25">
      <c r="A215" s="22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>SUM($E$2:E215)</f>
        <v>71.325000000000003</v>
      </c>
    </row>
    <row r="216" spans="1:6" hidden="1" x14ac:dyDescent="0.25">
      <c r="A216" s="22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>SUM($E$2:E216)</f>
        <v>71.325000000000003</v>
      </c>
    </row>
    <row r="217" spans="1:6" hidden="1" x14ac:dyDescent="0.25">
      <c r="A217" s="22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>SUM($E$2:E217)</f>
        <v>71.325000000000003</v>
      </c>
    </row>
    <row r="218" spans="1:6" hidden="1" x14ac:dyDescent="0.25">
      <c r="A218" s="22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>SUM($E$2:E218)</f>
        <v>71.325000000000003</v>
      </c>
    </row>
    <row r="219" spans="1:6" hidden="1" x14ac:dyDescent="0.25">
      <c r="A219" s="22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>SUM($E$2:E219)</f>
        <v>71.325000000000003</v>
      </c>
    </row>
    <row r="220" spans="1:6" hidden="1" x14ac:dyDescent="0.25">
      <c r="A220" s="22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>SUM($E$2:E220)</f>
        <v>71.325000000000003</v>
      </c>
    </row>
    <row r="221" spans="1:6" hidden="1" x14ac:dyDescent="0.25">
      <c r="A221" s="22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>SUM($E$2:E221)</f>
        <v>71.325000000000003</v>
      </c>
    </row>
    <row r="222" spans="1:6" hidden="1" x14ac:dyDescent="0.25">
      <c r="A222" s="22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>SUM($E$2:E222)</f>
        <v>71.325000000000003</v>
      </c>
    </row>
    <row r="223" spans="1:6" hidden="1" x14ac:dyDescent="0.25">
      <c r="A223" s="22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>SUM($E$2:E223)</f>
        <v>71.325000000000003</v>
      </c>
    </row>
    <row r="224" spans="1:6" hidden="1" x14ac:dyDescent="0.25">
      <c r="A224" s="22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>SUM($E$2:E224)</f>
        <v>71.325000000000003</v>
      </c>
    </row>
    <row r="225" spans="1:6" hidden="1" x14ac:dyDescent="0.25">
      <c r="A225" s="22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>SUM($E$2:E225)</f>
        <v>71.325000000000003</v>
      </c>
    </row>
    <row r="226" spans="1:6" hidden="1" x14ac:dyDescent="0.25">
      <c r="A226" s="22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>SUM($E$2:E226)</f>
        <v>71.325000000000003</v>
      </c>
    </row>
    <row r="227" spans="1:6" hidden="1" x14ac:dyDescent="0.25">
      <c r="A227" s="22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>SUM($E$2:E227)</f>
        <v>71.325000000000003</v>
      </c>
    </row>
    <row r="228" spans="1:6" hidden="1" x14ac:dyDescent="0.25">
      <c r="A228" s="22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>SUM($E$2:E228)</f>
        <v>71.325000000000003</v>
      </c>
    </row>
    <row r="229" spans="1:6" hidden="1" x14ac:dyDescent="0.25">
      <c r="A229" s="22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>SUM($E$2:E229)</f>
        <v>71.325000000000003</v>
      </c>
    </row>
    <row r="230" spans="1:6" hidden="1" x14ac:dyDescent="0.25">
      <c r="A230" s="22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>SUM($E$2:E230)</f>
        <v>71.325000000000003</v>
      </c>
    </row>
    <row r="231" spans="1:6" hidden="1" x14ac:dyDescent="0.25">
      <c r="A231" s="22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>SUM($E$2:E231)</f>
        <v>71.325000000000003</v>
      </c>
    </row>
    <row r="232" spans="1:6" hidden="1" x14ac:dyDescent="0.25">
      <c r="A232" s="22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>SUM($E$2:E232)</f>
        <v>71.325000000000003</v>
      </c>
    </row>
    <row r="233" spans="1:6" hidden="1" x14ac:dyDescent="0.25">
      <c r="A233" s="22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>SUM($E$2:E233)</f>
        <v>71.325000000000003</v>
      </c>
    </row>
    <row r="234" spans="1:6" hidden="1" x14ac:dyDescent="0.25">
      <c r="A234" s="22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>SUM($E$2:E234)</f>
        <v>71.325000000000003</v>
      </c>
    </row>
    <row r="235" spans="1:6" hidden="1" x14ac:dyDescent="0.25">
      <c r="A235" s="22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>SUM($E$2:E235)</f>
        <v>71.325000000000003</v>
      </c>
    </row>
    <row r="236" spans="1:6" hidden="1" x14ac:dyDescent="0.25">
      <c r="A236" s="22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>SUM($E$2:E236)</f>
        <v>71.325000000000003</v>
      </c>
    </row>
    <row r="237" spans="1:6" hidden="1" x14ac:dyDescent="0.25">
      <c r="A237" s="22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>SUM($E$2:E237)</f>
        <v>71.325000000000003</v>
      </c>
    </row>
    <row r="238" spans="1:6" hidden="1" x14ac:dyDescent="0.25">
      <c r="A238" s="22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>SUM($E$2:E238)</f>
        <v>71.325000000000003</v>
      </c>
    </row>
    <row r="239" spans="1:6" hidden="1" x14ac:dyDescent="0.25">
      <c r="A239" s="22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>SUM($E$2:E239)</f>
        <v>71.325000000000003</v>
      </c>
    </row>
    <row r="240" spans="1:6" hidden="1" x14ac:dyDescent="0.25">
      <c r="A240" s="22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>SUM($E$2:E240)</f>
        <v>71.325000000000003</v>
      </c>
    </row>
    <row r="241" spans="1:6" hidden="1" x14ac:dyDescent="0.25">
      <c r="A241" s="22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>SUM($E$2:E241)</f>
        <v>71.325000000000003</v>
      </c>
    </row>
    <row r="242" spans="1:6" hidden="1" x14ac:dyDescent="0.25">
      <c r="A242" s="22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>SUM($E$2:E242)</f>
        <v>71.325000000000003</v>
      </c>
    </row>
    <row r="243" spans="1:6" hidden="1" x14ac:dyDescent="0.25">
      <c r="A243" s="22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>SUM($E$2:E243)</f>
        <v>71.325000000000003</v>
      </c>
    </row>
    <row r="244" spans="1:6" hidden="1" x14ac:dyDescent="0.25">
      <c r="A244" s="22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>SUM($E$2:E244)</f>
        <v>71.325000000000003</v>
      </c>
    </row>
    <row r="245" spans="1:6" hidden="1" x14ac:dyDescent="0.25">
      <c r="A245" s="22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>SUM($E$2:E245)</f>
        <v>71.325000000000003</v>
      </c>
    </row>
    <row r="246" spans="1:6" hidden="1" x14ac:dyDescent="0.25">
      <c r="A246" s="22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>SUM($E$2:E246)</f>
        <v>71.325000000000003</v>
      </c>
    </row>
    <row r="247" spans="1:6" hidden="1" x14ac:dyDescent="0.25">
      <c r="A247" s="22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>SUM($E$2:E247)</f>
        <v>71.325000000000003</v>
      </c>
    </row>
    <row r="248" spans="1:6" hidden="1" x14ac:dyDescent="0.25">
      <c r="A248" s="22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>SUM($E$2:E248)</f>
        <v>71.325000000000003</v>
      </c>
    </row>
    <row r="249" spans="1:6" hidden="1" x14ac:dyDescent="0.25">
      <c r="A249" s="22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>SUM($E$2:E249)</f>
        <v>71.325000000000003</v>
      </c>
    </row>
    <row r="250" spans="1:6" hidden="1" x14ac:dyDescent="0.25">
      <c r="A250" s="22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>SUM($E$2:E250)</f>
        <v>71.325000000000003</v>
      </c>
    </row>
    <row r="251" spans="1:6" hidden="1" x14ac:dyDescent="0.25">
      <c r="A251" s="22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>SUM($E$2:E251)</f>
        <v>71.325000000000003</v>
      </c>
    </row>
    <row r="252" spans="1:6" hidden="1" x14ac:dyDescent="0.25">
      <c r="A252" s="22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>SUM($E$2:E252)</f>
        <v>71.325000000000003</v>
      </c>
    </row>
    <row r="253" spans="1:6" hidden="1" x14ac:dyDescent="0.25">
      <c r="A253" s="22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>SUM($E$2:E253)</f>
        <v>71.325000000000003</v>
      </c>
    </row>
    <row r="254" spans="1:6" hidden="1" x14ac:dyDescent="0.25">
      <c r="A254" s="22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>SUM($E$2:E254)</f>
        <v>71.325000000000003</v>
      </c>
    </row>
    <row r="255" spans="1:6" hidden="1" x14ac:dyDescent="0.25">
      <c r="A255" s="22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>SUM($E$2:E255)</f>
        <v>71.325000000000003</v>
      </c>
    </row>
    <row r="256" spans="1:6" hidden="1" x14ac:dyDescent="0.25">
      <c r="A256" s="22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>SUM($E$2:E256)</f>
        <v>71.325000000000003</v>
      </c>
    </row>
    <row r="257" spans="1:6" hidden="1" x14ac:dyDescent="0.25">
      <c r="A257" s="22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>SUM($E$2:E257)</f>
        <v>71.325000000000003</v>
      </c>
    </row>
    <row r="258" spans="1:6" hidden="1" x14ac:dyDescent="0.25">
      <c r="A258" s="22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>SUM($E$2:E258)</f>
        <v>71.325000000000003</v>
      </c>
    </row>
    <row r="259" spans="1:6" hidden="1" x14ac:dyDescent="0.25">
      <c r="A259" s="22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>SUM($E$2:E259)</f>
        <v>71.325000000000003</v>
      </c>
    </row>
    <row r="260" spans="1:6" hidden="1" x14ac:dyDescent="0.25">
      <c r="A260" s="22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>SUM($E$2:E260)</f>
        <v>71.325000000000003</v>
      </c>
    </row>
    <row r="261" spans="1:6" hidden="1" x14ac:dyDescent="0.25">
      <c r="A261" s="22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>SUM($E$2:E261)</f>
        <v>71.325000000000003</v>
      </c>
    </row>
    <row r="262" spans="1:6" hidden="1" x14ac:dyDescent="0.25">
      <c r="A262" s="22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>SUM($E$2:E262)</f>
        <v>71.325000000000003</v>
      </c>
    </row>
    <row r="263" spans="1:6" hidden="1" x14ac:dyDescent="0.25">
      <c r="A263" s="22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>SUM($E$2:E263)</f>
        <v>71.325000000000003</v>
      </c>
    </row>
    <row r="264" spans="1:6" hidden="1" x14ac:dyDescent="0.25">
      <c r="A264" s="22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>SUM($E$2:E264)</f>
        <v>71.325000000000003</v>
      </c>
    </row>
    <row r="265" spans="1:6" hidden="1" x14ac:dyDescent="0.25">
      <c r="A265" s="22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>SUM($E$2:E265)</f>
        <v>71.325000000000003</v>
      </c>
    </row>
    <row r="266" spans="1:6" hidden="1" x14ac:dyDescent="0.25">
      <c r="A266" s="22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>SUM($E$2:E266)</f>
        <v>71.325000000000003</v>
      </c>
    </row>
    <row r="267" spans="1:6" hidden="1" x14ac:dyDescent="0.25">
      <c r="A267" s="22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>SUM($E$2:E267)</f>
        <v>71.325000000000003</v>
      </c>
    </row>
    <row r="268" spans="1:6" hidden="1" x14ac:dyDescent="0.25">
      <c r="A268" s="22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>SUM($E$2:E268)</f>
        <v>71.325000000000003</v>
      </c>
    </row>
    <row r="269" spans="1:6" hidden="1" x14ac:dyDescent="0.25">
      <c r="A269" s="22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>SUM($E$2:E269)</f>
        <v>71.325000000000003</v>
      </c>
    </row>
    <row r="270" spans="1:6" hidden="1" x14ac:dyDescent="0.25">
      <c r="A270" s="22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>SUM($E$2:E270)</f>
        <v>71.325000000000003</v>
      </c>
    </row>
    <row r="271" spans="1:6" hidden="1" x14ac:dyDescent="0.25">
      <c r="A271" s="22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>SUM($E$2:E271)</f>
        <v>71.325000000000003</v>
      </c>
    </row>
    <row r="272" spans="1:6" hidden="1" x14ac:dyDescent="0.25">
      <c r="A272" s="22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>SUM($E$2:E272)</f>
        <v>71.325000000000003</v>
      </c>
    </row>
    <row r="273" spans="1:6" hidden="1" x14ac:dyDescent="0.25">
      <c r="A273" s="22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>SUM($E$2:E273)</f>
        <v>71.325000000000003</v>
      </c>
    </row>
    <row r="274" spans="1:6" hidden="1" x14ac:dyDescent="0.25">
      <c r="A274" s="22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>SUM($E$2:E274)</f>
        <v>71.325000000000003</v>
      </c>
    </row>
    <row r="275" spans="1:6" hidden="1" x14ac:dyDescent="0.25">
      <c r="A275" s="22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>SUM($E$2:E275)</f>
        <v>71.325000000000003</v>
      </c>
    </row>
    <row r="276" spans="1:6" hidden="1" x14ac:dyDescent="0.25">
      <c r="A276" s="22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>SUM($E$2:E276)</f>
        <v>71.325000000000003</v>
      </c>
    </row>
    <row r="277" spans="1:6" hidden="1" x14ac:dyDescent="0.25">
      <c r="A277" s="22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>SUM($E$2:E277)</f>
        <v>71.325000000000003</v>
      </c>
    </row>
    <row r="278" spans="1:6" hidden="1" x14ac:dyDescent="0.25">
      <c r="A278" s="22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>SUM($E$2:E278)</f>
        <v>71.325000000000003</v>
      </c>
    </row>
    <row r="279" spans="1:6" hidden="1" x14ac:dyDescent="0.25">
      <c r="A279" s="22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>SUM($E$2:E279)</f>
        <v>71.325000000000003</v>
      </c>
    </row>
    <row r="280" spans="1:6" hidden="1" x14ac:dyDescent="0.25">
      <c r="A280" s="22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>SUM($E$2:E280)</f>
        <v>71.325000000000003</v>
      </c>
    </row>
    <row r="281" spans="1:6" hidden="1" x14ac:dyDescent="0.25">
      <c r="A281" s="22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>SUM($E$2:E281)</f>
        <v>71.325000000000003</v>
      </c>
    </row>
    <row r="282" spans="1:6" hidden="1" x14ac:dyDescent="0.25">
      <c r="A282" s="22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>SUM($E$2:E282)</f>
        <v>71.325000000000003</v>
      </c>
    </row>
    <row r="283" spans="1:6" hidden="1" x14ac:dyDescent="0.25">
      <c r="A283" s="22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>SUM($E$2:E283)</f>
        <v>71.325000000000003</v>
      </c>
    </row>
    <row r="284" spans="1:6" hidden="1" x14ac:dyDescent="0.25">
      <c r="A284" s="22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>SUM($E$2:E284)</f>
        <v>71.325000000000003</v>
      </c>
    </row>
    <row r="285" spans="1:6" hidden="1" x14ac:dyDescent="0.25">
      <c r="A285" s="22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>SUM($E$2:E285)</f>
        <v>71.325000000000003</v>
      </c>
    </row>
    <row r="286" spans="1:6" hidden="1" x14ac:dyDescent="0.25">
      <c r="A286" s="22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>SUM($E$2:E286)</f>
        <v>71.325000000000003</v>
      </c>
    </row>
    <row r="287" spans="1:6" hidden="1" x14ac:dyDescent="0.25">
      <c r="A287" s="22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>SUM($E$2:E287)</f>
        <v>71.325000000000003</v>
      </c>
    </row>
    <row r="288" spans="1:6" hidden="1" x14ac:dyDescent="0.25">
      <c r="A288" s="22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>SUM($E$2:E288)</f>
        <v>71.325000000000003</v>
      </c>
    </row>
    <row r="289" spans="1:6" hidden="1" x14ac:dyDescent="0.25">
      <c r="A289" s="22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>SUM($E$2:E289)</f>
        <v>71.325000000000003</v>
      </c>
    </row>
    <row r="290" spans="1:6" hidden="1" x14ac:dyDescent="0.25">
      <c r="A290" s="22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>SUM($E$2:E290)</f>
        <v>71.325000000000003</v>
      </c>
    </row>
    <row r="291" spans="1:6" hidden="1" x14ac:dyDescent="0.25">
      <c r="A291" s="22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>SUM($E$2:E291)</f>
        <v>71.325000000000003</v>
      </c>
    </row>
    <row r="292" spans="1:6" hidden="1" x14ac:dyDescent="0.25">
      <c r="A292" s="22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>SUM($E$2:E292)</f>
        <v>71.325000000000003</v>
      </c>
    </row>
    <row r="293" spans="1:6" hidden="1" x14ac:dyDescent="0.25">
      <c r="A293" s="22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>SUM($E$2:E293)</f>
        <v>71.325000000000003</v>
      </c>
    </row>
    <row r="294" spans="1:6" hidden="1" x14ac:dyDescent="0.25">
      <c r="A294" s="22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>SUM($E$2:E294)</f>
        <v>71.325000000000003</v>
      </c>
    </row>
    <row r="295" spans="1:6" hidden="1" x14ac:dyDescent="0.25">
      <c r="A295" s="22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>SUM($E$2:E295)</f>
        <v>71.325000000000003</v>
      </c>
    </row>
    <row r="296" spans="1:6" hidden="1" x14ac:dyDescent="0.25">
      <c r="A296" s="22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>SUM($E$2:E296)</f>
        <v>71.325000000000003</v>
      </c>
    </row>
    <row r="297" spans="1:6" hidden="1" x14ac:dyDescent="0.25">
      <c r="A297" s="22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>SUM($E$2:E297)</f>
        <v>71.325000000000003</v>
      </c>
    </row>
    <row r="298" spans="1:6" hidden="1" x14ac:dyDescent="0.25">
      <c r="A298" s="22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>SUM($E$2:E298)</f>
        <v>71.325000000000003</v>
      </c>
    </row>
    <row r="299" spans="1:6" hidden="1" x14ac:dyDescent="0.25">
      <c r="A299" s="22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>SUM($E$2:E299)</f>
        <v>71.325000000000003</v>
      </c>
    </row>
    <row r="300" spans="1:6" hidden="1" x14ac:dyDescent="0.25">
      <c r="A300" s="22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>SUM($E$2:E300)</f>
        <v>71.325000000000003</v>
      </c>
    </row>
    <row r="301" spans="1:6" hidden="1" x14ac:dyDescent="0.25">
      <c r="A301" s="22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>SUM($E$2:E301)</f>
        <v>71.325000000000003</v>
      </c>
    </row>
    <row r="302" spans="1:6" hidden="1" x14ac:dyDescent="0.25">
      <c r="A302" s="22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>SUM($E$2:E302)</f>
        <v>71.325000000000003</v>
      </c>
    </row>
    <row r="303" spans="1:6" hidden="1" x14ac:dyDescent="0.25">
      <c r="A303" s="22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>SUM($E$2:E303)</f>
        <v>71.325000000000003</v>
      </c>
    </row>
    <row r="304" spans="1:6" hidden="1" x14ac:dyDescent="0.25">
      <c r="A304" s="22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>SUM($E$2:E304)</f>
        <v>71.325000000000003</v>
      </c>
    </row>
    <row r="305" spans="1:6" hidden="1" x14ac:dyDescent="0.25">
      <c r="A305" s="22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>SUM($E$2:E305)</f>
        <v>71.325000000000003</v>
      </c>
    </row>
    <row r="306" spans="1:6" hidden="1" x14ac:dyDescent="0.25">
      <c r="A306" s="22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>SUM($E$2:E306)</f>
        <v>71.325000000000003</v>
      </c>
    </row>
    <row r="307" spans="1:6" hidden="1" x14ac:dyDescent="0.25">
      <c r="A307" s="22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>SUM($E$2:E307)</f>
        <v>71.325000000000003</v>
      </c>
    </row>
    <row r="308" spans="1:6" hidden="1" x14ac:dyDescent="0.25">
      <c r="A308" s="22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>SUM($E$2:E308)</f>
        <v>71.325000000000003</v>
      </c>
    </row>
    <row r="309" spans="1:6" hidden="1" x14ac:dyDescent="0.25">
      <c r="A309" s="22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>SUM($E$2:E309)</f>
        <v>71.325000000000003</v>
      </c>
    </row>
    <row r="310" spans="1:6" hidden="1" x14ac:dyDescent="0.25">
      <c r="A310" s="22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>SUM($E$2:E310)</f>
        <v>71.325000000000003</v>
      </c>
    </row>
    <row r="311" spans="1:6" hidden="1" x14ac:dyDescent="0.25">
      <c r="A311" s="22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>SUM($E$2:E311)</f>
        <v>71.325000000000003</v>
      </c>
    </row>
    <row r="312" spans="1:6" hidden="1" x14ac:dyDescent="0.25">
      <c r="A312" s="22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>SUM($E$2:E312)</f>
        <v>71.325000000000003</v>
      </c>
    </row>
    <row r="313" spans="1:6" hidden="1" x14ac:dyDescent="0.25">
      <c r="A313" s="22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>SUM($E$2:E313)</f>
        <v>71.325000000000003</v>
      </c>
    </row>
    <row r="314" spans="1:6" hidden="1" x14ac:dyDescent="0.25">
      <c r="A314" s="22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>SUM($E$2:E314)</f>
        <v>71.325000000000003</v>
      </c>
    </row>
    <row r="315" spans="1:6" hidden="1" x14ac:dyDescent="0.25">
      <c r="A315" s="22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>SUM($E$2:E315)</f>
        <v>71.325000000000003</v>
      </c>
    </row>
    <row r="316" spans="1:6" hidden="1" x14ac:dyDescent="0.25">
      <c r="A316" s="22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>SUM($E$2:E316)</f>
        <v>71.325000000000003</v>
      </c>
    </row>
    <row r="317" spans="1:6" hidden="1" x14ac:dyDescent="0.25">
      <c r="A317" s="22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>SUM($E$2:E317)</f>
        <v>71.325000000000003</v>
      </c>
    </row>
    <row r="318" spans="1:6" hidden="1" x14ac:dyDescent="0.25">
      <c r="A318" s="22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>SUM($E$2:E318)</f>
        <v>71.325000000000003</v>
      </c>
    </row>
    <row r="319" spans="1:6" hidden="1" x14ac:dyDescent="0.25">
      <c r="A319" s="22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>SUM($E$2:E319)</f>
        <v>71.325000000000003</v>
      </c>
    </row>
    <row r="320" spans="1:6" hidden="1" x14ac:dyDescent="0.25">
      <c r="A320" s="22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>SUM($E$2:E320)</f>
        <v>71.325000000000003</v>
      </c>
    </row>
    <row r="321" spans="1:6" hidden="1" x14ac:dyDescent="0.25">
      <c r="A321" s="22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>SUM($E$2:E321)</f>
        <v>71.325000000000003</v>
      </c>
    </row>
    <row r="322" spans="1:6" hidden="1" x14ac:dyDescent="0.25">
      <c r="A322" s="22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>SUM($E$2:E322)</f>
        <v>71.325000000000003</v>
      </c>
    </row>
    <row r="323" spans="1:6" hidden="1" x14ac:dyDescent="0.25">
      <c r="A323" s="22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 t="shared" ref="D323:D326" si="5">SUM(B323:C323)</f>
        <v>0</v>
      </c>
      <c r="E323" s="7">
        <f>SUMIFS(Bets!N:N,Bets!B:B,'By Day'!$A323)</f>
        <v>0</v>
      </c>
      <c r="F323" s="7">
        <f>SUM($E$2:E323)</f>
        <v>71.325000000000003</v>
      </c>
    </row>
    <row r="324" spans="1:6" hidden="1" x14ac:dyDescent="0.25">
      <c r="A324" s="22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 t="shared" si="5"/>
        <v>0</v>
      </c>
      <c r="E324" s="7">
        <f>SUMIFS(Bets!N:N,Bets!B:B,'By Day'!$A324)</f>
        <v>0</v>
      </c>
      <c r="F324" s="7">
        <f>SUM($E$2:E324)</f>
        <v>71.325000000000003</v>
      </c>
    </row>
    <row r="325" spans="1:6" hidden="1" x14ac:dyDescent="0.25">
      <c r="A325" s="22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 t="shared" si="5"/>
        <v>0</v>
      </c>
      <c r="E325" s="7">
        <f>SUMIFS(Bets!N:N,Bets!B:B,'By Day'!$A325)</f>
        <v>0</v>
      </c>
      <c r="F325" s="7">
        <f>SUM($E$2:E325)</f>
        <v>71.325000000000003</v>
      </c>
    </row>
    <row r="326" spans="1:6" hidden="1" x14ac:dyDescent="0.25">
      <c r="A326" s="22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 t="shared" si="5"/>
        <v>0</v>
      </c>
      <c r="E326" s="7">
        <f>SUMIFS(Bets!N:N,Bets!B:B,'By Day'!$A326)</f>
        <v>0</v>
      </c>
      <c r="F326" s="7">
        <f>SUM($E$2:E326)</f>
        <v>71.325000000000003</v>
      </c>
    </row>
  </sheetData>
  <autoFilter ref="A1:F326" xr:uid="{346C787A-8CAF-4384-AD5D-125844F9E439}">
    <filterColumn colId="4">
      <filters>
        <filter val="$32.50"/>
        <filter val="-$40.00"/>
        <filter val="-$5.00"/>
        <filter val="$52.83"/>
        <filter val="-$62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2019-01-18T21:10:00Z</dcterms:modified>
</cp:coreProperties>
</file>