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8_{FF24F32E-93EE-4725-A7AC-E5AEB7BF1868}" xr6:coauthVersionLast="40" xr6:coauthVersionMax="40" xr10:uidLastSave="{00000000-0000-0000-0000-000000000000}"/>
  <bookViews>
    <workbookView xWindow="5520" yWindow="3240" windowWidth="17280" windowHeight="8964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Bets!$A$1:$Q$3161</definedName>
    <definedName name="_xlnm._FilterDatabase" localSheetId="2" hidden="1">'By Day'!$A$1:$F$326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46" i="1" l="1"/>
  <c r="L45" i="1"/>
  <c r="L44" i="1"/>
  <c r="L43" i="1"/>
  <c r="P2" i="1" l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6" i="1"/>
  <c r="A40" i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3161" i="1" l="1"/>
  <c r="R3160" i="1"/>
  <c r="R3159" i="1"/>
  <c r="R3158" i="1"/>
  <c r="R3157" i="1"/>
  <c r="R3156" i="1"/>
  <c r="R3155" i="1"/>
  <c r="R3154" i="1"/>
  <c r="R3153" i="1"/>
  <c r="R3152" i="1"/>
  <c r="R3151" i="1"/>
  <c r="R3150" i="1"/>
  <c r="R3149" i="1"/>
  <c r="R3148" i="1"/>
  <c r="R3147" i="1"/>
  <c r="R3146" i="1"/>
  <c r="R3145" i="1"/>
  <c r="R3144" i="1"/>
  <c r="R3143" i="1"/>
  <c r="R3142" i="1"/>
  <c r="R3141" i="1"/>
  <c r="R3140" i="1"/>
  <c r="R3139" i="1"/>
  <c r="R3138" i="1"/>
  <c r="R3137" i="1"/>
  <c r="R3136" i="1"/>
  <c r="R3135" i="1"/>
  <c r="R3134" i="1"/>
  <c r="R3133" i="1"/>
  <c r="R3132" i="1"/>
  <c r="R3131" i="1"/>
  <c r="R3130" i="1"/>
  <c r="R3129" i="1"/>
  <c r="R3128" i="1"/>
  <c r="R3127" i="1"/>
  <c r="R3126" i="1"/>
  <c r="R3125" i="1"/>
  <c r="R3124" i="1"/>
  <c r="R3123" i="1"/>
  <c r="R3122" i="1"/>
  <c r="R3121" i="1"/>
  <c r="R3120" i="1"/>
  <c r="R3119" i="1"/>
  <c r="R3118" i="1"/>
  <c r="R3117" i="1"/>
  <c r="R3116" i="1"/>
  <c r="R3115" i="1"/>
  <c r="R3114" i="1"/>
  <c r="R3113" i="1"/>
  <c r="R3112" i="1"/>
  <c r="R3111" i="1"/>
  <c r="R3110" i="1"/>
  <c r="R3109" i="1"/>
  <c r="R3108" i="1"/>
  <c r="R3107" i="1"/>
  <c r="R3106" i="1"/>
  <c r="R3105" i="1"/>
  <c r="R3104" i="1"/>
  <c r="R3103" i="1"/>
  <c r="R3102" i="1"/>
  <c r="R3101" i="1"/>
  <c r="R3100" i="1"/>
  <c r="R3099" i="1"/>
  <c r="R3098" i="1"/>
  <c r="R3097" i="1"/>
  <c r="R3096" i="1"/>
  <c r="R3095" i="1"/>
  <c r="R3094" i="1"/>
  <c r="R3093" i="1"/>
  <c r="R3092" i="1"/>
  <c r="R3091" i="1"/>
  <c r="R3090" i="1"/>
  <c r="R3089" i="1"/>
  <c r="R3088" i="1"/>
  <c r="R3087" i="1"/>
  <c r="R3086" i="1"/>
  <c r="R3085" i="1"/>
  <c r="R3084" i="1"/>
  <c r="R3083" i="1"/>
  <c r="R3082" i="1"/>
  <c r="R3081" i="1"/>
  <c r="R3080" i="1"/>
  <c r="R3079" i="1"/>
  <c r="R3078" i="1"/>
  <c r="R3077" i="1"/>
  <c r="R3076" i="1"/>
  <c r="R3075" i="1"/>
  <c r="R3074" i="1"/>
  <c r="R3073" i="1"/>
  <c r="R3072" i="1"/>
  <c r="R3071" i="1"/>
  <c r="R3070" i="1"/>
  <c r="R3069" i="1"/>
  <c r="R3068" i="1"/>
  <c r="R3067" i="1"/>
  <c r="R3066" i="1"/>
  <c r="R3065" i="1"/>
  <c r="R3064" i="1"/>
  <c r="R3063" i="1"/>
  <c r="R3062" i="1"/>
  <c r="R3061" i="1"/>
  <c r="R3060" i="1"/>
  <c r="R3059" i="1"/>
  <c r="R3058" i="1"/>
  <c r="R3057" i="1"/>
  <c r="R3056" i="1"/>
  <c r="R3055" i="1"/>
  <c r="R3054" i="1"/>
  <c r="R3053" i="1"/>
  <c r="R3052" i="1"/>
  <c r="R3051" i="1"/>
  <c r="R3050" i="1"/>
  <c r="R3049" i="1"/>
  <c r="R3048" i="1"/>
  <c r="R3047" i="1"/>
  <c r="R3046" i="1"/>
  <c r="R3045" i="1"/>
  <c r="R3044" i="1"/>
  <c r="R3043" i="1"/>
  <c r="R3042" i="1"/>
  <c r="R3041" i="1"/>
  <c r="R3040" i="1"/>
  <c r="R3039" i="1"/>
  <c r="R3038" i="1"/>
  <c r="R3037" i="1"/>
  <c r="R3036" i="1"/>
  <c r="R3035" i="1"/>
  <c r="R3034" i="1"/>
  <c r="R3033" i="1"/>
  <c r="R3032" i="1"/>
  <c r="R3031" i="1"/>
  <c r="R3030" i="1"/>
  <c r="R3029" i="1"/>
  <c r="R3028" i="1"/>
  <c r="R3027" i="1"/>
  <c r="R3026" i="1"/>
  <c r="R3025" i="1"/>
  <c r="R3024" i="1"/>
  <c r="R3023" i="1"/>
  <c r="R3022" i="1"/>
  <c r="R3021" i="1"/>
  <c r="R3020" i="1"/>
  <c r="R3019" i="1"/>
  <c r="R3018" i="1"/>
  <c r="R3017" i="1"/>
  <c r="R3016" i="1"/>
  <c r="R3015" i="1"/>
  <c r="R3014" i="1"/>
  <c r="R3013" i="1"/>
  <c r="R3012" i="1"/>
  <c r="R3011" i="1"/>
  <c r="R3010" i="1"/>
  <c r="R3009" i="1"/>
  <c r="R3008" i="1"/>
  <c r="R3007" i="1"/>
  <c r="R3006" i="1"/>
  <c r="R3005" i="1"/>
  <c r="R3004" i="1"/>
  <c r="R3003" i="1"/>
  <c r="R3002" i="1"/>
  <c r="R3001" i="1"/>
  <c r="R3000" i="1"/>
  <c r="R2999" i="1"/>
  <c r="R2998" i="1"/>
  <c r="R2997" i="1"/>
  <c r="R2996" i="1"/>
  <c r="R2995" i="1"/>
  <c r="R2994" i="1"/>
  <c r="R2993" i="1"/>
  <c r="R2992" i="1"/>
  <c r="R2991" i="1"/>
  <c r="R2990" i="1"/>
  <c r="R2989" i="1"/>
  <c r="R2988" i="1"/>
  <c r="R2987" i="1"/>
  <c r="R2986" i="1"/>
  <c r="R2985" i="1"/>
  <c r="R2984" i="1"/>
  <c r="R2983" i="1"/>
  <c r="R2982" i="1"/>
  <c r="R2981" i="1"/>
  <c r="R2980" i="1"/>
  <c r="R2979" i="1"/>
  <c r="R2978" i="1"/>
  <c r="R2977" i="1"/>
  <c r="R2976" i="1"/>
  <c r="R2975" i="1"/>
  <c r="R2974" i="1"/>
  <c r="R2973" i="1"/>
  <c r="R2972" i="1"/>
  <c r="R2971" i="1"/>
  <c r="R2970" i="1"/>
  <c r="R2969" i="1"/>
  <c r="R2968" i="1"/>
  <c r="R2967" i="1"/>
  <c r="R2966" i="1"/>
  <c r="R2965" i="1"/>
  <c r="R2964" i="1"/>
  <c r="R2963" i="1"/>
  <c r="R2962" i="1"/>
  <c r="R2961" i="1"/>
  <c r="R2960" i="1"/>
  <c r="R2959" i="1"/>
  <c r="R2958" i="1"/>
  <c r="R2957" i="1"/>
  <c r="R2956" i="1"/>
  <c r="R2955" i="1"/>
  <c r="R2954" i="1"/>
  <c r="R2953" i="1"/>
  <c r="R2952" i="1"/>
  <c r="R2951" i="1"/>
  <c r="R2950" i="1"/>
  <c r="R2949" i="1"/>
  <c r="R2948" i="1"/>
  <c r="R2947" i="1"/>
  <c r="R2946" i="1"/>
  <c r="R2945" i="1"/>
  <c r="R2944" i="1"/>
  <c r="R2943" i="1"/>
  <c r="R2942" i="1"/>
  <c r="R2941" i="1"/>
  <c r="R2940" i="1"/>
  <c r="R2939" i="1"/>
  <c r="R2938" i="1"/>
  <c r="R2937" i="1"/>
  <c r="R2936" i="1"/>
  <c r="R2935" i="1"/>
  <c r="R2934" i="1"/>
  <c r="R2933" i="1"/>
  <c r="R2932" i="1"/>
  <c r="R2931" i="1"/>
  <c r="R2930" i="1"/>
  <c r="R2929" i="1"/>
  <c r="R2928" i="1"/>
  <c r="R2927" i="1"/>
  <c r="R2926" i="1"/>
  <c r="R2925" i="1"/>
  <c r="R2924" i="1"/>
  <c r="R2923" i="1"/>
  <c r="R2922" i="1"/>
  <c r="R2921" i="1"/>
  <c r="R2920" i="1"/>
  <c r="R2919" i="1"/>
  <c r="R2918" i="1"/>
  <c r="R2917" i="1"/>
  <c r="R2916" i="1"/>
  <c r="R2915" i="1"/>
  <c r="R2914" i="1"/>
  <c r="R2913" i="1"/>
  <c r="R2912" i="1"/>
  <c r="R2911" i="1"/>
  <c r="R2910" i="1"/>
  <c r="R2909" i="1"/>
  <c r="R2908" i="1"/>
  <c r="R2907" i="1"/>
  <c r="R2906" i="1"/>
  <c r="R2905" i="1"/>
  <c r="R2904" i="1"/>
  <c r="R2903" i="1"/>
  <c r="R2902" i="1"/>
  <c r="R2901" i="1"/>
  <c r="R2900" i="1"/>
  <c r="R2899" i="1"/>
  <c r="R2898" i="1"/>
  <c r="R2897" i="1"/>
  <c r="R2896" i="1"/>
  <c r="R2895" i="1"/>
  <c r="R2894" i="1"/>
  <c r="R2893" i="1"/>
  <c r="R2892" i="1"/>
  <c r="R2891" i="1"/>
  <c r="R2890" i="1"/>
  <c r="R2889" i="1"/>
  <c r="R2888" i="1"/>
  <c r="R2887" i="1"/>
  <c r="R2886" i="1"/>
  <c r="R2885" i="1"/>
  <c r="R2884" i="1"/>
  <c r="R2883" i="1"/>
  <c r="R2882" i="1"/>
  <c r="R2881" i="1"/>
  <c r="R2880" i="1"/>
  <c r="R2879" i="1"/>
  <c r="R2878" i="1"/>
  <c r="R2877" i="1"/>
  <c r="R2876" i="1"/>
  <c r="R2875" i="1"/>
  <c r="R2874" i="1"/>
  <c r="R2873" i="1"/>
  <c r="R2872" i="1"/>
  <c r="R2871" i="1"/>
  <c r="R2870" i="1"/>
  <c r="R2869" i="1"/>
  <c r="R2868" i="1"/>
  <c r="R2867" i="1"/>
  <c r="R2866" i="1"/>
  <c r="R2865" i="1"/>
  <c r="R2864" i="1"/>
  <c r="R2863" i="1"/>
  <c r="R2862" i="1"/>
  <c r="R2861" i="1"/>
  <c r="R2860" i="1"/>
  <c r="R2859" i="1"/>
  <c r="R2858" i="1"/>
  <c r="R2857" i="1"/>
  <c r="R2856" i="1"/>
  <c r="R2855" i="1"/>
  <c r="R2854" i="1"/>
  <c r="R2853" i="1"/>
  <c r="R2852" i="1"/>
  <c r="R2851" i="1"/>
  <c r="R2850" i="1"/>
  <c r="R2849" i="1"/>
  <c r="R2848" i="1"/>
  <c r="R2847" i="1"/>
  <c r="R2846" i="1"/>
  <c r="R2845" i="1"/>
  <c r="R2844" i="1"/>
  <c r="R2843" i="1"/>
  <c r="R2842" i="1"/>
  <c r="R2841" i="1"/>
  <c r="R2840" i="1"/>
  <c r="R2839" i="1"/>
  <c r="R2838" i="1"/>
  <c r="R2837" i="1"/>
  <c r="R2836" i="1"/>
  <c r="R2835" i="1"/>
  <c r="R2834" i="1"/>
  <c r="R2833" i="1"/>
  <c r="R2832" i="1"/>
  <c r="R2831" i="1"/>
  <c r="R2830" i="1"/>
  <c r="R2829" i="1"/>
  <c r="R2828" i="1"/>
  <c r="R2827" i="1"/>
  <c r="R2826" i="1"/>
  <c r="R2825" i="1"/>
  <c r="R2824" i="1"/>
  <c r="R2823" i="1"/>
  <c r="R2822" i="1"/>
  <c r="R2821" i="1"/>
  <c r="R2820" i="1"/>
  <c r="R2819" i="1"/>
  <c r="R2818" i="1"/>
  <c r="R2817" i="1"/>
  <c r="R2816" i="1"/>
  <c r="R2815" i="1"/>
  <c r="R2814" i="1"/>
  <c r="R2813" i="1"/>
  <c r="R2812" i="1"/>
  <c r="R2811" i="1"/>
  <c r="R2810" i="1"/>
  <c r="R2809" i="1"/>
  <c r="R2808" i="1"/>
  <c r="R2807" i="1"/>
  <c r="R2806" i="1"/>
  <c r="R2805" i="1"/>
  <c r="R2804" i="1"/>
  <c r="R2803" i="1"/>
  <c r="R2802" i="1"/>
  <c r="R2801" i="1"/>
  <c r="R2800" i="1"/>
  <c r="R2799" i="1"/>
  <c r="R2798" i="1"/>
  <c r="R2797" i="1"/>
  <c r="R2796" i="1"/>
  <c r="R2795" i="1"/>
  <c r="R2794" i="1"/>
  <c r="R2793" i="1"/>
  <c r="R2792" i="1"/>
  <c r="R2791" i="1"/>
  <c r="R2790" i="1"/>
  <c r="R2789" i="1"/>
  <c r="R2788" i="1"/>
  <c r="R2787" i="1"/>
  <c r="R2786" i="1"/>
  <c r="R2785" i="1"/>
  <c r="R2784" i="1"/>
  <c r="R2783" i="1"/>
  <c r="R2782" i="1"/>
  <c r="R2781" i="1"/>
  <c r="R2780" i="1"/>
  <c r="R2779" i="1"/>
  <c r="R2778" i="1"/>
  <c r="R2777" i="1"/>
  <c r="R2776" i="1"/>
  <c r="R2775" i="1"/>
  <c r="R2774" i="1"/>
  <c r="R2773" i="1"/>
  <c r="R2772" i="1"/>
  <c r="R2771" i="1"/>
  <c r="R2770" i="1"/>
  <c r="R2769" i="1"/>
  <c r="R2768" i="1"/>
  <c r="R2767" i="1"/>
  <c r="R2766" i="1"/>
  <c r="R2765" i="1"/>
  <c r="R2764" i="1"/>
  <c r="R2763" i="1"/>
  <c r="R2762" i="1"/>
  <c r="R2761" i="1"/>
  <c r="R2760" i="1"/>
  <c r="R2759" i="1"/>
  <c r="R2758" i="1"/>
  <c r="R2757" i="1"/>
  <c r="R2756" i="1"/>
  <c r="R2755" i="1"/>
  <c r="R2754" i="1"/>
  <c r="R2753" i="1"/>
  <c r="R2752" i="1"/>
  <c r="R2751" i="1"/>
  <c r="R2750" i="1"/>
  <c r="R2749" i="1"/>
  <c r="R2748" i="1"/>
  <c r="R2747" i="1"/>
  <c r="R2746" i="1"/>
  <c r="R2745" i="1"/>
  <c r="R2744" i="1"/>
  <c r="R2743" i="1"/>
  <c r="R2742" i="1"/>
  <c r="R2741" i="1"/>
  <c r="R2740" i="1"/>
  <c r="R2739" i="1"/>
  <c r="R2738" i="1"/>
  <c r="R2737" i="1"/>
  <c r="R2736" i="1"/>
  <c r="R2735" i="1"/>
  <c r="R2734" i="1"/>
  <c r="R2733" i="1"/>
  <c r="R2732" i="1"/>
  <c r="R2731" i="1"/>
  <c r="R2730" i="1"/>
  <c r="R2729" i="1"/>
  <c r="R2728" i="1"/>
  <c r="R2727" i="1"/>
  <c r="R2726" i="1"/>
  <c r="R2725" i="1"/>
  <c r="R2724" i="1"/>
  <c r="R2723" i="1"/>
  <c r="R2722" i="1"/>
  <c r="R2721" i="1"/>
  <c r="R2720" i="1"/>
  <c r="R2719" i="1"/>
  <c r="R2718" i="1"/>
  <c r="R2717" i="1"/>
  <c r="R2716" i="1"/>
  <c r="R2715" i="1"/>
  <c r="R2714" i="1"/>
  <c r="R2713" i="1"/>
  <c r="R2712" i="1"/>
  <c r="R2711" i="1"/>
  <c r="R2710" i="1"/>
  <c r="R2709" i="1"/>
  <c r="R2708" i="1"/>
  <c r="R2707" i="1"/>
  <c r="R2706" i="1"/>
  <c r="R2705" i="1"/>
  <c r="R2704" i="1"/>
  <c r="R27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82" i="1"/>
  <c r="R2681" i="1"/>
  <c r="R2680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R2642" i="1"/>
  <c r="R2641" i="1"/>
  <c r="R2640" i="1"/>
  <c r="R2639" i="1"/>
  <c r="R2638" i="1"/>
  <c r="R2637" i="1"/>
  <c r="R2636" i="1"/>
  <c r="R2635" i="1"/>
  <c r="R2634" i="1"/>
  <c r="R2633" i="1"/>
  <c r="R2632" i="1"/>
  <c r="R2631" i="1"/>
  <c r="R2630" i="1"/>
  <c r="R2629" i="1"/>
  <c r="R2628" i="1"/>
  <c r="R2627" i="1"/>
  <c r="R2626" i="1"/>
  <c r="R2625" i="1"/>
  <c r="R2624" i="1"/>
  <c r="R2623" i="1"/>
  <c r="R2622" i="1"/>
  <c r="R2621" i="1"/>
  <c r="R2620" i="1"/>
  <c r="R2619" i="1"/>
  <c r="R2618" i="1"/>
  <c r="R2617" i="1"/>
  <c r="R2616" i="1"/>
  <c r="R2615" i="1"/>
  <c r="R2614" i="1"/>
  <c r="R2613" i="1"/>
  <c r="R2612" i="1"/>
  <c r="R2611" i="1"/>
  <c r="R2610" i="1"/>
  <c r="R2609" i="1"/>
  <c r="R2608" i="1"/>
  <c r="R2607" i="1"/>
  <c r="R2606" i="1"/>
  <c r="R2605" i="1"/>
  <c r="R2604" i="1"/>
  <c r="R2603" i="1"/>
  <c r="R2602" i="1"/>
  <c r="R2601" i="1"/>
  <c r="R2600" i="1"/>
  <c r="R2599" i="1"/>
  <c r="R2598" i="1"/>
  <c r="R2597" i="1"/>
  <c r="R2596" i="1"/>
  <c r="R2595" i="1"/>
  <c r="R2594" i="1"/>
  <c r="R2593" i="1"/>
  <c r="R2592" i="1"/>
  <c r="R2591" i="1"/>
  <c r="R2590" i="1"/>
  <c r="R2589" i="1"/>
  <c r="R2588" i="1"/>
  <c r="R2587" i="1"/>
  <c r="R2586" i="1"/>
  <c r="R2585" i="1"/>
  <c r="R2584" i="1"/>
  <c r="R2583" i="1"/>
  <c r="R2582" i="1"/>
  <c r="R2581" i="1"/>
  <c r="R2580" i="1"/>
  <c r="R2579" i="1"/>
  <c r="R2578" i="1"/>
  <c r="R2577" i="1"/>
  <c r="R2576" i="1"/>
  <c r="R2575" i="1"/>
  <c r="R2574" i="1"/>
  <c r="R2573" i="1"/>
  <c r="R2572" i="1"/>
  <c r="R2571" i="1"/>
  <c r="R2570" i="1"/>
  <c r="R2569" i="1"/>
  <c r="R2568" i="1"/>
  <c r="R2567" i="1"/>
  <c r="R2566" i="1"/>
  <c r="R2565" i="1"/>
  <c r="R2564" i="1"/>
  <c r="R2563" i="1"/>
  <c r="R2562" i="1"/>
  <c r="R2561" i="1"/>
  <c r="R2560" i="1"/>
  <c r="R2559" i="1"/>
  <c r="R2558" i="1"/>
  <c r="R2557" i="1"/>
  <c r="R2556" i="1"/>
  <c r="R2555" i="1"/>
  <c r="R2554" i="1"/>
  <c r="R2553" i="1"/>
  <c r="R2552" i="1"/>
  <c r="R2551" i="1"/>
  <c r="R2550" i="1"/>
  <c r="R2549" i="1"/>
  <c r="R2548" i="1"/>
  <c r="R2547" i="1"/>
  <c r="R2546" i="1"/>
  <c r="R2545" i="1"/>
  <c r="R2544" i="1"/>
  <c r="R2543" i="1"/>
  <c r="R2542" i="1"/>
  <c r="R2541" i="1"/>
  <c r="R2540" i="1"/>
  <c r="R2539" i="1"/>
  <c r="R2538" i="1"/>
  <c r="R2537" i="1"/>
  <c r="R2536" i="1"/>
  <c r="R2535" i="1"/>
  <c r="R2534" i="1"/>
  <c r="R2533" i="1"/>
  <c r="R2532" i="1"/>
  <c r="R2531" i="1"/>
  <c r="R2530" i="1"/>
  <c r="R2529" i="1"/>
  <c r="R2528" i="1"/>
  <c r="R2527" i="1"/>
  <c r="R2526" i="1"/>
  <c r="R2525" i="1"/>
  <c r="R2524" i="1"/>
  <c r="R2523" i="1"/>
  <c r="R2522" i="1"/>
  <c r="R2521" i="1"/>
  <c r="R2520" i="1"/>
  <c r="R2519" i="1"/>
  <c r="R2518" i="1"/>
  <c r="R2517" i="1"/>
  <c r="R2516" i="1"/>
  <c r="R2515" i="1"/>
  <c r="R2514" i="1"/>
  <c r="R2513" i="1"/>
  <c r="R2512" i="1"/>
  <c r="R2511" i="1"/>
  <c r="R2510" i="1"/>
  <c r="R2509" i="1"/>
  <c r="R2508" i="1"/>
  <c r="R2507" i="1"/>
  <c r="R2506" i="1"/>
  <c r="R2505" i="1"/>
  <c r="R2504" i="1"/>
  <c r="R2503" i="1"/>
  <c r="R2502" i="1"/>
  <c r="R2501" i="1"/>
  <c r="R2500" i="1"/>
  <c r="R2499" i="1"/>
  <c r="R2498" i="1"/>
  <c r="R2497" i="1"/>
  <c r="R2496" i="1"/>
  <c r="R2495" i="1"/>
  <c r="R2494" i="1"/>
  <c r="R2493" i="1"/>
  <c r="R2492" i="1"/>
  <c r="R2491" i="1"/>
  <c r="R2490" i="1"/>
  <c r="R2489" i="1"/>
  <c r="R2488" i="1"/>
  <c r="R2487" i="1"/>
  <c r="R2486" i="1"/>
  <c r="R2485" i="1"/>
  <c r="R2484" i="1"/>
  <c r="R2483" i="1"/>
  <c r="R2482" i="1"/>
  <c r="R2481" i="1"/>
  <c r="R2480" i="1"/>
  <c r="R2479" i="1"/>
  <c r="R2478" i="1"/>
  <c r="R2477" i="1"/>
  <c r="R2476" i="1"/>
  <c r="R2475" i="1"/>
  <c r="R2474" i="1"/>
  <c r="R2473" i="1"/>
  <c r="R2472" i="1"/>
  <c r="R2471" i="1"/>
  <c r="R2470" i="1"/>
  <c r="R2469" i="1"/>
  <c r="R2468" i="1"/>
  <c r="R2467" i="1"/>
  <c r="R2466" i="1"/>
  <c r="R2465" i="1"/>
  <c r="R2464" i="1"/>
  <c r="R2463" i="1"/>
  <c r="R2462" i="1"/>
  <c r="R2461" i="1"/>
  <c r="R2460" i="1"/>
  <c r="R2459" i="1"/>
  <c r="R2458" i="1"/>
  <c r="R2457" i="1"/>
  <c r="R2456" i="1"/>
  <c r="R2455" i="1"/>
  <c r="R2454" i="1"/>
  <c r="R2453" i="1"/>
  <c r="R2452" i="1"/>
  <c r="R2451" i="1"/>
  <c r="R2450" i="1"/>
  <c r="R2449" i="1"/>
  <c r="R2448" i="1"/>
  <c r="R2447" i="1"/>
  <c r="R2446" i="1"/>
  <c r="R2445" i="1"/>
  <c r="R2444" i="1"/>
  <c r="R2443" i="1"/>
  <c r="R2442" i="1"/>
  <c r="R2441" i="1"/>
  <c r="R2440" i="1"/>
  <c r="R2439" i="1"/>
  <c r="R2438" i="1"/>
  <c r="R2437" i="1"/>
  <c r="R2436" i="1"/>
  <c r="R2435" i="1"/>
  <c r="R2434" i="1"/>
  <c r="R2433" i="1"/>
  <c r="R2432" i="1"/>
  <c r="R2431" i="1"/>
  <c r="R2430" i="1"/>
  <c r="R2429" i="1"/>
  <c r="R2428" i="1"/>
  <c r="R2427" i="1"/>
  <c r="R2426" i="1"/>
  <c r="R2425" i="1"/>
  <c r="R2424" i="1"/>
  <c r="R2423" i="1"/>
  <c r="R2422" i="1"/>
  <c r="R2421" i="1"/>
  <c r="R2420" i="1"/>
  <c r="R2419" i="1"/>
  <c r="R2418" i="1"/>
  <c r="R2417" i="1"/>
  <c r="R2416" i="1"/>
  <c r="R2415" i="1"/>
  <c r="R2414" i="1"/>
  <c r="R2413" i="1"/>
  <c r="R2412" i="1"/>
  <c r="R2411" i="1"/>
  <c r="R2410" i="1"/>
  <c r="R2409" i="1"/>
  <c r="R2408" i="1"/>
  <c r="R2407" i="1"/>
  <c r="R2406" i="1"/>
  <c r="R2405" i="1"/>
  <c r="R2404" i="1"/>
  <c r="R2403" i="1"/>
  <c r="R2402" i="1"/>
  <c r="R2401" i="1"/>
  <c r="R2400" i="1"/>
  <c r="R2399" i="1"/>
  <c r="R2398" i="1"/>
  <c r="R2397" i="1"/>
  <c r="R2396" i="1"/>
  <c r="R2395" i="1"/>
  <c r="R2394" i="1"/>
  <c r="R2393" i="1"/>
  <c r="R2392" i="1"/>
  <c r="R2391" i="1"/>
  <c r="R2390" i="1"/>
  <c r="R2389" i="1"/>
  <c r="R2388" i="1"/>
  <c r="R2387" i="1"/>
  <c r="R2386" i="1"/>
  <c r="R2385" i="1"/>
  <c r="R2384" i="1"/>
  <c r="R2383" i="1"/>
  <c r="R2382" i="1"/>
  <c r="R2381" i="1"/>
  <c r="R2380" i="1"/>
  <c r="R2379" i="1"/>
  <c r="R2378" i="1"/>
  <c r="R2377" i="1"/>
  <c r="R2376" i="1"/>
  <c r="R2375" i="1"/>
  <c r="R2374" i="1"/>
  <c r="R2373" i="1"/>
  <c r="R2372" i="1"/>
  <c r="R2371" i="1"/>
  <c r="R2370" i="1"/>
  <c r="R2369" i="1"/>
  <c r="R2368" i="1"/>
  <c r="R2367" i="1"/>
  <c r="R2366" i="1"/>
  <c r="R2365" i="1"/>
  <c r="R2364" i="1"/>
  <c r="R2363" i="1"/>
  <c r="R2362" i="1"/>
  <c r="R2361" i="1"/>
  <c r="R2360" i="1"/>
  <c r="R2359" i="1"/>
  <c r="R2358" i="1"/>
  <c r="R2357" i="1"/>
  <c r="R2356" i="1"/>
  <c r="R2355" i="1"/>
  <c r="R2354" i="1"/>
  <c r="R2353" i="1"/>
  <c r="R2352" i="1"/>
  <c r="R2351" i="1"/>
  <c r="R2350" i="1"/>
  <c r="R2349" i="1"/>
  <c r="R2348" i="1"/>
  <c r="R2347" i="1"/>
  <c r="R2346" i="1"/>
  <c r="R2345" i="1"/>
  <c r="R2344" i="1"/>
  <c r="R23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323" i="1"/>
  <c r="R2322" i="1"/>
  <c r="R2321" i="1"/>
  <c r="R2320" i="1"/>
  <c r="R2319" i="1"/>
  <c r="R2318" i="1"/>
  <c r="R2317" i="1"/>
  <c r="R2316" i="1"/>
  <c r="R2315" i="1"/>
  <c r="R2314" i="1"/>
  <c r="R2313" i="1"/>
  <c r="R2312" i="1"/>
  <c r="R2311" i="1"/>
  <c r="R2310" i="1"/>
  <c r="R2309" i="1"/>
  <c r="R2308" i="1"/>
  <c r="R2307" i="1"/>
  <c r="R2306" i="1"/>
  <c r="R2305" i="1"/>
  <c r="R2304" i="1"/>
  <c r="R2303" i="1"/>
  <c r="R2302" i="1"/>
  <c r="R2301" i="1"/>
  <c r="R2300" i="1"/>
  <c r="R2299" i="1"/>
  <c r="R2298" i="1"/>
  <c r="R2297" i="1"/>
  <c r="R2296" i="1"/>
  <c r="R2295" i="1"/>
  <c r="R2294" i="1"/>
  <c r="R2293" i="1"/>
  <c r="R2292" i="1"/>
  <c r="R2291" i="1"/>
  <c r="R2290" i="1"/>
  <c r="R2289" i="1"/>
  <c r="R2288" i="1"/>
  <c r="R2287" i="1"/>
  <c r="R2286" i="1"/>
  <c r="R2285" i="1"/>
  <c r="R2284" i="1"/>
  <c r="R2283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9" i="1"/>
  <c r="R2228" i="1"/>
  <c r="R2227" i="1"/>
  <c r="R2226" i="1"/>
  <c r="R2225" i="1"/>
  <c r="R2224" i="1"/>
  <c r="R2223" i="1"/>
  <c r="R2222" i="1"/>
  <c r="R2221" i="1"/>
  <c r="R2220" i="1"/>
  <c r="R2219" i="1"/>
  <c r="R2218" i="1"/>
  <c r="R2217" i="1"/>
  <c r="R2216" i="1"/>
  <c r="R2215" i="1"/>
  <c r="R2214" i="1"/>
  <c r="R2213" i="1"/>
  <c r="R2212" i="1"/>
  <c r="R2211" i="1"/>
  <c r="R2210" i="1"/>
  <c r="R2209" i="1"/>
  <c r="R2208" i="1"/>
  <c r="R2207" i="1"/>
  <c r="R2206" i="1"/>
  <c r="R2205" i="1"/>
  <c r="R2204" i="1"/>
  <c r="R220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9" i="1"/>
  <c r="R2188" i="1"/>
  <c r="R2187" i="1"/>
  <c r="R2186" i="1"/>
  <c r="R2185" i="1"/>
  <c r="R2184" i="1"/>
  <c r="R2183" i="1"/>
  <c r="R2182" i="1"/>
  <c r="R2181" i="1"/>
  <c r="R2180" i="1"/>
  <c r="R2179" i="1"/>
  <c r="R2178" i="1"/>
  <c r="R2177" i="1"/>
  <c r="R2176" i="1"/>
  <c r="R2175" i="1"/>
  <c r="R2174" i="1"/>
  <c r="R2173" i="1"/>
  <c r="R2172" i="1"/>
  <c r="R2171" i="1"/>
  <c r="R2170" i="1"/>
  <c r="R2169" i="1"/>
  <c r="R2168" i="1"/>
  <c r="R2167" i="1"/>
  <c r="R2166" i="1"/>
  <c r="R2165" i="1"/>
  <c r="R2164" i="1"/>
  <c r="R2163" i="1"/>
  <c r="R2162" i="1"/>
  <c r="R2161" i="1"/>
  <c r="R2160" i="1"/>
  <c r="R2159" i="1"/>
  <c r="R2158" i="1"/>
  <c r="R2157" i="1"/>
  <c r="R2156" i="1"/>
  <c r="R2155" i="1"/>
  <c r="R2154" i="1"/>
  <c r="R2153" i="1"/>
  <c r="R2152" i="1"/>
  <c r="R2151" i="1"/>
  <c r="R2150" i="1"/>
  <c r="R2149" i="1"/>
  <c r="R2148" i="1"/>
  <c r="R2147" i="1"/>
  <c r="R2146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2122" i="1"/>
  <c r="R2121" i="1"/>
  <c r="R2120" i="1"/>
  <c r="R2119" i="1"/>
  <c r="R2118" i="1"/>
  <c r="R2117" i="1"/>
  <c r="R2116" i="1"/>
  <c r="R2115" i="1"/>
  <c r="R2114" i="1"/>
  <c r="R2113" i="1"/>
  <c r="R2112" i="1"/>
  <c r="R2111" i="1"/>
  <c r="R2110" i="1"/>
  <c r="R2109" i="1"/>
  <c r="R2108" i="1"/>
  <c r="R2107" i="1"/>
  <c r="R2106" i="1"/>
  <c r="R2105" i="1"/>
  <c r="R2104" i="1"/>
  <c r="R2103" i="1"/>
  <c r="R2102" i="1"/>
  <c r="R2101" i="1"/>
  <c r="R2100" i="1"/>
  <c r="R2099" i="1"/>
  <c r="R2098" i="1"/>
  <c r="R2097" i="1"/>
  <c r="R2096" i="1"/>
  <c r="R2095" i="1"/>
  <c r="R2094" i="1"/>
  <c r="R2093" i="1"/>
  <c r="R2092" i="1"/>
  <c r="R2091" i="1"/>
  <c r="R2090" i="1"/>
  <c r="R2089" i="1"/>
  <c r="R2088" i="1"/>
  <c r="R2087" i="1"/>
  <c r="R2086" i="1"/>
  <c r="R2085" i="1"/>
  <c r="R2084" i="1"/>
  <c r="R2083" i="1"/>
  <c r="R2082" i="1"/>
  <c r="R2081" i="1"/>
  <c r="R2080" i="1"/>
  <c r="R2079" i="1"/>
  <c r="R2078" i="1"/>
  <c r="R2077" i="1"/>
  <c r="R2076" i="1"/>
  <c r="R2075" i="1"/>
  <c r="R2074" i="1"/>
  <c r="R2073" i="1"/>
  <c r="R2072" i="1"/>
  <c r="R2071" i="1"/>
  <c r="R2070" i="1"/>
  <c r="R2069" i="1"/>
  <c r="R2068" i="1"/>
  <c r="R2067" i="1"/>
  <c r="R2066" i="1"/>
  <c r="R2065" i="1"/>
  <c r="R2064" i="1"/>
  <c r="R2063" i="1"/>
  <c r="R2062" i="1"/>
  <c r="R2061" i="1"/>
  <c r="R2060" i="1"/>
  <c r="R2059" i="1"/>
  <c r="R2058" i="1"/>
  <c r="R2057" i="1"/>
  <c r="R2056" i="1"/>
  <c r="R2055" i="1"/>
  <c r="R2054" i="1"/>
  <c r="R2053" i="1"/>
  <c r="R2052" i="1"/>
  <c r="R2051" i="1"/>
  <c r="R2050" i="1"/>
  <c r="R2049" i="1"/>
  <c r="R2048" i="1"/>
  <c r="R2047" i="1"/>
  <c r="R2046" i="1"/>
  <c r="R2045" i="1"/>
  <c r="R2044" i="1"/>
  <c r="R2043" i="1"/>
  <c r="R2042" i="1"/>
  <c r="R2041" i="1"/>
  <c r="R2040" i="1"/>
  <c r="R2039" i="1"/>
  <c r="R2038" i="1"/>
  <c r="R2037" i="1"/>
  <c r="R2036" i="1"/>
  <c r="R2035" i="1"/>
  <c r="R2034" i="1"/>
  <c r="R2033" i="1"/>
  <c r="R2032" i="1"/>
  <c r="R2031" i="1"/>
  <c r="R2030" i="1"/>
  <c r="R2029" i="1"/>
  <c r="R2028" i="1"/>
  <c r="R2027" i="1"/>
  <c r="R2026" i="1"/>
  <c r="R2025" i="1"/>
  <c r="R2024" i="1"/>
  <c r="R2023" i="1"/>
  <c r="R2022" i="1"/>
  <c r="R2021" i="1"/>
  <c r="R2020" i="1"/>
  <c r="R2019" i="1"/>
  <c r="R2018" i="1"/>
  <c r="R2017" i="1"/>
  <c r="R2016" i="1"/>
  <c r="R2015" i="1"/>
  <c r="R2014" i="1"/>
  <c r="R2013" i="1"/>
  <c r="R2012" i="1"/>
  <c r="R2011" i="1"/>
  <c r="R2010" i="1"/>
  <c r="R2009" i="1"/>
  <c r="R2008" i="1"/>
  <c r="R2007" i="1"/>
  <c r="R2006" i="1"/>
  <c r="R2005" i="1"/>
  <c r="R2004" i="1"/>
  <c r="R2003" i="1"/>
  <c r="R2002" i="1"/>
  <c r="R2001" i="1"/>
  <c r="R2000" i="1"/>
  <c r="R1999" i="1"/>
  <c r="R1998" i="1"/>
  <c r="R1997" i="1"/>
  <c r="R1996" i="1"/>
  <c r="R1995" i="1"/>
  <c r="R1994" i="1"/>
  <c r="R1993" i="1"/>
  <c r="R1992" i="1"/>
  <c r="R1991" i="1"/>
  <c r="R1990" i="1"/>
  <c r="R1989" i="1"/>
  <c r="R1988" i="1"/>
  <c r="R1987" i="1"/>
  <c r="R1986" i="1"/>
  <c r="R1985" i="1"/>
  <c r="R1984" i="1"/>
  <c r="R1983" i="1"/>
  <c r="R1982" i="1"/>
  <c r="R1981" i="1"/>
  <c r="R1980" i="1"/>
  <c r="R1979" i="1"/>
  <c r="R1978" i="1"/>
  <c r="R1977" i="1"/>
  <c r="R1976" i="1"/>
  <c r="R1975" i="1"/>
  <c r="R1974" i="1"/>
  <c r="R1973" i="1"/>
  <c r="R1972" i="1"/>
  <c r="R1971" i="1"/>
  <c r="R1970" i="1"/>
  <c r="R1969" i="1"/>
  <c r="R1968" i="1"/>
  <c r="R1967" i="1"/>
  <c r="R1966" i="1"/>
  <c r="R1965" i="1"/>
  <c r="R1964" i="1"/>
  <c r="R1963" i="1"/>
  <c r="R1962" i="1"/>
  <c r="R1961" i="1"/>
  <c r="R1960" i="1"/>
  <c r="R1959" i="1"/>
  <c r="R1958" i="1"/>
  <c r="R1957" i="1"/>
  <c r="R1956" i="1"/>
  <c r="R1955" i="1"/>
  <c r="R1954" i="1"/>
  <c r="R1953" i="1"/>
  <c r="R1952" i="1"/>
  <c r="R1951" i="1"/>
  <c r="R1950" i="1"/>
  <c r="R1949" i="1"/>
  <c r="R1948" i="1"/>
  <c r="R1947" i="1"/>
  <c r="R1946" i="1"/>
  <c r="R1945" i="1"/>
  <c r="R1944" i="1"/>
  <c r="R1943" i="1"/>
  <c r="R1942" i="1"/>
  <c r="R1941" i="1"/>
  <c r="R1940" i="1"/>
  <c r="R1939" i="1"/>
  <c r="R1938" i="1"/>
  <c r="R1937" i="1"/>
  <c r="R1936" i="1"/>
  <c r="R1935" i="1"/>
  <c r="R1934" i="1"/>
  <c r="R1933" i="1"/>
  <c r="R1932" i="1"/>
  <c r="R1931" i="1"/>
  <c r="R1930" i="1"/>
  <c r="R1929" i="1"/>
  <c r="R1928" i="1"/>
  <c r="R1927" i="1"/>
  <c r="R1926" i="1"/>
  <c r="R1925" i="1"/>
  <c r="R1924" i="1"/>
  <c r="R1923" i="1"/>
  <c r="R1922" i="1"/>
  <c r="R1921" i="1"/>
  <c r="R1920" i="1"/>
  <c r="R1919" i="1"/>
  <c r="R1918" i="1"/>
  <c r="R1917" i="1"/>
  <c r="R1916" i="1"/>
  <c r="R1915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5" i="1"/>
  <c r="R1294" i="1"/>
  <c r="R1293" i="1"/>
  <c r="R1292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5" i="1"/>
  <c r="R1274" i="1"/>
  <c r="R1273" i="1"/>
  <c r="R1272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D2" i="2" l="1"/>
  <c r="D3" i="2"/>
  <c r="AK26" i="2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A4" i="1" l="1"/>
  <c r="A5" i="1" s="1"/>
  <c r="D4" i="2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3" i="1" l="1"/>
  <c r="P10" i="1"/>
  <c r="P11" i="1"/>
  <c r="P4" i="1"/>
  <c r="P12" i="1"/>
  <c r="P5" i="1"/>
  <c r="P13" i="1"/>
  <c r="P6" i="1"/>
  <c r="P17" i="1"/>
  <c r="P7" i="1"/>
  <c r="P18" i="1"/>
  <c r="P8" i="1"/>
  <c r="P9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s="1"/>
  <c r="A32" i="1" s="1"/>
  <c r="A33" i="1" s="1"/>
  <c r="A34" i="1" s="1"/>
  <c r="A35" i="1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O58" i="1" l="1"/>
  <c r="O244" i="1"/>
  <c r="O92" i="1"/>
  <c r="O218" i="1"/>
  <c r="O221" i="1"/>
  <c r="O75" i="1"/>
  <c r="O68" i="1"/>
  <c r="O149" i="1"/>
  <c r="O94" i="1"/>
  <c r="O83" i="1"/>
  <c r="O76" i="1"/>
  <c r="O277" i="1"/>
  <c r="O222" i="1"/>
  <c r="O164" i="1"/>
  <c r="O100" i="1"/>
  <c r="O148" i="1"/>
  <c r="O286" i="1"/>
  <c r="O235" i="1"/>
  <c r="O291" i="1"/>
  <c r="O156" i="1"/>
  <c r="O119" i="1"/>
  <c r="O299" i="1"/>
  <c r="O228" i="1"/>
  <c r="O232" i="1"/>
  <c r="O174" i="1"/>
  <c r="O157" i="1"/>
  <c r="O84" i="1"/>
  <c r="O236" i="1"/>
  <c r="O73" i="1"/>
  <c r="O298" i="1"/>
  <c r="O93" i="1"/>
  <c r="O55" i="1"/>
  <c r="O296" i="1"/>
  <c r="O282" i="1"/>
  <c r="O227" i="1"/>
  <c r="O91" i="1"/>
  <c r="O71" i="1"/>
  <c r="O14" i="1"/>
  <c r="O183" i="1"/>
  <c r="O137" i="1"/>
  <c r="O219" i="1"/>
  <c r="O229" i="1"/>
  <c r="O135" i="1"/>
  <c r="O54" i="1"/>
  <c r="O285" i="1"/>
  <c r="O247" i="1"/>
  <c r="O201" i="1"/>
  <c r="O98" i="1"/>
  <c r="O63" i="1"/>
  <c r="O109" i="1"/>
  <c r="O248" i="1"/>
  <c r="O271" i="1"/>
  <c r="O265" i="1"/>
  <c r="O162" i="1"/>
  <c r="O173" i="1"/>
  <c r="O16" i="1"/>
  <c r="O225" i="1"/>
  <c r="O158" i="1"/>
  <c r="O104" i="1"/>
  <c r="O90" i="1"/>
  <c r="O226" i="1"/>
  <c r="O145" i="1"/>
  <c r="O89" i="1"/>
  <c r="O102" i="1"/>
  <c r="O168" i="1"/>
  <c r="O154" i="1"/>
  <c r="O290" i="1"/>
  <c r="O273" i="1"/>
  <c r="O110" i="1"/>
  <c r="O234" i="1"/>
  <c r="O118" i="1"/>
  <c r="O64" i="1"/>
  <c r="O289" i="1"/>
  <c r="O127" i="1"/>
  <c r="O169" i="1"/>
  <c r="O182" i="1"/>
  <c r="O128" i="1"/>
  <c r="O114" i="1"/>
  <c r="O237" i="1"/>
  <c r="O199" i="1"/>
  <c r="O153" i="1"/>
  <c r="O283" i="1"/>
  <c r="O246" i="1"/>
  <c r="O192" i="1"/>
  <c r="O242" i="1"/>
  <c r="O124" i="1"/>
  <c r="O263" i="1"/>
  <c r="O217" i="1"/>
  <c r="O53" i="1"/>
  <c r="O30" i="1"/>
  <c r="O256" i="1"/>
  <c r="O50" i="1"/>
  <c r="O125" i="1"/>
  <c r="O56" i="1"/>
  <c r="O281" i="1"/>
  <c r="O165" i="1"/>
  <c r="O117" i="1"/>
  <c r="O79" i="1"/>
  <c r="O48" i="1"/>
  <c r="O99" i="1"/>
  <c r="O253" i="1"/>
  <c r="O198" i="1"/>
  <c r="O120" i="1"/>
  <c r="O106" i="1"/>
  <c r="O230" i="1"/>
  <c r="O181" i="1"/>
  <c r="O143" i="1"/>
  <c r="O97" i="1"/>
  <c r="O60" i="1"/>
  <c r="O87" i="1"/>
  <c r="O49" i="1"/>
  <c r="O238" i="1"/>
  <c r="O184" i="1"/>
  <c r="O170" i="1"/>
  <c r="O255" i="1"/>
  <c r="O245" i="1"/>
  <c r="O207" i="1"/>
  <c r="O161" i="1"/>
  <c r="O215" i="1"/>
  <c r="O81" i="1"/>
  <c r="O189" i="1"/>
  <c r="O151" i="1"/>
  <c r="O105" i="1"/>
  <c r="O115" i="1"/>
  <c r="O262" i="1"/>
  <c r="O177" i="1"/>
  <c r="O69" i="1"/>
  <c r="O31" i="1"/>
  <c r="O241" i="1"/>
  <c r="O178" i="1"/>
  <c r="O176" i="1"/>
  <c r="O62" i="1"/>
  <c r="O279" i="1"/>
  <c r="O233" i="1"/>
  <c r="O101" i="1"/>
  <c r="O133" i="1"/>
  <c r="O95" i="1"/>
  <c r="O194" i="1"/>
  <c r="O205" i="1"/>
  <c r="O209" i="1"/>
  <c r="O126" i="1"/>
  <c r="O72" i="1"/>
  <c r="O297" i="1"/>
  <c r="O166" i="1"/>
  <c r="O197" i="1"/>
  <c r="O223" i="1"/>
  <c r="O258" i="1"/>
  <c r="O167" i="1"/>
  <c r="O190" i="1"/>
  <c r="O136" i="1"/>
  <c r="O122" i="1"/>
  <c r="O191" i="1"/>
  <c r="O261" i="1"/>
  <c r="O287" i="1"/>
  <c r="O51" i="1"/>
  <c r="O121" i="1"/>
  <c r="O254" i="1"/>
  <c r="O200" i="1"/>
  <c r="O186" i="1"/>
  <c r="O240" i="1"/>
  <c r="O70" i="1"/>
  <c r="O208" i="1"/>
  <c r="O188" i="1"/>
  <c r="O155" i="1"/>
  <c r="O61" i="1"/>
  <c r="O15" i="1"/>
  <c r="O264" i="1"/>
  <c r="O250" i="1"/>
  <c r="O134" i="1"/>
  <c r="O272" i="1"/>
  <c r="O112" i="1"/>
  <c r="O274" i="1"/>
  <c r="O269" i="1"/>
  <c r="O231" i="1"/>
  <c r="O185" i="1"/>
  <c r="O163" i="1"/>
  <c r="O78" i="1"/>
  <c r="O295" i="1"/>
  <c r="O249" i="1"/>
  <c r="O85" i="1"/>
  <c r="O196" i="1"/>
  <c r="O159" i="1"/>
  <c r="O113" i="1"/>
  <c r="O131" i="1"/>
  <c r="O142" i="1"/>
  <c r="O88" i="1"/>
  <c r="O74" i="1"/>
  <c r="O150" i="1"/>
  <c r="O276" i="1"/>
  <c r="O206" i="1"/>
  <c r="O152" i="1"/>
  <c r="O138" i="1"/>
  <c r="O47" i="1"/>
  <c r="O195" i="1"/>
  <c r="O270" i="1"/>
  <c r="O216" i="1"/>
  <c r="O202" i="1"/>
  <c r="O175" i="1"/>
  <c r="O107" i="1"/>
  <c r="O80" i="1"/>
  <c r="O66" i="1"/>
  <c r="O293" i="1"/>
  <c r="O77" i="1"/>
  <c r="O280" i="1"/>
  <c r="O266" i="1"/>
  <c r="O288" i="1"/>
  <c r="O171" i="1"/>
  <c r="O144" i="1"/>
  <c r="O130" i="1"/>
  <c r="O294" i="1"/>
  <c r="O141" i="1"/>
  <c r="O103" i="1"/>
  <c r="O57" i="1"/>
  <c r="O59" i="1"/>
  <c r="O129" i="1"/>
  <c r="I29" i="1"/>
  <c r="L29" i="1" s="1"/>
  <c r="N29" i="1" s="1"/>
  <c r="O111" i="1"/>
  <c r="O65" i="1"/>
  <c r="O67" i="1"/>
  <c r="O204" i="1"/>
  <c r="O203" i="1"/>
  <c r="O243" i="1"/>
  <c r="O211" i="1"/>
  <c r="O251" i="1"/>
  <c r="O52" i="1"/>
  <c r="O213" i="1"/>
  <c r="O239" i="1"/>
  <c r="O193" i="1"/>
  <c r="O140" i="1"/>
  <c r="O284" i="1"/>
  <c r="O179" i="1"/>
  <c r="O116" i="1"/>
  <c r="O86" i="1"/>
  <c r="O2" i="1"/>
  <c r="O257" i="1"/>
  <c r="O212" i="1"/>
  <c r="O139" i="1"/>
  <c r="O187" i="1"/>
  <c r="O180" i="1"/>
  <c r="O96" i="1"/>
  <c r="O82" i="1"/>
  <c r="O220" i="1"/>
  <c r="O260" i="1"/>
  <c r="O259" i="1"/>
  <c r="O108" i="1"/>
  <c r="O132" i="1"/>
  <c r="O214" i="1"/>
  <c r="O160" i="1"/>
  <c r="O146" i="1"/>
  <c r="O292" i="1"/>
  <c r="O268" i="1"/>
  <c r="O267" i="1"/>
  <c r="O172" i="1"/>
  <c r="O252" i="1"/>
  <c r="O278" i="1"/>
  <c r="O224" i="1"/>
  <c r="O210" i="1"/>
  <c r="O300" i="1"/>
  <c r="O123" i="1"/>
  <c r="O275" i="1"/>
  <c r="O147" i="1"/>
  <c r="I35" i="1"/>
  <c r="I13" i="1"/>
  <c r="J29" i="1" l="1"/>
  <c r="J35" i="1"/>
  <c r="L35" i="1"/>
  <c r="N35" i="1" s="1"/>
  <c r="E51" i="4" s="1"/>
  <c r="B2" i="2"/>
  <c r="D19" i="2"/>
  <c r="D9" i="2"/>
  <c r="G11" i="2"/>
  <c r="E25" i="2"/>
  <c r="D25" i="2"/>
  <c r="H14" i="2"/>
  <c r="G23" i="2"/>
  <c r="F24" i="2"/>
  <c r="E17" i="2"/>
  <c r="D20" i="2"/>
  <c r="D16" i="2"/>
  <c r="D13" i="2"/>
  <c r="G10" i="2"/>
  <c r="D11" i="2"/>
  <c r="E22" i="2"/>
  <c r="H25" i="2"/>
  <c r="G26" i="2"/>
  <c r="F23" i="2"/>
  <c r="F22" i="2"/>
  <c r="E16" i="2"/>
  <c r="F17" i="2"/>
  <c r="G21" i="2"/>
  <c r="F16" i="2"/>
  <c r="G25" i="2"/>
  <c r="F9" i="2"/>
  <c r="G14" i="2"/>
  <c r="E13" i="2"/>
  <c r="D12" i="2"/>
  <c r="D22" i="2"/>
  <c r="H19" i="2"/>
  <c r="I19" i="2" s="1"/>
  <c r="E11" i="2"/>
  <c r="H17" i="2"/>
  <c r="E3" i="2"/>
  <c r="E14" i="2"/>
  <c r="D23" i="2"/>
  <c r="E10" i="2"/>
  <c r="H18" i="2"/>
  <c r="G16" i="2"/>
  <c r="G20" i="2"/>
  <c r="E21" i="2"/>
  <c r="D15" i="2"/>
  <c r="H8" i="2"/>
  <c r="G15" i="2"/>
  <c r="H24" i="2"/>
  <c r="F10" i="2"/>
  <c r="B3" i="2"/>
  <c r="B4" i="2" s="1"/>
  <c r="C2" i="2"/>
  <c r="E2" i="2"/>
  <c r="H15" i="2"/>
  <c r="I15" i="2" s="1"/>
  <c r="G9" i="2"/>
  <c r="H23" i="2"/>
  <c r="F8" i="2"/>
  <c r="J13" i="1"/>
  <c r="H16" i="2"/>
  <c r="G19" i="2"/>
  <c r="E9" i="2"/>
  <c r="H21" i="2"/>
  <c r="D21" i="2"/>
  <c r="F25" i="2"/>
  <c r="H10" i="2"/>
  <c r="G24" i="2"/>
  <c r="D18" i="2"/>
  <c r="D14" i="2"/>
  <c r="D10" i="2"/>
  <c r="E19" i="2"/>
  <c r="G18" i="2"/>
  <c r="D24" i="2"/>
  <c r="F20" i="2"/>
  <c r="F15" i="2"/>
  <c r="H13" i="2"/>
  <c r="H22" i="2"/>
  <c r="E24" i="2"/>
  <c r="G8" i="2"/>
  <c r="G13" i="2"/>
  <c r="H9" i="2"/>
  <c r="H20" i="2"/>
  <c r="E23" i="2"/>
  <c r="G17" i="2"/>
  <c r="L13" i="1"/>
  <c r="N13" i="1" s="1"/>
  <c r="F26" i="2"/>
  <c r="E20" i="2"/>
  <c r="F13" i="2"/>
  <c r="G12" i="2"/>
  <c r="F14" i="2"/>
  <c r="F19" i="2"/>
  <c r="D17" i="2"/>
  <c r="D26" i="2"/>
  <c r="E15" i="2"/>
  <c r="F2" i="2"/>
  <c r="F12" i="2"/>
  <c r="H11" i="2"/>
  <c r="E18" i="2"/>
  <c r="F11" i="2"/>
  <c r="D8" i="2"/>
  <c r="C3" i="2"/>
  <c r="E8" i="2"/>
  <c r="F21" i="2"/>
  <c r="G22" i="2"/>
  <c r="F18" i="2"/>
  <c r="P19" i="1" l="1"/>
  <c r="P27" i="1"/>
  <c r="P35" i="1"/>
  <c r="P43" i="1"/>
  <c r="P51" i="1"/>
  <c r="P59" i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P659" i="1"/>
  <c r="P667" i="1"/>
  <c r="P675" i="1"/>
  <c r="P683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6" i="1"/>
  <c r="P364" i="1"/>
  <c r="P372" i="1"/>
  <c r="P380" i="1"/>
  <c r="P388" i="1"/>
  <c r="P396" i="1"/>
  <c r="P404" i="1"/>
  <c r="P412" i="1"/>
  <c r="P420" i="1"/>
  <c r="P428" i="1"/>
  <c r="P436" i="1"/>
  <c r="P444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6" i="1"/>
  <c r="P604" i="1"/>
  <c r="P612" i="1"/>
  <c r="P620" i="1"/>
  <c r="P628" i="1"/>
  <c r="P636" i="1"/>
  <c r="P644" i="1"/>
  <c r="P652" i="1"/>
  <c r="P660" i="1"/>
  <c r="P668" i="1"/>
  <c r="P676" i="1"/>
  <c r="P684" i="1"/>
  <c r="P692" i="1"/>
  <c r="P21" i="1"/>
  <c r="P29" i="1"/>
  <c r="P37" i="1"/>
  <c r="P45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41" i="1"/>
  <c r="P349" i="1"/>
  <c r="P357" i="1"/>
  <c r="P365" i="1"/>
  <c r="P373" i="1"/>
  <c r="P381" i="1"/>
  <c r="P389" i="1"/>
  <c r="P397" i="1"/>
  <c r="P405" i="1"/>
  <c r="P413" i="1"/>
  <c r="P421" i="1"/>
  <c r="P429" i="1"/>
  <c r="P437" i="1"/>
  <c r="P445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14" i="1"/>
  <c r="P22" i="1"/>
  <c r="P30" i="1"/>
  <c r="P38" i="1"/>
  <c r="P46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P190" i="1"/>
  <c r="P198" i="1"/>
  <c r="P206" i="1"/>
  <c r="P214" i="1"/>
  <c r="P222" i="1"/>
  <c r="P230" i="1"/>
  <c r="P238" i="1"/>
  <c r="P246" i="1"/>
  <c r="P254" i="1"/>
  <c r="P262" i="1"/>
  <c r="P270" i="1"/>
  <c r="P278" i="1"/>
  <c r="P286" i="1"/>
  <c r="P294" i="1"/>
  <c r="P302" i="1"/>
  <c r="P310" i="1"/>
  <c r="P318" i="1"/>
  <c r="P326" i="1"/>
  <c r="P334" i="1"/>
  <c r="P342" i="1"/>
  <c r="P350" i="1"/>
  <c r="P358" i="1"/>
  <c r="P366" i="1"/>
  <c r="P374" i="1"/>
  <c r="P382" i="1"/>
  <c r="P390" i="1"/>
  <c r="P398" i="1"/>
  <c r="P406" i="1"/>
  <c r="P414" i="1"/>
  <c r="P422" i="1"/>
  <c r="P430" i="1"/>
  <c r="P438" i="1"/>
  <c r="P446" i="1"/>
  <c r="P454" i="1"/>
  <c r="P462" i="1"/>
  <c r="P470" i="1"/>
  <c r="P478" i="1"/>
  <c r="P486" i="1"/>
  <c r="P494" i="1"/>
  <c r="P502" i="1"/>
  <c r="P510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P662" i="1"/>
  <c r="P670" i="1"/>
  <c r="P678" i="1"/>
  <c r="P686" i="1"/>
  <c r="P15" i="1"/>
  <c r="P23" i="1"/>
  <c r="P31" i="1"/>
  <c r="P39" i="1"/>
  <c r="P47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51" i="1"/>
  <c r="P559" i="1"/>
  <c r="P567" i="1"/>
  <c r="P575" i="1"/>
  <c r="P583" i="1"/>
  <c r="P591" i="1"/>
  <c r="P599" i="1"/>
  <c r="P607" i="1"/>
  <c r="P615" i="1"/>
  <c r="P623" i="1"/>
  <c r="P631" i="1"/>
  <c r="P639" i="1"/>
  <c r="P647" i="1"/>
  <c r="P655" i="1"/>
  <c r="P663" i="1"/>
  <c r="P671" i="1"/>
  <c r="P679" i="1"/>
  <c r="P687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6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52" i="1"/>
  <c r="P560" i="1"/>
  <c r="P568" i="1"/>
  <c r="P576" i="1"/>
  <c r="P584" i="1"/>
  <c r="P592" i="1"/>
  <c r="P600" i="1"/>
  <c r="P608" i="1"/>
  <c r="P616" i="1"/>
  <c r="P624" i="1"/>
  <c r="P632" i="1"/>
  <c r="P640" i="1"/>
  <c r="P648" i="1"/>
  <c r="P656" i="1"/>
  <c r="P664" i="1"/>
  <c r="P672" i="1"/>
  <c r="P680" i="1"/>
  <c r="P688" i="1"/>
  <c r="P25" i="1"/>
  <c r="P33" i="1"/>
  <c r="P41" i="1"/>
  <c r="P49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7" i="1"/>
  <c r="P345" i="1"/>
  <c r="P353" i="1"/>
  <c r="P361" i="1"/>
  <c r="P369" i="1"/>
  <c r="P377" i="1"/>
  <c r="P385" i="1"/>
  <c r="P393" i="1"/>
  <c r="P401" i="1"/>
  <c r="P409" i="1"/>
  <c r="P417" i="1"/>
  <c r="P425" i="1"/>
  <c r="P433" i="1"/>
  <c r="P441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601" i="1"/>
  <c r="P609" i="1"/>
  <c r="P617" i="1"/>
  <c r="P625" i="1"/>
  <c r="P633" i="1"/>
  <c r="P641" i="1"/>
  <c r="P649" i="1"/>
  <c r="P657" i="1"/>
  <c r="P665" i="1"/>
  <c r="P673" i="1"/>
  <c r="P681" i="1"/>
  <c r="P689" i="1"/>
  <c r="P50" i="1"/>
  <c r="P114" i="1"/>
  <c r="P178" i="1"/>
  <c r="P242" i="1"/>
  <c r="P306" i="1"/>
  <c r="P370" i="1"/>
  <c r="P434" i="1"/>
  <c r="P498" i="1"/>
  <c r="P562" i="1"/>
  <c r="P626" i="1"/>
  <c r="P674" i="1"/>
  <c r="P695" i="1"/>
  <c r="P703" i="1"/>
  <c r="P711" i="1"/>
  <c r="P719" i="1"/>
  <c r="P727" i="1"/>
  <c r="P735" i="1"/>
  <c r="P743" i="1"/>
  <c r="P751" i="1"/>
  <c r="P759" i="1"/>
  <c r="P767" i="1"/>
  <c r="P775" i="1"/>
  <c r="P783" i="1"/>
  <c r="P791" i="1"/>
  <c r="P799" i="1"/>
  <c r="P807" i="1"/>
  <c r="P815" i="1"/>
  <c r="P823" i="1"/>
  <c r="P831" i="1"/>
  <c r="P839" i="1"/>
  <c r="P847" i="1"/>
  <c r="P855" i="1"/>
  <c r="P863" i="1"/>
  <c r="P871" i="1"/>
  <c r="P879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991" i="1"/>
  <c r="P999" i="1"/>
  <c r="P1007" i="1"/>
  <c r="P1015" i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58" i="1"/>
  <c r="P122" i="1"/>
  <c r="P186" i="1"/>
  <c r="P250" i="1"/>
  <c r="P314" i="1"/>
  <c r="P378" i="1"/>
  <c r="P442" i="1"/>
  <c r="P506" i="1"/>
  <c r="P570" i="1"/>
  <c r="P634" i="1"/>
  <c r="P677" i="1"/>
  <c r="P696" i="1"/>
  <c r="P704" i="1"/>
  <c r="P712" i="1"/>
  <c r="P720" i="1"/>
  <c r="P728" i="1"/>
  <c r="P736" i="1"/>
  <c r="P744" i="1"/>
  <c r="P752" i="1"/>
  <c r="P760" i="1"/>
  <c r="P768" i="1"/>
  <c r="P776" i="1"/>
  <c r="P784" i="1"/>
  <c r="P792" i="1"/>
  <c r="P800" i="1"/>
  <c r="P808" i="1"/>
  <c r="P816" i="1"/>
  <c r="P824" i="1"/>
  <c r="P832" i="1"/>
  <c r="P840" i="1"/>
  <c r="P848" i="1"/>
  <c r="P856" i="1"/>
  <c r="P864" i="1"/>
  <c r="P872" i="1"/>
  <c r="P880" i="1"/>
  <c r="P888" i="1"/>
  <c r="P896" i="1"/>
  <c r="P904" i="1"/>
  <c r="P912" i="1"/>
  <c r="P920" i="1"/>
  <c r="P928" i="1"/>
  <c r="P936" i="1"/>
  <c r="P944" i="1"/>
  <c r="P952" i="1"/>
  <c r="P960" i="1"/>
  <c r="P968" i="1"/>
  <c r="P976" i="1"/>
  <c r="P984" i="1"/>
  <c r="P992" i="1"/>
  <c r="P1000" i="1"/>
  <c r="P1008" i="1"/>
  <c r="P1016" i="1"/>
  <c r="P1024" i="1"/>
  <c r="P1032" i="1"/>
  <c r="P1040" i="1"/>
  <c r="P1048" i="1"/>
  <c r="P1056" i="1"/>
  <c r="P1064" i="1"/>
  <c r="P1072" i="1"/>
  <c r="P1080" i="1"/>
  <c r="P1088" i="1"/>
  <c r="P1096" i="1"/>
  <c r="P1104" i="1"/>
  <c r="P1112" i="1"/>
  <c r="P1120" i="1"/>
  <c r="P1128" i="1"/>
  <c r="P1136" i="1"/>
  <c r="P1144" i="1"/>
  <c r="P1152" i="1"/>
  <c r="P1160" i="1"/>
  <c r="P1168" i="1"/>
  <c r="P1176" i="1"/>
  <c r="P1184" i="1"/>
  <c r="P1192" i="1"/>
  <c r="P1200" i="1"/>
  <c r="P1208" i="1"/>
  <c r="P66" i="1"/>
  <c r="P130" i="1"/>
  <c r="P194" i="1"/>
  <c r="P258" i="1"/>
  <c r="P322" i="1"/>
  <c r="P386" i="1"/>
  <c r="P450" i="1"/>
  <c r="P514" i="1"/>
  <c r="P578" i="1"/>
  <c r="P642" i="1"/>
  <c r="P682" i="1"/>
  <c r="P697" i="1"/>
  <c r="P705" i="1"/>
  <c r="P713" i="1"/>
  <c r="P721" i="1"/>
  <c r="P729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3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993" i="1"/>
  <c r="P1001" i="1"/>
  <c r="P1009" i="1"/>
  <c r="P1017" i="1"/>
  <c r="P1025" i="1"/>
  <c r="P1033" i="1"/>
  <c r="P1041" i="1"/>
  <c r="P1049" i="1"/>
  <c r="P1057" i="1"/>
  <c r="P1065" i="1"/>
  <c r="P1073" i="1"/>
  <c r="P1081" i="1"/>
  <c r="P1089" i="1"/>
  <c r="P1097" i="1"/>
  <c r="P1105" i="1"/>
  <c r="P1113" i="1"/>
  <c r="P1121" i="1"/>
  <c r="P1129" i="1"/>
  <c r="P1137" i="1"/>
  <c r="P1145" i="1"/>
  <c r="P1153" i="1"/>
  <c r="P1161" i="1"/>
  <c r="P1169" i="1"/>
  <c r="P1177" i="1"/>
  <c r="P1185" i="1"/>
  <c r="P1193" i="1"/>
  <c r="P1201" i="1"/>
  <c r="P1209" i="1"/>
  <c r="P74" i="1"/>
  <c r="P138" i="1"/>
  <c r="P202" i="1"/>
  <c r="P266" i="1"/>
  <c r="P330" i="1"/>
  <c r="P394" i="1"/>
  <c r="P458" i="1"/>
  <c r="P522" i="1"/>
  <c r="P586" i="1"/>
  <c r="P650" i="1"/>
  <c r="P685" i="1"/>
  <c r="P698" i="1"/>
  <c r="P706" i="1"/>
  <c r="P714" i="1"/>
  <c r="P722" i="1"/>
  <c r="P730" i="1"/>
  <c r="P738" i="1"/>
  <c r="P746" i="1"/>
  <c r="P754" i="1"/>
  <c r="P762" i="1"/>
  <c r="P770" i="1"/>
  <c r="P778" i="1"/>
  <c r="P786" i="1"/>
  <c r="P794" i="1"/>
  <c r="P802" i="1"/>
  <c r="P810" i="1"/>
  <c r="P818" i="1"/>
  <c r="P826" i="1"/>
  <c r="P834" i="1"/>
  <c r="P842" i="1"/>
  <c r="P850" i="1"/>
  <c r="P858" i="1"/>
  <c r="P866" i="1"/>
  <c r="P874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994" i="1"/>
  <c r="P1002" i="1"/>
  <c r="P1010" i="1"/>
  <c r="P1018" i="1"/>
  <c r="P1026" i="1"/>
  <c r="P1034" i="1"/>
  <c r="P1042" i="1"/>
  <c r="P1050" i="1"/>
  <c r="P1058" i="1"/>
  <c r="P1066" i="1"/>
  <c r="P1074" i="1"/>
  <c r="P1082" i="1"/>
  <c r="P1090" i="1"/>
  <c r="P1098" i="1"/>
  <c r="P1106" i="1"/>
  <c r="P1114" i="1"/>
  <c r="P1122" i="1"/>
  <c r="P1130" i="1"/>
  <c r="P1138" i="1"/>
  <c r="P1146" i="1"/>
  <c r="P1154" i="1"/>
  <c r="P1162" i="1"/>
  <c r="P1170" i="1"/>
  <c r="P1178" i="1"/>
  <c r="P1186" i="1"/>
  <c r="P1194" i="1"/>
  <c r="P1202" i="1"/>
  <c r="P1210" i="1"/>
  <c r="P1218" i="1"/>
  <c r="P1226" i="1"/>
  <c r="P1234" i="1"/>
  <c r="P1242" i="1"/>
  <c r="P1250" i="1"/>
  <c r="P1258" i="1"/>
  <c r="P1266" i="1"/>
  <c r="P1274" i="1"/>
  <c r="P82" i="1"/>
  <c r="P146" i="1"/>
  <c r="P210" i="1"/>
  <c r="P274" i="1"/>
  <c r="P338" i="1"/>
  <c r="P402" i="1"/>
  <c r="P466" i="1"/>
  <c r="P530" i="1"/>
  <c r="P594" i="1"/>
  <c r="P658" i="1"/>
  <c r="P690" i="1"/>
  <c r="P699" i="1"/>
  <c r="P707" i="1"/>
  <c r="P715" i="1"/>
  <c r="P723" i="1"/>
  <c r="P731" i="1"/>
  <c r="P739" i="1"/>
  <c r="P747" i="1"/>
  <c r="P755" i="1"/>
  <c r="P763" i="1"/>
  <c r="P771" i="1"/>
  <c r="P779" i="1"/>
  <c r="P787" i="1"/>
  <c r="P795" i="1"/>
  <c r="P803" i="1"/>
  <c r="P811" i="1"/>
  <c r="P819" i="1"/>
  <c r="P827" i="1"/>
  <c r="P835" i="1"/>
  <c r="P843" i="1"/>
  <c r="P851" i="1"/>
  <c r="P859" i="1"/>
  <c r="P867" i="1"/>
  <c r="P875" i="1"/>
  <c r="P883" i="1"/>
  <c r="P891" i="1"/>
  <c r="P899" i="1"/>
  <c r="P907" i="1"/>
  <c r="P915" i="1"/>
  <c r="P923" i="1"/>
  <c r="P931" i="1"/>
  <c r="P939" i="1"/>
  <c r="P947" i="1"/>
  <c r="P955" i="1"/>
  <c r="P963" i="1"/>
  <c r="P971" i="1"/>
  <c r="P979" i="1"/>
  <c r="P987" i="1"/>
  <c r="P995" i="1"/>
  <c r="P1003" i="1"/>
  <c r="P1011" i="1"/>
  <c r="P1019" i="1"/>
  <c r="P1027" i="1"/>
  <c r="P1035" i="1"/>
  <c r="P1043" i="1"/>
  <c r="P1051" i="1"/>
  <c r="P1059" i="1"/>
  <c r="P1067" i="1"/>
  <c r="P1075" i="1"/>
  <c r="P1083" i="1"/>
  <c r="P1091" i="1"/>
  <c r="P1099" i="1"/>
  <c r="P1107" i="1"/>
  <c r="P1115" i="1"/>
  <c r="P1123" i="1"/>
  <c r="P1131" i="1"/>
  <c r="P1139" i="1"/>
  <c r="P1147" i="1"/>
  <c r="P1155" i="1"/>
  <c r="P1163" i="1"/>
  <c r="P1171" i="1"/>
  <c r="P1179" i="1"/>
  <c r="P1187" i="1"/>
  <c r="P1195" i="1"/>
  <c r="P1203" i="1"/>
  <c r="P1211" i="1"/>
  <c r="P1219" i="1"/>
  <c r="P26" i="1"/>
  <c r="P90" i="1"/>
  <c r="P154" i="1"/>
  <c r="P218" i="1"/>
  <c r="P282" i="1"/>
  <c r="P346" i="1"/>
  <c r="P410" i="1"/>
  <c r="P474" i="1"/>
  <c r="P538" i="1"/>
  <c r="P602" i="1"/>
  <c r="P661" i="1"/>
  <c r="P691" i="1"/>
  <c r="P700" i="1"/>
  <c r="P708" i="1"/>
  <c r="P716" i="1"/>
  <c r="P724" i="1"/>
  <c r="P732" i="1"/>
  <c r="P740" i="1"/>
  <c r="P748" i="1"/>
  <c r="P756" i="1"/>
  <c r="P764" i="1"/>
  <c r="P772" i="1"/>
  <c r="P780" i="1"/>
  <c r="P788" i="1"/>
  <c r="P796" i="1"/>
  <c r="P804" i="1"/>
  <c r="P812" i="1"/>
  <c r="P820" i="1"/>
  <c r="P828" i="1"/>
  <c r="P836" i="1"/>
  <c r="P844" i="1"/>
  <c r="P852" i="1"/>
  <c r="P860" i="1"/>
  <c r="P868" i="1"/>
  <c r="P876" i="1"/>
  <c r="P884" i="1"/>
  <c r="P892" i="1"/>
  <c r="P900" i="1"/>
  <c r="P908" i="1"/>
  <c r="P916" i="1"/>
  <c r="P924" i="1"/>
  <c r="P932" i="1"/>
  <c r="P940" i="1"/>
  <c r="P948" i="1"/>
  <c r="P956" i="1"/>
  <c r="P964" i="1"/>
  <c r="P972" i="1"/>
  <c r="P980" i="1"/>
  <c r="P988" i="1"/>
  <c r="P996" i="1"/>
  <c r="P1004" i="1"/>
  <c r="P1012" i="1"/>
  <c r="P1020" i="1"/>
  <c r="P1028" i="1"/>
  <c r="P1036" i="1"/>
  <c r="P1044" i="1"/>
  <c r="P1052" i="1"/>
  <c r="P1060" i="1"/>
  <c r="P1068" i="1"/>
  <c r="P1076" i="1"/>
  <c r="P1084" i="1"/>
  <c r="P1092" i="1"/>
  <c r="P1100" i="1"/>
  <c r="P1108" i="1"/>
  <c r="P1116" i="1"/>
  <c r="P1124" i="1"/>
  <c r="P1132" i="1"/>
  <c r="P1140" i="1"/>
  <c r="P1148" i="1"/>
  <c r="P1156" i="1"/>
  <c r="P1164" i="1"/>
  <c r="P1172" i="1"/>
  <c r="P1180" i="1"/>
  <c r="P1188" i="1"/>
  <c r="P1196" i="1"/>
  <c r="P1204" i="1"/>
  <c r="P1212" i="1"/>
  <c r="P1220" i="1"/>
  <c r="P1228" i="1"/>
  <c r="P1236" i="1"/>
  <c r="P1244" i="1"/>
  <c r="P1252" i="1"/>
  <c r="P1260" i="1"/>
  <c r="P1268" i="1"/>
  <c r="P1276" i="1"/>
  <c r="P1284" i="1"/>
  <c r="P34" i="1"/>
  <c r="P98" i="1"/>
  <c r="P162" i="1"/>
  <c r="P226" i="1"/>
  <c r="P290" i="1"/>
  <c r="P354" i="1"/>
  <c r="P418" i="1"/>
  <c r="P482" i="1"/>
  <c r="P546" i="1"/>
  <c r="P610" i="1"/>
  <c r="P666" i="1"/>
  <c r="P693" i="1"/>
  <c r="P701" i="1"/>
  <c r="P709" i="1"/>
  <c r="P717" i="1"/>
  <c r="P725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7" i="1"/>
  <c r="P885" i="1"/>
  <c r="P893" i="1"/>
  <c r="P901" i="1"/>
  <c r="P909" i="1"/>
  <c r="P917" i="1"/>
  <c r="P925" i="1"/>
  <c r="P933" i="1"/>
  <c r="P941" i="1"/>
  <c r="P949" i="1"/>
  <c r="P957" i="1"/>
  <c r="P965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P1181" i="1"/>
  <c r="P1189" i="1"/>
  <c r="P1197" i="1"/>
  <c r="P1205" i="1"/>
  <c r="P1213" i="1"/>
  <c r="P1221" i="1"/>
  <c r="P1229" i="1"/>
  <c r="P1237" i="1"/>
  <c r="P1245" i="1"/>
  <c r="P1253" i="1"/>
  <c r="P1261" i="1"/>
  <c r="P1269" i="1"/>
  <c r="P1277" i="1"/>
  <c r="P234" i="1"/>
  <c r="P694" i="1"/>
  <c r="P758" i="1"/>
  <c r="P822" i="1"/>
  <c r="P886" i="1"/>
  <c r="P950" i="1"/>
  <c r="P1014" i="1"/>
  <c r="P1078" i="1"/>
  <c r="P1142" i="1"/>
  <c r="P1206" i="1"/>
  <c r="P1230" i="1"/>
  <c r="P1246" i="1"/>
  <c r="P1262" i="1"/>
  <c r="P1273" i="1"/>
  <c r="P1285" i="1"/>
  <c r="P1293" i="1"/>
  <c r="P1301" i="1"/>
  <c r="P1309" i="1"/>
  <c r="P1317" i="1"/>
  <c r="P1325" i="1"/>
  <c r="P1333" i="1"/>
  <c r="P1341" i="1"/>
  <c r="P1349" i="1"/>
  <c r="P1357" i="1"/>
  <c r="P1365" i="1"/>
  <c r="P1373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298" i="1"/>
  <c r="P702" i="1"/>
  <c r="P766" i="1"/>
  <c r="P830" i="1"/>
  <c r="P894" i="1"/>
  <c r="P958" i="1"/>
  <c r="P1022" i="1"/>
  <c r="P1086" i="1"/>
  <c r="P1150" i="1"/>
  <c r="P1214" i="1"/>
  <c r="P1232" i="1"/>
  <c r="P1248" i="1"/>
  <c r="P1263" i="1"/>
  <c r="P1275" i="1"/>
  <c r="P1286" i="1"/>
  <c r="P1294" i="1"/>
  <c r="P1302" i="1"/>
  <c r="P1310" i="1"/>
  <c r="P1318" i="1"/>
  <c r="P1326" i="1"/>
  <c r="P1334" i="1"/>
  <c r="P1342" i="1"/>
  <c r="P1350" i="1"/>
  <c r="P1358" i="1"/>
  <c r="P1366" i="1"/>
  <c r="P1374" i="1"/>
  <c r="P1382" i="1"/>
  <c r="P1390" i="1"/>
  <c r="P1398" i="1"/>
  <c r="P1406" i="1"/>
  <c r="P1414" i="1"/>
  <c r="P1422" i="1"/>
  <c r="P1430" i="1"/>
  <c r="P1438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638" i="1"/>
  <c r="P1646" i="1"/>
  <c r="P1654" i="1"/>
  <c r="P1662" i="1"/>
  <c r="P1670" i="1"/>
  <c r="P1678" i="1"/>
  <c r="P1686" i="1"/>
  <c r="P1694" i="1"/>
  <c r="P1702" i="1"/>
  <c r="P1710" i="1"/>
  <c r="P1718" i="1"/>
  <c r="P1726" i="1"/>
  <c r="P1734" i="1"/>
  <c r="P1742" i="1"/>
  <c r="P1750" i="1"/>
  <c r="P1758" i="1"/>
  <c r="P1766" i="1"/>
  <c r="P1774" i="1"/>
  <c r="P1782" i="1"/>
  <c r="P1790" i="1"/>
  <c r="P1798" i="1"/>
  <c r="P1806" i="1"/>
  <c r="P1814" i="1"/>
  <c r="P1822" i="1"/>
  <c r="P1830" i="1"/>
  <c r="P362" i="1"/>
  <c r="P710" i="1"/>
  <c r="P774" i="1"/>
  <c r="P838" i="1"/>
  <c r="P902" i="1"/>
  <c r="P966" i="1"/>
  <c r="P1030" i="1"/>
  <c r="P1094" i="1"/>
  <c r="P1158" i="1"/>
  <c r="P1216" i="1"/>
  <c r="P1233" i="1"/>
  <c r="P1249" i="1"/>
  <c r="P1264" i="1"/>
  <c r="P1278" i="1"/>
  <c r="P1287" i="1"/>
  <c r="P1295" i="1"/>
  <c r="P1303" i="1"/>
  <c r="P1311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426" i="1"/>
  <c r="P718" i="1"/>
  <c r="P782" i="1"/>
  <c r="P846" i="1"/>
  <c r="P910" i="1"/>
  <c r="P974" i="1"/>
  <c r="P1038" i="1"/>
  <c r="P1102" i="1"/>
  <c r="P1166" i="1"/>
  <c r="P1217" i="1"/>
  <c r="P1235" i="1"/>
  <c r="P1251" i="1"/>
  <c r="P1265" i="1"/>
  <c r="P1279" i="1"/>
  <c r="P1288" i="1"/>
  <c r="P1296" i="1"/>
  <c r="P1304" i="1"/>
  <c r="P1312" i="1"/>
  <c r="P1320" i="1"/>
  <c r="P1328" i="1"/>
  <c r="P1336" i="1"/>
  <c r="P1344" i="1"/>
  <c r="P1352" i="1"/>
  <c r="P1360" i="1"/>
  <c r="P1368" i="1"/>
  <c r="P1376" i="1"/>
  <c r="P1384" i="1"/>
  <c r="P1392" i="1"/>
  <c r="P1400" i="1"/>
  <c r="P1408" i="1"/>
  <c r="P1416" i="1"/>
  <c r="P1424" i="1"/>
  <c r="P1432" i="1"/>
  <c r="P1440" i="1"/>
  <c r="P1448" i="1"/>
  <c r="P1456" i="1"/>
  <c r="P1464" i="1"/>
  <c r="P1472" i="1"/>
  <c r="P1480" i="1"/>
  <c r="P1488" i="1"/>
  <c r="P1496" i="1"/>
  <c r="P1504" i="1"/>
  <c r="P1512" i="1"/>
  <c r="P1520" i="1"/>
  <c r="P1528" i="1"/>
  <c r="P1536" i="1"/>
  <c r="P1544" i="1"/>
  <c r="P1552" i="1"/>
  <c r="P1560" i="1"/>
  <c r="P1568" i="1"/>
  <c r="P1576" i="1"/>
  <c r="P1584" i="1"/>
  <c r="P1592" i="1"/>
  <c r="P1600" i="1"/>
  <c r="P1608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490" i="1"/>
  <c r="P726" i="1"/>
  <c r="P790" i="1"/>
  <c r="P854" i="1"/>
  <c r="P918" i="1"/>
  <c r="P982" i="1"/>
  <c r="P1046" i="1"/>
  <c r="P1110" i="1"/>
  <c r="P1174" i="1"/>
  <c r="P1222" i="1"/>
  <c r="P1238" i="1"/>
  <c r="P1254" i="1"/>
  <c r="P1267" i="1"/>
  <c r="P1280" i="1"/>
  <c r="P1289" i="1"/>
  <c r="P1297" i="1"/>
  <c r="P1305" i="1"/>
  <c r="P1313" i="1"/>
  <c r="P1321" i="1"/>
  <c r="P1329" i="1"/>
  <c r="P1337" i="1"/>
  <c r="P1345" i="1"/>
  <c r="P1353" i="1"/>
  <c r="P1361" i="1"/>
  <c r="P1369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42" i="1"/>
  <c r="P554" i="1"/>
  <c r="P734" i="1"/>
  <c r="P798" i="1"/>
  <c r="P862" i="1"/>
  <c r="P926" i="1"/>
  <c r="P990" i="1"/>
  <c r="P1054" i="1"/>
  <c r="P1118" i="1"/>
  <c r="P1182" i="1"/>
  <c r="P1224" i="1"/>
  <c r="P1240" i="1"/>
  <c r="P1256" i="1"/>
  <c r="P1270" i="1"/>
  <c r="P1281" i="1"/>
  <c r="P1290" i="1"/>
  <c r="P1298" i="1"/>
  <c r="P1306" i="1"/>
  <c r="P1314" i="1"/>
  <c r="P1322" i="1"/>
  <c r="P1330" i="1"/>
  <c r="P1338" i="1"/>
  <c r="P1346" i="1"/>
  <c r="P1354" i="1"/>
  <c r="P1362" i="1"/>
  <c r="P1370" i="1"/>
  <c r="P1378" i="1"/>
  <c r="P1386" i="1"/>
  <c r="P1394" i="1"/>
  <c r="P1402" i="1"/>
  <c r="P1410" i="1"/>
  <c r="P1418" i="1"/>
  <c r="P1426" i="1"/>
  <c r="P1434" i="1"/>
  <c r="P1442" i="1"/>
  <c r="P1450" i="1"/>
  <c r="P1458" i="1"/>
  <c r="P1466" i="1"/>
  <c r="P1474" i="1"/>
  <c r="P1482" i="1"/>
  <c r="P1490" i="1"/>
  <c r="P1498" i="1"/>
  <c r="P1506" i="1"/>
  <c r="P1514" i="1"/>
  <c r="P1522" i="1"/>
  <c r="P1530" i="1"/>
  <c r="P1538" i="1"/>
  <c r="P1546" i="1"/>
  <c r="P1554" i="1"/>
  <c r="P1562" i="1"/>
  <c r="P1570" i="1"/>
  <c r="P1578" i="1"/>
  <c r="P1586" i="1"/>
  <c r="P1594" i="1"/>
  <c r="P1602" i="1"/>
  <c r="P1610" i="1"/>
  <c r="P1618" i="1"/>
  <c r="P1626" i="1"/>
  <c r="P1634" i="1"/>
  <c r="P1642" i="1"/>
  <c r="P1650" i="1"/>
  <c r="P1658" i="1"/>
  <c r="P1666" i="1"/>
  <c r="P1674" i="1"/>
  <c r="P1682" i="1"/>
  <c r="P1690" i="1"/>
  <c r="P1698" i="1"/>
  <c r="P1706" i="1"/>
  <c r="P1714" i="1"/>
  <c r="P1722" i="1"/>
  <c r="P1730" i="1"/>
  <c r="P1738" i="1"/>
  <c r="P1746" i="1"/>
  <c r="P1754" i="1"/>
  <c r="P1762" i="1"/>
  <c r="P1770" i="1"/>
  <c r="P1778" i="1"/>
  <c r="P1786" i="1"/>
  <c r="P1794" i="1"/>
  <c r="P1802" i="1"/>
  <c r="P1810" i="1"/>
  <c r="P1818" i="1"/>
  <c r="P106" i="1"/>
  <c r="P618" i="1"/>
  <c r="P742" i="1"/>
  <c r="P806" i="1"/>
  <c r="P870" i="1"/>
  <c r="P934" i="1"/>
  <c r="P998" i="1"/>
  <c r="P1062" i="1"/>
  <c r="P1126" i="1"/>
  <c r="P1190" i="1"/>
  <c r="P1225" i="1"/>
  <c r="P1241" i="1"/>
  <c r="P1257" i="1"/>
  <c r="P1271" i="1"/>
  <c r="P1282" i="1"/>
  <c r="P1291" i="1"/>
  <c r="P1299" i="1"/>
  <c r="P1307" i="1"/>
  <c r="P1315" i="1"/>
  <c r="P1323" i="1"/>
  <c r="P1331" i="1"/>
  <c r="P1339" i="1"/>
  <c r="P1347" i="1"/>
  <c r="P1355" i="1"/>
  <c r="P1363" i="1"/>
  <c r="P1371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803" i="1"/>
  <c r="P1811" i="1"/>
  <c r="P1819" i="1"/>
  <c r="P1827" i="1"/>
  <c r="P1835" i="1"/>
  <c r="P814" i="1"/>
  <c r="P1243" i="1"/>
  <c r="P1324" i="1"/>
  <c r="P1388" i="1"/>
  <c r="P1452" i="1"/>
  <c r="P1516" i="1"/>
  <c r="P1580" i="1"/>
  <c r="P1644" i="1"/>
  <c r="P1708" i="1"/>
  <c r="P1749" i="1"/>
  <c r="P1772" i="1"/>
  <c r="P1793" i="1"/>
  <c r="P1813" i="1"/>
  <c r="P1832" i="1"/>
  <c r="P1842" i="1"/>
  <c r="P1851" i="1"/>
  <c r="P1859" i="1"/>
  <c r="P1867" i="1"/>
  <c r="P1875" i="1"/>
  <c r="P1883" i="1"/>
  <c r="P1891" i="1"/>
  <c r="P1899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878" i="1"/>
  <c r="P1259" i="1"/>
  <c r="P1332" i="1"/>
  <c r="P1396" i="1"/>
  <c r="P1460" i="1"/>
  <c r="P1524" i="1"/>
  <c r="P1588" i="1"/>
  <c r="P1652" i="1"/>
  <c r="P1716" i="1"/>
  <c r="P1753" i="1"/>
  <c r="P1773" i="1"/>
  <c r="P1796" i="1"/>
  <c r="P1817" i="1"/>
  <c r="P1833" i="1"/>
  <c r="P1843" i="1"/>
  <c r="P1852" i="1"/>
  <c r="P1860" i="1"/>
  <c r="P1868" i="1"/>
  <c r="P1876" i="1"/>
  <c r="P1884" i="1"/>
  <c r="P1892" i="1"/>
  <c r="P190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942" i="1"/>
  <c r="P1272" i="1"/>
  <c r="P1340" i="1"/>
  <c r="P1404" i="1"/>
  <c r="P1468" i="1"/>
  <c r="P1532" i="1"/>
  <c r="P1596" i="1"/>
  <c r="P1660" i="1"/>
  <c r="P1724" i="1"/>
  <c r="P1756" i="1"/>
  <c r="P1777" i="1"/>
  <c r="P1797" i="1"/>
  <c r="P1820" i="1"/>
  <c r="P1834" i="1"/>
  <c r="P1844" i="1"/>
  <c r="P1853" i="1"/>
  <c r="P1861" i="1"/>
  <c r="P1869" i="1"/>
  <c r="P1877" i="1"/>
  <c r="P1885" i="1"/>
  <c r="P1893" i="1"/>
  <c r="P1901" i="1"/>
  <c r="P1909" i="1"/>
  <c r="P1917" i="1"/>
  <c r="P1925" i="1"/>
  <c r="P1933" i="1"/>
  <c r="P1941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17" i="1"/>
  <c r="P2125" i="1"/>
  <c r="P2133" i="1"/>
  <c r="P2141" i="1"/>
  <c r="P2149" i="1"/>
  <c r="P2157" i="1"/>
  <c r="P2165" i="1"/>
  <c r="P2173" i="1"/>
  <c r="P2181" i="1"/>
  <c r="P2189" i="1"/>
  <c r="P2197" i="1"/>
  <c r="P2205" i="1"/>
  <c r="P2213" i="1"/>
  <c r="P2221" i="1"/>
  <c r="P2229" i="1"/>
  <c r="P2237" i="1"/>
  <c r="P2245" i="1"/>
  <c r="P2253" i="1"/>
  <c r="P2261" i="1"/>
  <c r="P2269" i="1"/>
  <c r="P2277" i="1"/>
  <c r="P2285" i="1"/>
  <c r="P2293" i="1"/>
  <c r="P2301" i="1"/>
  <c r="P2309" i="1"/>
  <c r="P2317" i="1"/>
  <c r="P2325" i="1"/>
  <c r="P2333" i="1"/>
  <c r="P2341" i="1"/>
  <c r="P2349" i="1"/>
  <c r="P2357" i="1"/>
  <c r="P2365" i="1"/>
  <c r="P2373" i="1"/>
  <c r="P2381" i="1"/>
  <c r="P2389" i="1"/>
  <c r="P2397" i="1"/>
  <c r="P2405" i="1"/>
  <c r="P2413" i="1"/>
  <c r="P2421" i="1"/>
  <c r="P1006" i="1"/>
  <c r="P1283" i="1"/>
  <c r="P1348" i="1"/>
  <c r="P1412" i="1"/>
  <c r="P1476" i="1"/>
  <c r="P1540" i="1"/>
  <c r="P1604" i="1"/>
  <c r="P1668" i="1"/>
  <c r="P1732" i="1"/>
  <c r="P1757" i="1"/>
  <c r="P1780" i="1"/>
  <c r="P1801" i="1"/>
  <c r="P1821" i="1"/>
  <c r="P1836" i="1"/>
  <c r="P1845" i="1"/>
  <c r="P1854" i="1"/>
  <c r="P1862" i="1"/>
  <c r="P1870" i="1"/>
  <c r="P1878" i="1"/>
  <c r="P1886" i="1"/>
  <c r="P1894" i="1"/>
  <c r="P1902" i="1"/>
  <c r="P1910" i="1"/>
  <c r="P1918" i="1"/>
  <c r="P1926" i="1"/>
  <c r="P1934" i="1"/>
  <c r="P1942" i="1"/>
  <c r="P1950" i="1"/>
  <c r="P1958" i="1"/>
  <c r="P1966" i="1"/>
  <c r="P1974" i="1"/>
  <c r="P1982" i="1"/>
  <c r="P1990" i="1"/>
  <c r="P1998" i="1"/>
  <c r="P2006" i="1"/>
  <c r="P2014" i="1"/>
  <c r="P2022" i="1"/>
  <c r="P2030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1070" i="1"/>
  <c r="P1292" i="1"/>
  <c r="P1356" i="1"/>
  <c r="P1420" i="1"/>
  <c r="P1484" i="1"/>
  <c r="P1548" i="1"/>
  <c r="P1612" i="1"/>
  <c r="P1676" i="1"/>
  <c r="P1737" i="1"/>
  <c r="P1761" i="1"/>
  <c r="P1781" i="1"/>
  <c r="P1804" i="1"/>
  <c r="P1825" i="1"/>
  <c r="P1837" i="1"/>
  <c r="P1846" i="1"/>
  <c r="P1855" i="1"/>
  <c r="P1863" i="1"/>
  <c r="P1871" i="1"/>
  <c r="P1879" i="1"/>
  <c r="P1887" i="1"/>
  <c r="P1895" i="1"/>
  <c r="P1903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087" i="1"/>
  <c r="P2095" i="1"/>
  <c r="P2103" i="1"/>
  <c r="P2111" i="1"/>
  <c r="P2119" i="1"/>
  <c r="P2127" i="1"/>
  <c r="P2135" i="1"/>
  <c r="P2143" i="1"/>
  <c r="P2151" i="1"/>
  <c r="P2159" i="1"/>
  <c r="P2167" i="1"/>
  <c r="P2175" i="1"/>
  <c r="P2183" i="1"/>
  <c r="P2191" i="1"/>
  <c r="P2199" i="1"/>
  <c r="P2207" i="1"/>
  <c r="P2215" i="1"/>
  <c r="P2223" i="1"/>
  <c r="P2231" i="1"/>
  <c r="P2239" i="1"/>
  <c r="P2247" i="1"/>
  <c r="P2255" i="1"/>
  <c r="P2263" i="1"/>
  <c r="P2271" i="1"/>
  <c r="P2279" i="1"/>
  <c r="P2287" i="1"/>
  <c r="P2295" i="1"/>
  <c r="P2303" i="1"/>
  <c r="P2311" i="1"/>
  <c r="P2319" i="1"/>
  <c r="P2327" i="1"/>
  <c r="P2335" i="1"/>
  <c r="P2343" i="1"/>
  <c r="P2351" i="1"/>
  <c r="P2359" i="1"/>
  <c r="P2367" i="1"/>
  <c r="P2375" i="1"/>
  <c r="P2383" i="1"/>
  <c r="P2391" i="1"/>
  <c r="P2399" i="1"/>
  <c r="P170" i="1"/>
  <c r="P1134" i="1"/>
  <c r="P1300" i="1"/>
  <c r="P1364" i="1"/>
  <c r="P1428" i="1"/>
  <c r="P1492" i="1"/>
  <c r="P1556" i="1"/>
  <c r="P1620" i="1"/>
  <c r="P1684" i="1"/>
  <c r="P1740" i="1"/>
  <c r="P1764" i="1"/>
  <c r="P1785" i="1"/>
  <c r="P1805" i="1"/>
  <c r="P1826" i="1"/>
  <c r="P1838" i="1"/>
  <c r="P1848" i="1"/>
  <c r="P1856" i="1"/>
  <c r="P1864" i="1"/>
  <c r="P1872" i="1"/>
  <c r="P1880" i="1"/>
  <c r="P1888" i="1"/>
  <c r="P1896" i="1"/>
  <c r="P1904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2232" i="1"/>
  <c r="P2240" i="1"/>
  <c r="P2248" i="1"/>
  <c r="P2256" i="1"/>
  <c r="P2264" i="1"/>
  <c r="P2272" i="1"/>
  <c r="P2280" i="1"/>
  <c r="P2288" i="1"/>
  <c r="P2296" i="1"/>
  <c r="P2304" i="1"/>
  <c r="P2312" i="1"/>
  <c r="P2320" i="1"/>
  <c r="P2328" i="1"/>
  <c r="P2336" i="1"/>
  <c r="P2344" i="1"/>
  <c r="P2352" i="1"/>
  <c r="P2360" i="1"/>
  <c r="P2368" i="1"/>
  <c r="P2376" i="1"/>
  <c r="P2384" i="1"/>
  <c r="P2392" i="1"/>
  <c r="P2400" i="1"/>
  <c r="P2408" i="1"/>
  <c r="P2416" i="1"/>
  <c r="P2424" i="1"/>
  <c r="P750" i="1"/>
  <c r="P1227" i="1"/>
  <c r="P1316" i="1"/>
  <c r="P1380" i="1"/>
  <c r="P1444" i="1"/>
  <c r="P1508" i="1"/>
  <c r="P1572" i="1"/>
  <c r="P1636" i="1"/>
  <c r="P1700" i="1"/>
  <c r="P1748" i="1"/>
  <c r="P1769" i="1"/>
  <c r="P1789" i="1"/>
  <c r="P1812" i="1"/>
  <c r="P1829" i="1"/>
  <c r="P1841" i="1"/>
  <c r="P1850" i="1"/>
  <c r="P1858" i="1"/>
  <c r="P1866" i="1"/>
  <c r="P1874" i="1"/>
  <c r="P1882" i="1"/>
  <c r="P1890" i="1"/>
  <c r="P1898" i="1"/>
  <c r="P1906" i="1"/>
  <c r="P1914" i="1"/>
  <c r="P1922" i="1"/>
  <c r="P1930" i="1"/>
  <c r="P1938" i="1"/>
  <c r="P1946" i="1"/>
  <c r="P1954" i="1"/>
  <c r="P1962" i="1"/>
  <c r="P1970" i="1"/>
  <c r="P1978" i="1"/>
  <c r="P1986" i="1"/>
  <c r="P1994" i="1"/>
  <c r="P2002" i="1"/>
  <c r="P2010" i="1"/>
  <c r="P2018" i="1"/>
  <c r="P2026" i="1"/>
  <c r="P2034" i="1"/>
  <c r="P2042" i="1"/>
  <c r="P2050" i="1"/>
  <c r="P2058" i="1"/>
  <c r="P2066" i="1"/>
  <c r="P2074" i="1"/>
  <c r="P2082" i="1"/>
  <c r="P2090" i="1"/>
  <c r="P2098" i="1"/>
  <c r="P2106" i="1"/>
  <c r="P2114" i="1"/>
  <c r="P2122" i="1"/>
  <c r="P2130" i="1"/>
  <c r="P2138" i="1"/>
  <c r="P2146" i="1"/>
  <c r="P2154" i="1"/>
  <c r="P2162" i="1"/>
  <c r="P2170" i="1"/>
  <c r="P2178" i="1"/>
  <c r="P2186" i="1"/>
  <c r="P2194" i="1"/>
  <c r="P2202" i="1"/>
  <c r="P2210" i="1"/>
  <c r="P2218" i="1"/>
  <c r="P2226" i="1"/>
  <c r="P2234" i="1"/>
  <c r="P2242" i="1"/>
  <c r="P2250" i="1"/>
  <c r="P2258" i="1"/>
  <c r="P2266" i="1"/>
  <c r="P2274" i="1"/>
  <c r="P2282" i="1"/>
  <c r="P2290" i="1"/>
  <c r="P2298" i="1"/>
  <c r="P2306" i="1"/>
  <c r="P2314" i="1"/>
  <c r="P2322" i="1"/>
  <c r="P2330" i="1"/>
  <c r="P2338" i="1"/>
  <c r="P2346" i="1"/>
  <c r="P2354" i="1"/>
  <c r="P2362" i="1"/>
  <c r="P2370" i="1"/>
  <c r="P2378" i="1"/>
  <c r="P2386" i="1"/>
  <c r="P2394" i="1"/>
  <c r="P2402" i="1"/>
  <c r="P1372" i="1"/>
  <c r="P1788" i="1"/>
  <c r="P1881" i="1"/>
  <c r="P1945" i="1"/>
  <c r="P2009" i="1"/>
  <c r="P2073" i="1"/>
  <c r="P2137" i="1"/>
  <c r="P2201" i="1"/>
  <c r="P2265" i="1"/>
  <c r="P2291" i="1"/>
  <c r="P2313" i="1"/>
  <c r="P2332" i="1"/>
  <c r="P2355" i="1"/>
  <c r="P2377" i="1"/>
  <c r="P2396" i="1"/>
  <c r="P2412" i="1"/>
  <c r="P2423" i="1"/>
  <c r="P2432" i="1"/>
  <c r="P2440" i="1"/>
  <c r="P2448" i="1"/>
  <c r="P2456" i="1"/>
  <c r="P2464" i="1"/>
  <c r="P2472" i="1"/>
  <c r="P2480" i="1"/>
  <c r="P2488" i="1"/>
  <c r="P2496" i="1"/>
  <c r="P2504" i="1"/>
  <c r="P2512" i="1"/>
  <c r="P2520" i="1"/>
  <c r="P2528" i="1"/>
  <c r="P2536" i="1"/>
  <c r="P2544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776" i="1"/>
  <c r="P2784" i="1"/>
  <c r="P2792" i="1"/>
  <c r="P2800" i="1"/>
  <c r="P2808" i="1"/>
  <c r="P2816" i="1"/>
  <c r="P2824" i="1"/>
  <c r="P2832" i="1"/>
  <c r="P2840" i="1"/>
  <c r="P1436" i="1"/>
  <c r="P1809" i="1"/>
  <c r="P1889" i="1"/>
  <c r="P1953" i="1"/>
  <c r="P2017" i="1"/>
  <c r="P2081" i="1"/>
  <c r="P2145" i="1"/>
  <c r="P2209" i="1"/>
  <c r="P2273" i="1"/>
  <c r="P2292" i="1"/>
  <c r="P2315" i="1"/>
  <c r="P2337" i="1"/>
  <c r="P2356" i="1"/>
  <c r="P2379" i="1"/>
  <c r="P2401" i="1"/>
  <c r="P2414" i="1"/>
  <c r="P2425" i="1"/>
  <c r="P2433" i="1"/>
  <c r="P2441" i="1"/>
  <c r="P2449" i="1"/>
  <c r="P2457" i="1"/>
  <c r="P2465" i="1"/>
  <c r="P2473" i="1"/>
  <c r="P2481" i="1"/>
  <c r="P2489" i="1"/>
  <c r="P2497" i="1"/>
  <c r="P2505" i="1"/>
  <c r="P2513" i="1"/>
  <c r="P2521" i="1"/>
  <c r="P2529" i="1"/>
  <c r="P2537" i="1"/>
  <c r="P2545" i="1"/>
  <c r="P2553" i="1"/>
  <c r="P2561" i="1"/>
  <c r="P2569" i="1"/>
  <c r="P2577" i="1"/>
  <c r="P2585" i="1"/>
  <c r="P2593" i="1"/>
  <c r="P2601" i="1"/>
  <c r="P2609" i="1"/>
  <c r="P2617" i="1"/>
  <c r="P2625" i="1"/>
  <c r="P2633" i="1"/>
  <c r="P2641" i="1"/>
  <c r="P2649" i="1"/>
  <c r="P2657" i="1"/>
  <c r="P2665" i="1"/>
  <c r="P2673" i="1"/>
  <c r="P2681" i="1"/>
  <c r="P2689" i="1"/>
  <c r="P2697" i="1"/>
  <c r="P2705" i="1"/>
  <c r="P2713" i="1"/>
  <c r="P2721" i="1"/>
  <c r="P2729" i="1"/>
  <c r="P2737" i="1"/>
  <c r="P2745" i="1"/>
  <c r="P2753" i="1"/>
  <c r="P2761" i="1"/>
  <c r="P2769" i="1"/>
  <c r="P2777" i="1"/>
  <c r="P2785" i="1"/>
  <c r="P2793" i="1"/>
  <c r="P2801" i="1"/>
  <c r="P2809" i="1"/>
  <c r="P2817" i="1"/>
  <c r="P2825" i="1"/>
  <c r="P2833" i="1"/>
  <c r="P2841" i="1"/>
  <c r="P2849" i="1"/>
  <c r="P2857" i="1"/>
  <c r="P2865" i="1"/>
  <c r="P2873" i="1"/>
  <c r="P2881" i="1"/>
  <c r="P2889" i="1"/>
  <c r="P2897" i="1"/>
  <c r="P2905" i="1"/>
  <c r="P2913" i="1"/>
  <c r="P2921" i="1"/>
  <c r="P2929" i="1"/>
  <c r="P2937" i="1"/>
  <c r="P2945" i="1"/>
  <c r="P2953" i="1"/>
  <c r="P2961" i="1"/>
  <c r="P2969" i="1"/>
  <c r="P1500" i="1"/>
  <c r="P1828" i="1"/>
  <c r="P1897" i="1"/>
  <c r="P1961" i="1"/>
  <c r="P2025" i="1"/>
  <c r="P2089" i="1"/>
  <c r="P2153" i="1"/>
  <c r="P2217" i="1"/>
  <c r="P2275" i="1"/>
  <c r="P2297" i="1"/>
  <c r="P2316" i="1"/>
  <c r="P2339" i="1"/>
  <c r="P2361" i="1"/>
  <c r="P2380" i="1"/>
  <c r="P2403" i="1"/>
  <c r="P2415" i="1"/>
  <c r="P2426" i="1"/>
  <c r="P2434" i="1"/>
  <c r="P2442" i="1"/>
  <c r="P2450" i="1"/>
  <c r="P2458" i="1"/>
  <c r="P2466" i="1"/>
  <c r="P2474" i="1"/>
  <c r="P2482" i="1"/>
  <c r="P2490" i="1"/>
  <c r="P2498" i="1"/>
  <c r="P2506" i="1"/>
  <c r="P2514" i="1"/>
  <c r="P2522" i="1"/>
  <c r="P2530" i="1"/>
  <c r="P2538" i="1"/>
  <c r="P2546" i="1"/>
  <c r="P2554" i="1"/>
  <c r="P2562" i="1"/>
  <c r="P2570" i="1"/>
  <c r="P2578" i="1"/>
  <c r="P2586" i="1"/>
  <c r="P2594" i="1"/>
  <c r="P2602" i="1"/>
  <c r="P2610" i="1"/>
  <c r="P2618" i="1"/>
  <c r="P2626" i="1"/>
  <c r="P2634" i="1"/>
  <c r="P2642" i="1"/>
  <c r="P2650" i="1"/>
  <c r="P2658" i="1"/>
  <c r="P2666" i="1"/>
  <c r="P2674" i="1"/>
  <c r="P2682" i="1"/>
  <c r="P2690" i="1"/>
  <c r="P2698" i="1"/>
  <c r="P2706" i="1"/>
  <c r="P2714" i="1"/>
  <c r="P2722" i="1"/>
  <c r="P2730" i="1"/>
  <c r="P2738" i="1"/>
  <c r="P2746" i="1"/>
  <c r="P2754" i="1"/>
  <c r="P2762" i="1"/>
  <c r="P2770" i="1"/>
  <c r="P2778" i="1"/>
  <c r="P2786" i="1"/>
  <c r="P2794" i="1"/>
  <c r="P2802" i="1"/>
  <c r="P2810" i="1"/>
  <c r="P2818" i="1"/>
  <c r="P2826" i="1"/>
  <c r="P2834" i="1"/>
  <c r="P2842" i="1"/>
  <c r="P2850" i="1"/>
  <c r="P2858" i="1"/>
  <c r="P2866" i="1"/>
  <c r="P2874" i="1"/>
  <c r="P2882" i="1"/>
  <c r="P2890" i="1"/>
  <c r="P2898" i="1"/>
  <c r="P2906" i="1"/>
  <c r="P2914" i="1"/>
  <c r="P2922" i="1"/>
  <c r="P2930" i="1"/>
  <c r="P2938" i="1"/>
  <c r="P2946" i="1"/>
  <c r="P2954" i="1"/>
  <c r="P2962" i="1"/>
  <c r="P2970" i="1"/>
  <c r="P1564" i="1"/>
  <c r="P1840" i="1"/>
  <c r="P1905" i="1"/>
  <c r="P1969" i="1"/>
  <c r="P2033" i="1"/>
  <c r="P2097" i="1"/>
  <c r="P2161" i="1"/>
  <c r="P2225" i="1"/>
  <c r="P2276" i="1"/>
  <c r="P2299" i="1"/>
  <c r="P2321" i="1"/>
  <c r="P2340" i="1"/>
  <c r="P2363" i="1"/>
  <c r="P2385" i="1"/>
  <c r="P2404" i="1"/>
  <c r="P2417" i="1"/>
  <c r="P2427" i="1"/>
  <c r="P2435" i="1"/>
  <c r="P2443" i="1"/>
  <c r="P2451" i="1"/>
  <c r="P2459" i="1"/>
  <c r="P2467" i="1"/>
  <c r="P2475" i="1"/>
  <c r="P2483" i="1"/>
  <c r="P2491" i="1"/>
  <c r="P2499" i="1"/>
  <c r="P2507" i="1"/>
  <c r="P2515" i="1"/>
  <c r="P2523" i="1"/>
  <c r="P2531" i="1"/>
  <c r="P2539" i="1"/>
  <c r="P2547" i="1"/>
  <c r="P2555" i="1"/>
  <c r="P2563" i="1"/>
  <c r="P2571" i="1"/>
  <c r="P2579" i="1"/>
  <c r="P2587" i="1"/>
  <c r="P2595" i="1"/>
  <c r="P2603" i="1"/>
  <c r="P2611" i="1"/>
  <c r="P2619" i="1"/>
  <c r="P2627" i="1"/>
  <c r="P2635" i="1"/>
  <c r="P2643" i="1"/>
  <c r="P2651" i="1"/>
  <c r="P2659" i="1"/>
  <c r="P2667" i="1"/>
  <c r="P2675" i="1"/>
  <c r="P2683" i="1"/>
  <c r="P2691" i="1"/>
  <c r="P2699" i="1"/>
  <c r="P2707" i="1"/>
  <c r="P2715" i="1"/>
  <c r="P2723" i="1"/>
  <c r="P2731" i="1"/>
  <c r="P2739" i="1"/>
  <c r="P2747" i="1"/>
  <c r="P2755" i="1"/>
  <c r="P2763" i="1"/>
  <c r="P2771" i="1"/>
  <c r="P2779" i="1"/>
  <c r="P2787" i="1"/>
  <c r="P2795" i="1"/>
  <c r="P2803" i="1"/>
  <c r="P2811" i="1"/>
  <c r="P2819" i="1"/>
  <c r="P2827" i="1"/>
  <c r="P2835" i="1"/>
  <c r="P2843" i="1"/>
  <c r="P2851" i="1"/>
  <c r="P2859" i="1"/>
  <c r="P2867" i="1"/>
  <c r="P2875" i="1"/>
  <c r="P2883" i="1"/>
  <c r="P2891" i="1"/>
  <c r="P2899" i="1"/>
  <c r="P2907" i="1"/>
  <c r="P2915" i="1"/>
  <c r="P2923" i="1"/>
  <c r="P2931" i="1"/>
  <c r="P2939" i="1"/>
  <c r="P2947" i="1"/>
  <c r="P2955" i="1"/>
  <c r="P2963" i="1"/>
  <c r="P2971" i="1"/>
  <c r="P1628" i="1"/>
  <c r="P1849" i="1"/>
  <c r="P1913" i="1"/>
  <c r="P1977" i="1"/>
  <c r="P2041" i="1"/>
  <c r="P2105" i="1"/>
  <c r="P2169" i="1"/>
  <c r="P2233" i="1"/>
  <c r="P2281" i="1"/>
  <c r="P2300" i="1"/>
  <c r="P2323" i="1"/>
  <c r="P2345" i="1"/>
  <c r="P2364" i="1"/>
  <c r="P2387" i="1"/>
  <c r="P2407" i="1"/>
  <c r="P2418" i="1"/>
  <c r="P2428" i="1"/>
  <c r="P2436" i="1"/>
  <c r="P2444" i="1"/>
  <c r="P2452" i="1"/>
  <c r="P2460" i="1"/>
  <c r="P2468" i="1"/>
  <c r="P2476" i="1"/>
  <c r="P2484" i="1"/>
  <c r="P2492" i="1"/>
  <c r="P2500" i="1"/>
  <c r="P2508" i="1"/>
  <c r="P2516" i="1"/>
  <c r="P2524" i="1"/>
  <c r="P2532" i="1"/>
  <c r="P2540" i="1"/>
  <c r="P2548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669" i="1"/>
  <c r="P1692" i="1"/>
  <c r="P1857" i="1"/>
  <c r="P1921" i="1"/>
  <c r="P1985" i="1"/>
  <c r="P2049" i="1"/>
  <c r="P2113" i="1"/>
  <c r="P2177" i="1"/>
  <c r="P2241" i="1"/>
  <c r="P2283" i="1"/>
  <c r="P2305" i="1"/>
  <c r="P2324" i="1"/>
  <c r="P2347" i="1"/>
  <c r="P2369" i="1"/>
  <c r="P2388" i="1"/>
  <c r="P2409" i="1"/>
  <c r="P2419" i="1"/>
  <c r="P2429" i="1"/>
  <c r="P2437" i="1"/>
  <c r="P2445" i="1"/>
  <c r="P2453" i="1"/>
  <c r="P2461" i="1"/>
  <c r="P2469" i="1"/>
  <c r="P2477" i="1"/>
  <c r="P2485" i="1"/>
  <c r="P2493" i="1"/>
  <c r="P2501" i="1"/>
  <c r="P2509" i="1"/>
  <c r="P2517" i="1"/>
  <c r="P2525" i="1"/>
  <c r="P2533" i="1"/>
  <c r="P2541" i="1"/>
  <c r="P2549" i="1"/>
  <c r="P2557" i="1"/>
  <c r="P2565" i="1"/>
  <c r="P2573" i="1"/>
  <c r="P2581" i="1"/>
  <c r="P2589" i="1"/>
  <c r="P2597" i="1"/>
  <c r="P2605" i="1"/>
  <c r="P2613" i="1"/>
  <c r="P2621" i="1"/>
  <c r="P2629" i="1"/>
  <c r="P2637" i="1"/>
  <c r="P2645" i="1"/>
  <c r="P2653" i="1"/>
  <c r="P2661" i="1"/>
  <c r="P2669" i="1"/>
  <c r="P2677" i="1"/>
  <c r="P2685" i="1"/>
  <c r="P2693" i="1"/>
  <c r="P2701" i="1"/>
  <c r="P2709" i="1"/>
  <c r="P2717" i="1"/>
  <c r="P2725" i="1"/>
  <c r="P2733" i="1"/>
  <c r="P2741" i="1"/>
  <c r="P2749" i="1"/>
  <c r="P2757" i="1"/>
  <c r="P2765" i="1"/>
  <c r="P2773" i="1"/>
  <c r="P2781" i="1"/>
  <c r="P2789" i="1"/>
  <c r="P2797" i="1"/>
  <c r="P2805" i="1"/>
  <c r="P2813" i="1"/>
  <c r="P2821" i="1"/>
  <c r="P2829" i="1"/>
  <c r="P2837" i="1"/>
  <c r="P2845" i="1"/>
  <c r="P2853" i="1"/>
  <c r="P2861" i="1"/>
  <c r="P2869" i="1"/>
  <c r="P2877" i="1"/>
  <c r="P2885" i="1"/>
  <c r="P2893" i="1"/>
  <c r="P2901" i="1"/>
  <c r="P2909" i="1"/>
  <c r="P2917" i="1"/>
  <c r="P2925" i="1"/>
  <c r="P2933" i="1"/>
  <c r="P2941" i="1"/>
  <c r="P2949" i="1"/>
  <c r="P2957" i="1"/>
  <c r="P2965" i="1"/>
  <c r="P2973" i="1"/>
  <c r="P1198" i="1"/>
  <c r="P1745" i="1"/>
  <c r="P1865" i="1"/>
  <c r="P1929" i="1"/>
  <c r="P1993" i="1"/>
  <c r="P2057" i="1"/>
  <c r="P2121" i="1"/>
  <c r="P2185" i="1"/>
  <c r="P2249" i="1"/>
  <c r="P2284" i="1"/>
  <c r="P2307" i="1"/>
  <c r="P2329" i="1"/>
  <c r="P2348" i="1"/>
  <c r="P2371" i="1"/>
  <c r="P2393" i="1"/>
  <c r="P2410" i="1"/>
  <c r="P2420" i="1"/>
  <c r="P2430" i="1"/>
  <c r="P2438" i="1"/>
  <c r="P2446" i="1"/>
  <c r="P2454" i="1"/>
  <c r="P2462" i="1"/>
  <c r="P2470" i="1"/>
  <c r="P2478" i="1"/>
  <c r="P2486" i="1"/>
  <c r="P2494" i="1"/>
  <c r="P2502" i="1"/>
  <c r="P2510" i="1"/>
  <c r="P2518" i="1"/>
  <c r="P2526" i="1"/>
  <c r="P2534" i="1"/>
  <c r="P2542" i="1"/>
  <c r="P2550" i="1"/>
  <c r="P2558" i="1"/>
  <c r="P2566" i="1"/>
  <c r="P2574" i="1"/>
  <c r="P2582" i="1"/>
  <c r="P2590" i="1"/>
  <c r="P2598" i="1"/>
  <c r="P2606" i="1"/>
  <c r="P2614" i="1"/>
  <c r="P2622" i="1"/>
  <c r="P2630" i="1"/>
  <c r="P2638" i="1"/>
  <c r="P2646" i="1"/>
  <c r="P2654" i="1"/>
  <c r="P2662" i="1"/>
  <c r="P2670" i="1"/>
  <c r="P2678" i="1"/>
  <c r="P2686" i="1"/>
  <c r="P2694" i="1"/>
  <c r="P2702" i="1"/>
  <c r="P2710" i="1"/>
  <c r="P2718" i="1"/>
  <c r="P2726" i="1"/>
  <c r="P2734" i="1"/>
  <c r="P2742" i="1"/>
  <c r="P2750" i="1"/>
  <c r="P2758" i="1"/>
  <c r="P2766" i="1"/>
  <c r="P2774" i="1"/>
  <c r="P2782" i="1"/>
  <c r="P2790" i="1"/>
  <c r="P2798" i="1"/>
  <c r="P2806" i="1"/>
  <c r="P2814" i="1"/>
  <c r="P2822" i="1"/>
  <c r="P2830" i="1"/>
  <c r="P2838" i="1"/>
  <c r="P2846" i="1"/>
  <c r="P2854" i="1"/>
  <c r="P2862" i="1"/>
  <c r="P2870" i="1"/>
  <c r="P2878" i="1"/>
  <c r="P2886" i="1"/>
  <c r="P2894" i="1"/>
  <c r="P2902" i="1"/>
  <c r="P2910" i="1"/>
  <c r="P2918" i="1"/>
  <c r="P2926" i="1"/>
  <c r="P2934" i="1"/>
  <c r="P2942" i="1"/>
  <c r="P2950" i="1"/>
  <c r="P2958" i="1"/>
  <c r="P2966" i="1"/>
  <c r="P2974" i="1"/>
  <c r="P1937" i="1"/>
  <c r="P2331" i="1"/>
  <c r="P2447" i="1"/>
  <c r="P2511" i="1"/>
  <c r="P2575" i="1"/>
  <c r="P2639" i="1"/>
  <c r="P2703" i="1"/>
  <c r="P2767" i="1"/>
  <c r="P2831" i="1"/>
  <c r="P2863" i="1"/>
  <c r="P2884" i="1"/>
  <c r="P2904" i="1"/>
  <c r="P2927" i="1"/>
  <c r="P2948" i="1"/>
  <c r="P2968" i="1"/>
  <c r="P2981" i="1"/>
  <c r="P2989" i="1"/>
  <c r="P2997" i="1"/>
  <c r="P3005" i="1"/>
  <c r="P3013" i="1"/>
  <c r="P3021" i="1"/>
  <c r="P3029" i="1"/>
  <c r="P3037" i="1"/>
  <c r="P3045" i="1"/>
  <c r="P3053" i="1"/>
  <c r="P3061" i="1"/>
  <c r="P3077" i="1"/>
  <c r="P3085" i="1"/>
  <c r="P3093" i="1"/>
  <c r="P3109" i="1"/>
  <c r="P3125" i="1"/>
  <c r="P3141" i="1"/>
  <c r="P3051" i="1"/>
  <c r="P3139" i="1"/>
  <c r="P2001" i="1"/>
  <c r="P2353" i="1"/>
  <c r="P2455" i="1"/>
  <c r="P2519" i="1"/>
  <c r="P2583" i="1"/>
  <c r="P2647" i="1"/>
  <c r="P2711" i="1"/>
  <c r="P2775" i="1"/>
  <c r="P2839" i="1"/>
  <c r="P2864" i="1"/>
  <c r="P2887" i="1"/>
  <c r="P2908" i="1"/>
  <c r="P2928" i="1"/>
  <c r="P2951" i="1"/>
  <c r="P2972" i="1"/>
  <c r="P2982" i="1"/>
  <c r="P2990" i="1"/>
  <c r="P2998" i="1"/>
  <c r="P3006" i="1"/>
  <c r="P3014" i="1"/>
  <c r="P3022" i="1"/>
  <c r="P3030" i="1"/>
  <c r="P3038" i="1"/>
  <c r="P3046" i="1"/>
  <c r="P3054" i="1"/>
  <c r="P3062" i="1"/>
  <c r="P3070" i="1"/>
  <c r="P3078" i="1"/>
  <c r="P3086" i="1"/>
  <c r="P3094" i="1"/>
  <c r="P3102" i="1"/>
  <c r="P3110" i="1"/>
  <c r="P3118" i="1"/>
  <c r="P3126" i="1"/>
  <c r="P3134" i="1"/>
  <c r="P3142" i="1"/>
  <c r="P3150" i="1"/>
  <c r="P3158" i="1"/>
  <c r="P3071" i="1"/>
  <c r="P3103" i="1"/>
  <c r="P3119" i="1"/>
  <c r="P3135" i="1"/>
  <c r="P3151" i="1"/>
  <c r="P3019" i="1"/>
  <c r="P3107" i="1"/>
  <c r="P2065" i="1"/>
  <c r="P2372" i="1"/>
  <c r="P2463" i="1"/>
  <c r="P2527" i="1"/>
  <c r="P2591" i="1"/>
  <c r="P2655" i="1"/>
  <c r="P2719" i="1"/>
  <c r="P2783" i="1"/>
  <c r="P2847" i="1"/>
  <c r="P2868" i="1"/>
  <c r="P2888" i="1"/>
  <c r="P2911" i="1"/>
  <c r="P2932" i="1"/>
  <c r="P2952" i="1"/>
  <c r="P2975" i="1"/>
  <c r="P2983" i="1"/>
  <c r="P2991" i="1"/>
  <c r="P2999" i="1"/>
  <c r="P3007" i="1"/>
  <c r="P3015" i="1"/>
  <c r="P3023" i="1"/>
  <c r="P3031" i="1"/>
  <c r="P3039" i="1"/>
  <c r="P3047" i="1"/>
  <c r="P3055" i="1"/>
  <c r="P3063" i="1"/>
  <c r="P3079" i="1"/>
  <c r="P3087" i="1"/>
  <c r="P3095" i="1"/>
  <c r="P3111" i="1"/>
  <c r="P3127" i="1"/>
  <c r="P3143" i="1"/>
  <c r="P3159" i="1"/>
  <c r="P3043" i="1"/>
  <c r="P3131" i="1"/>
  <c r="P2129" i="1"/>
  <c r="P2395" i="1"/>
  <c r="P2471" i="1"/>
  <c r="P2535" i="1"/>
  <c r="P2599" i="1"/>
  <c r="P2663" i="1"/>
  <c r="P2727" i="1"/>
  <c r="P2791" i="1"/>
  <c r="P2848" i="1"/>
  <c r="P2871" i="1"/>
  <c r="P2892" i="1"/>
  <c r="P2912" i="1"/>
  <c r="P2935" i="1"/>
  <c r="P2956" i="1"/>
  <c r="P2976" i="1"/>
  <c r="P2984" i="1"/>
  <c r="P2992" i="1"/>
  <c r="P3000" i="1"/>
  <c r="P3008" i="1"/>
  <c r="P3016" i="1"/>
  <c r="P3024" i="1"/>
  <c r="P3032" i="1"/>
  <c r="P3040" i="1"/>
  <c r="P3048" i="1"/>
  <c r="P3056" i="1"/>
  <c r="P3064" i="1"/>
  <c r="P3072" i="1"/>
  <c r="P3080" i="1"/>
  <c r="P3088" i="1"/>
  <c r="P3096" i="1"/>
  <c r="P3104" i="1"/>
  <c r="P3112" i="1"/>
  <c r="P3120" i="1"/>
  <c r="P3128" i="1"/>
  <c r="P3136" i="1"/>
  <c r="P3144" i="1"/>
  <c r="P3152" i="1"/>
  <c r="P3160" i="1"/>
  <c r="P2289" i="1"/>
  <c r="P2623" i="1"/>
  <c r="P2815" i="1"/>
  <c r="P2900" i="1"/>
  <c r="P2964" i="1"/>
  <c r="P2995" i="1"/>
  <c r="P3027" i="1"/>
  <c r="P3075" i="1"/>
  <c r="P3099" i="1"/>
  <c r="P3155" i="1"/>
  <c r="P2193" i="1"/>
  <c r="P2411" i="1"/>
  <c r="P2479" i="1"/>
  <c r="P2543" i="1"/>
  <c r="P2607" i="1"/>
  <c r="P2671" i="1"/>
  <c r="P2735" i="1"/>
  <c r="P2799" i="1"/>
  <c r="P2852" i="1"/>
  <c r="P2872" i="1"/>
  <c r="P2895" i="1"/>
  <c r="P2916" i="1"/>
  <c r="P2936" i="1"/>
  <c r="P2959" i="1"/>
  <c r="P2977" i="1"/>
  <c r="P2985" i="1"/>
  <c r="P2993" i="1"/>
  <c r="P3001" i="1"/>
  <c r="P3009" i="1"/>
  <c r="P3017" i="1"/>
  <c r="P3025" i="1"/>
  <c r="P3033" i="1"/>
  <c r="P3041" i="1"/>
  <c r="P3049" i="1"/>
  <c r="P3057" i="1"/>
  <c r="P3065" i="1"/>
  <c r="P3073" i="1"/>
  <c r="P3081" i="1"/>
  <c r="P3089" i="1"/>
  <c r="P3097" i="1"/>
  <c r="P3105" i="1"/>
  <c r="P3113" i="1"/>
  <c r="P3121" i="1"/>
  <c r="P3129" i="1"/>
  <c r="P3137" i="1"/>
  <c r="P3145" i="1"/>
  <c r="P3153" i="1"/>
  <c r="P3161" i="1"/>
  <c r="P1765" i="1"/>
  <c r="P2495" i="1"/>
  <c r="P2751" i="1"/>
  <c r="P2879" i="1"/>
  <c r="P2943" i="1"/>
  <c r="P2987" i="1"/>
  <c r="P3011" i="1"/>
  <c r="P3067" i="1"/>
  <c r="P3091" i="1"/>
  <c r="P3147" i="1"/>
  <c r="P1308" i="1"/>
  <c r="P2257" i="1"/>
  <c r="P2422" i="1"/>
  <c r="P2487" i="1"/>
  <c r="P2551" i="1"/>
  <c r="P2615" i="1"/>
  <c r="P2679" i="1"/>
  <c r="P2743" i="1"/>
  <c r="P2807" i="1"/>
  <c r="P2855" i="1"/>
  <c r="P2876" i="1"/>
  <c r="P2896" i="1"/>
  <c r="P2919" i="1"/>
  <c r="P2940" i="1"/>
  <c r="P2960" i="1"/>
  <c r="P2978" i="1"/>
  <c r="P2986" i="1"/>
  <c r="P2994" i="1"/>
  <c r="P3002" i="1"/>
  <c r="P3010" i="1"/>
  <c r="P3018" i="1"/>
  <c r="P3026" i="1"/>
  <c r="P3034" i="1"/>
  <c r="P3042" i="1"/>
  <c r="P3050" i="1"/>
  <c r="P3058" i="1"/>
  <c r="P3066" i="1"/>
  <c r="P3074" i="1"/>
  <c r="P3082" i="1"/>
  <c r="P3090" i="1"/>
  <c r="P3098" i="1"/>
  <c r="P3106" i="1"/>
  <c r="P3114" i="1"/>
  <c r="P3122" i="1"/>
  <c r="P3130" i="1"/>
  <c r="P3138" i="1"/>
  <c r="P3146" i="1"/>
  <c r="P3154" i="1"/>
  <c r="P2431" i="1"/>
  <c r="P2559" i="1"/>
  <c r="P2687" i="1"/>
  <c r="P2856" i="1"/>
  <c r="P2920" i="1"/>
  <c r="P2979" i="1"/>
  <c r="P3003" i="1"/>
  <c r="P3059" i="1"/>
  <c r="P3083" i="1"/>
  <c r="P3123" i="1"/>
  <c r="P1873" i="1"/>
  <c r="P2308" i="1"/>
  <c r="P2439" i="1"/>
  <c r="P2503" i="1"/>
  <c r="P2567" i="1"/>
  <c r="P2631" i="1"/>
  <c r="P2695" i="1"/>
  <c r="P2759" i="1"/>
  <c r="P2823" i="1"/>
  <c r="P2860" i="1"/>
  <c r="P2880" i="1"/>
  <c r="P2903" i="1"/>
  <c r="P2924" i="1"/>
  <c r="P2944" i="1"/>
  <c r="P2967" i="1"/>
  <c r="P2980" i="1"/>
  <c r="P2988" i="1"/>
  <c r="P2996" i="1"/>
  <c r="P3004" i="1"/>
  <c r="P3012" i="1"/>
  <c r="P3020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3069" i="1"/>
  <c r="P3101" i="1"/>
  <c r="P3117" i="1"/>
  <c r="P3133" i="1"/>
  <c r="P3149" i="1"/>
  <c r="P3157" i="1"/>
  <c r="P3035" i="1"/>
  <c r="P3115" i="1"/>
  <c r="F3" i="2"/>
  <c r="G3" i="2" s="1"/>
  <c r="I9" i="2"/>
  <c r="I13" i="2"/>
  <c r="I20" i="2"/>
  <c r="E12" i="2"/>
  <c r="I16" i="2"/>
  <c r="I8" i="2"/>
  <c r="I11" i="2"/>
  <c r="I10" i="2"/>
  <c r="E26" i="2"/>
  <c r="E4" i="2"/>
  <c r="I14" i="2"/>
  <c r="I18" i="2"/>
  <c r="I22" i="2"/>
  <c r="I25" i="2"/>
  <c r="I24" i="2"/>
  <c r="I23" i="2"/>
  <c r="G2" i="2"/>
  <c r="I21" i="2"/>
  <c r="I17" i="2"/>
  <c r="C4" i="2"/>
  <c r="O45" i="1" l="1"/>
  <c r="O46" i="1"/>
  <c r="O43" i="1"/>
  <c r="O44" i="1"/>
  <c r="O41" i="1"/>
  <c r="O42" i="1"/>
  <c r="F4" i="2"/>
  <c r="G4" i="2" s="1"/>
  <c r="E30" i="4"/>
  <c r="H12" i="2"/>
  <c r="I12" i="2" s="1"/>
  <c r="H26" i="2"/>
  <c r="I26" i="2" s="1"/>
  <c r="F59" i="4" l="1"/>
  <c r="F123" i="4"/>
  <c r="F187" i="4"/>
  <c r="F251" i="4"/>
  <c r="F315" i="4"/>
  <c r="F52" i="4"/>
  <c r="F116" i="4"/>
  <c r="F180" i="4"/>
  <c r="F244" i="4"/>
  <c r="F308" i="4"/>
  <c r="F45" i="4"/>
  <c r="F109" i="4"/>
  <c r="F173" i="4"/>
  <c r="F237" i="4"/>
  <c r="F301" i="4"/>
  <c r="F38" i="4"/>
  <c r="F102" i="4"/>
  <c r="F166" i="4"/>
  <c r="F230" i="4"/>
  <c r="F294" i="4"/>
  <c r="F31" i="4"/>
  <c r="F95" i="4"/>
  <c r="F159" i="4"/>
  <c r="F223" i="4"/>
  <c r="F287" i="4"/>
  <c r="F88" i="4"/>
  <c r="F152" i="4"/>
  <c r="F216" i="4"/>
  <c r="F280" i="4"/>
  <c r="F89" i="4"/>
  <c r="F153" i="4"/>
  <c r="F217" i="4"/>
  <c r="F281" i="4"/>
  <c r="F90" i="4"/>
  <c r="F154" i="4"/>
  <c r="F218" i="4"/>
  <c r="F282" i="4"/>
  <c r="F205" i="4"/>
  <c r="F63" i="4"/>
  <c r="F319" i="4"/>
  <c r="F248" i="4"/>
  <c r="F121" i="4"/>
  <c r="F58" i="4"/>
  <c r="F250" i="4"/>
  <c r="F67" i="4"/>
  <c r="F131" i="4"/>
  <c r="F195" i="4"/>
  <c r="F259" i="4"/>
  <c r="F323" i="4"/>
  <c r="F60" i="4"/>
  <c r="F124" i="4"/>
  <c r="F188" i="4"/>
  <c r="F252" i="4"/>
  <c r="F316" i="4"/>
  <c r="F53" i="4"/>
  <c r="F117" i="4"/>
  <c r="F181" i="4"/>
  <c r="F245" i="4"/>
  <c r="F309" i="4"/>
  <c r="F46" i="4"/>
  <c r="F110" i="4"/>
  <c r="F174" i="4"/>
  <c r="F238" i="4"/>
  <c r="F302" i="4"/>
  <c r="F39" i="4"/>
  <c r="F103" i="4"/>
  <c r="F167" i="4"/>
  <c r="F231" i="4"/>
  <c r="F295" i="4"/>
  <c r="F32" i="4"/>
  <c r="F96" i="4"/>
  <c r="F160" i="4"/>
  <c r="F224" i="4"/>
  <c r="F288" i="4"/>
  <c r="F33" i="4"/>
  <c r="F97" i="4"/>
  <c r="F161" i="4"/>
  <c r="F225" i="4"/>
  <c r="F289" i="4"/>
  <c r="F34" i="4"/>
  <c r="F98" i="4"/>
  <c r="F162" i="4"/>
  <c r="F226" i="4"/>
  <c r="F290" i="4"/>
  <c r="F54" i="4"/>
  <c r="F310" i="4"/>
  <c r="F175" i="4"/>
  <c r="F303" i="4"/>
  <c r="F40" i="4"/>
  <c r="F296" i="4"/>
  <c r="F105" i="4"/>
  <c r="F233" i="4"/>
  <c r="F42" i="4"/>
  <c r="F170" i="4"/>
  <c r="F298" i="4"/>
  <c r="F155" i="4"/>
  <c r="F212" i="4"/>
  <c r="F77" i="4"/>
  <c r="F134" i="4"/>
  <c r="F262" i="4"/>
  <c r="F127" i="4"/>
  <c r="F56" i="4"/>
  <c r="F312" i="4"/>
  <c r="F185" i="4"/>
  <c r="F122" i="4"/>
  <c r="F274" i="4"/>
  <c r="F75" i="4"/>
  <c r="F139" i="4"/>
  <c r="F203" i="4"/>
  <c r="F267" i="4"/>
  <c r="F68" i="4"/>
  <c r="F132" i="4"/>
  <c r="F196" i="4"/>
  <c r="F260" i="4"/>
  <c r="F324" i="4"/>
  <c r="F61" i="4"/>
  <c r="F125" i="4"/>
  <c r="F189" i="4"/>
  <c r="F253" i="4"/>
  <c r="F317" i="4"/>
  <c r="F118" i="4"/>
  <c r="F182" i="4"/>
  <c r="F246" i="4"/>
  <c r="F47" i="4"/>
  <c r="F111" i="4"/>
  <c r="F239" i="4"/>
  <c r="F104" i="4"/>
  <c r="F168" i="4"/>
  <c r="F232" i="4"/>
  <c r="F41" i="4"/>
  <c r="F169" i="4"/>
  <c r="F297" i="4"/>
  <c r="F106" i="4"/>
  <c r="F234" i="4"/>
  <c r="F91" i="4"/>
  <c r="F283" i="4"/>
  <c r="F148" i="4"/>
  <c r="F141" i="4"/>
  <c r="F70" i="4"/>
  <c r="F326" i="4"/>
  <c r="F255" i="4"/>
  <c r="F120" i="4"/>
  <c r="F57" i="4"/>
  <c r="F313" i="4"/>
  <c r="F186" i="4"/>
  <c r="F83" i="4"/>
  <c r="F147" i="4"/>
  <c r="F211" i="4"/>
  <c r="F275" i="4"/>
  <c r="F76" i="4"/>
  <c r="F140" i="4"/>
  <c r="F204" i="4"/>
  <c r="F268" i="4"/>
  <c r="F69" i="4"/>
  <c r="F133" i="4"/>
  <c r="F197" i="4"/>
  <c r="F261" i="4"/>
  <c r="F325" i="4"/>
  <c r="F62" i="4"/>
  <c r="F126" i="4"/>
  <c r="F190" i="4"/>
  <c r="F254" i="4"/>
  <c r="F318" i="4"/>
  <c r="F55" i="4"/>
  <c r="F119" i="4"/>
  <c r="F183" i="4"/>
  <c r="F247" i="4"/>
  <c r="F311" i="4"/>
  <c r="F48" i="4"/>
  <c r="F112" i="4"/>
  <c r="F176" i="4"/>
  <c r="F240" i="4"/>
  <c r="F304" i="4"/>
  <c r="F49" i="4"/>
  <c r="F113" i="4"/>
  <c r="F177" i="4"/>
  <c r="F241" i="4"/>
  <c r="F305" i="4"/>
  <c r="F50" i="4"/>
  <c r="F114" i="4"/>
  <c r="F178" i="4"/>
  <c r="F242" i="4"/>
  <c r="F306" i="4"/>
  <c r="F219" i="4"/>
  <c r="F84" i="4"/>
  <c r="F276" i="4"/>
  <c r="F269" i="4"/>
  <c r="F198" i="4"/>
  <c r="F191" i="4"/>
  <c r="F184" i="4"/>
  <c r="F249" i="4"/>
  <c r="F314" i="4"/>
  <c r="F35" i="4"/>
  <c r="F99" i="4"/>
  <c r="F163" i="4"/>
  <c r="F227" i="4"/>
  <c r="F291" i="4"/>
  <c r="F92" i="4"/>
  <c r="F156" i="4"/>
  <c r="F220" i="4"/>
  <c r="F284" i="4"/>
  <c r="F85" i="4"/>
  <c r="F149" i="4"/>
  <c r="F213" i="4"/>
  <c r="F277" i="4"/>
  <c r="F78" i="4"/>
  <c r="F142" i="4"/>
  <c r="F206" i="4"/>
  <c r="F270" i="4"/>
  <c r="F71" i="4"/>
  <c r="F135" i="4"/>
  <c r="F199" i="4"/>
  <c r="F263" i="4"/>
  <c r="F64" i="4"/>
  <c r="F128" i="4"/>
  <c r="F192" i="4"/>
  <c r="F256" i="4"/>
  <c r="F320" i="4"/>
  <c r="F65" i="4"/>
  <c r="F129" i="4"/>
  <c r="F193" i="4"/>
  <c r="F257" i="4"/>
  <c r="F321" i="4"/>
  <c r="F66" i="4"/>
  <c r="F130" i="4"/>
  <c r="F194" i="4"/>
  <c r="F258" i="4"/>
  <c r="F322" i="4"/>
  <c r="F51" i="4"/>
  <c r="F243" i="4"/>
  <c r="F108" i="4"/>
  <c r="F236" i="4"/>
  <c r="F37" i="4"/>
  <c r="F165" i="4"/>
  <c r="F293" i="4"/>
  <c r="F94" i="4"/>
  <c r="F222" i="4"/>
  <c r="F151" i="4"/>
  <c r="F144" i="4"/>
  <c r="F272" i="4"/>
  <c r="F81" i="4"/>
  <c r="F209" i="4"/>
  <c r="F146" i="4"/>
  <c r="F43" i="4"/>
  <c r="F107" i="4"/>
  <c r="F171" i="4"/>
  <c r="F235" i="4"/>
  <c r="F299" i="4"/>
  <c r="F36" i="4"/>
  <c r="F100" i="4"/>
  <c r="F164" i="4"/>
  <c r="F228" i="4"/>
  <c r="F292" i="4"/>
  <c r="F93" i="4"/>
  <c r="F157" i="4"/>
  <c r="F221" i="4"/>
  <c r="F285" i="4"/>
  <c r="F86" i="4"/>
  <c r="F150" i="4"/>
  <c r="F214" i="4"/>
  <c r="F278" i="4"/>
  <c r="F79" i="4"/>
  <c r="F143" i="4"/>
  <c r="F207" i="4"/>
  <c r="F271" i="4"/>
  <c r="F72" i="4"/>
  <c r="F136" i="4"/>
  <c r="F200" i="4"/>
  <c r="F264" i="4"/>
  <c r="F73" i="4"/>
  <c r="F137" i="4"/>
  <c r="F201" i="4"/>
  <c r="F265" i="4"/>
  <c r="F74" i="4"/>
  <c r="F138" i="4"/>
  <c r="F202" i="4"/>
  <c r="F266" i="4"/>
  <c r="F115" i="4"/>
  <c r="F179" i="4"/>
  <c r="F307" i="4"/>
  <c r="F44" i="4"/>
  <c r="F172" i="4"/>
  <c r="F300" i="4"/>
  <c r="F101" i="4"/>
  <c r="F229" i="4"/>
  <c r="F30" i="4"/>
  <c r="F158" i="4"/>
  <c r="F286" i="4"/>
  <c r="F87" i="4"/>
  <c r="F215" i="4"/>
  <c r="F279" i="4"/>
  <c r="F80" i="4"/>
  <c r="F208" i="4"/>
  <c r="F145" i="4"/>
  <c r="F273" i="4"/>
  <c r="F82" i="4"/>
  <c r="F210" i="4"/>
  <c r="O4" i="1"/>
  <c r="O3" i="1"/>
  <c r="O6" i="1"/>
  <c r="O5" i="1" l="1"/>
  <c r="O8" i="1" l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<sst xmlns="http://schemas.openxmlformats.org/spreadsheetml/2006/main" count="337" uniqueCount="155">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</sst>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NumberFormat="1"/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 applyNumberFormat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border>
        <right style="thin">
          <color auto="1"/>
        </right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2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2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61"/>
  <sheetViews>
    <sheetView tabSelected="1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B47" sqref="B47"/>
    </sheetView>
  </sheetViews>
  <sheetFormatPr defaultRowHeight="14.4" x14ac:dyDescent="0.3"/>
  <cols>
    <col min="1" max="1" width="5.6640625" bestFit="1" customWidth="1"/>
    <col min="2" max="2" width="10.5546875" bestFit="1" customWidth="1"/>
    <col min="3" max="3" width="14.6640625" bestFit="1" customWidth="1"/>
    <col min="4" max="4" width="7.33203125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8.109375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6" si="1">IFERROR(IF(K2=0, "", IF(I2&gt;0, K2/100*I2,K2/I2*-100)), "")</f>
        <v>101.5</v>
      </c>
      <c r="M2" t="s">
        <v>18</v>
      </c>
      <c r="N2" s="3">
        <f t="shared" ref="N2:N65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66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0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0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0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0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0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0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0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0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0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0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0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0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0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0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0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0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0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0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0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0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0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0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0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0</v>
      </c>
    </row>
    <row r="34" spans="1:18" x14ac:dyDescent="0.3">
      <c r="A34">
        <f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0</v>
      </c>
    </row>
    <row r="35" spans="1:18" x14ac:dyDescent="0.3">
      <c r="A35">
        <f t="shared" si="4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3">
      <c r="A36">
        <v>29</v>
      </c>
      <c r="B36" s="4">
        <v>43484</v>
      </c>
      <c r="C36" t="s">
        <v>66</v>
      </c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>
        <f t="shared" ca="1" si="3"/>
        <v>0</v>
      </c>
      <c r="P36" s="7">
        <f ca="1">SUMIFS($N$2:$N36,$B$2:$B36,"&lt;&gt;"&amp;B36)+SUM($Q$2:$Q36)</f>
        <v>141.32499999999999</v>
      </c>
      <c r="R36" t="b">
        <f>AND(ISNUMBER(FIND($E36,Tables!$I$2)), ISNUMBER(FIND($D36,Tables!$J$2)), $E36&lt;&gt;"")</f>
        <v>0</v>
      </c>
    </row>
    <row r="37" spans="1:18" x14ac:dyDescent="0.3">
      <c r="A37">
        <v>29</v>
      </c>
      <c r="B37" s="4">
        <v>43484</v>
      </c>
      <c r="C37" t="s">
        <v>66</v>
      </c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>
        <f t="shared" ca="1" si="3"/>
        <v>0</v>
      </c>
      <c r="P37" s="7">
        <f ca="1">SUMIFS($N$2:$N37,$B$2:$B37,"&lt;&gt;"&amp;B37)+SUM($Q$2:$Q37)</f>
        <v>141.32499999999999</v>
      </c>
      <c r="R37" t="b">
        <f>AND(ISNUMBER(FIND($E37,Tables!$I$2)), ISNUMBER(FIND($D37,Tables!$J$2)), $E37&lt;&gt;"")</f>
        <v>0</v>
      </c>
    </row>
    <row r="38" spans="1:18" x14ac:dyDescent="0.3">
      <c r="A38">
        <v>29</v>
      </c>
      <c r="B38" s="4">
        <v>43484</v>
      </c>
      <c r="C38" t="s">
        <v>66</v>
      </c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>
        <f t="shared" ca="1" si="3"/>
        <v>0</v>
      </c>
      <c r="P38" s="7">
        <f ca="1">SUMIFS($N$2:$N38,$B$2:$B38,"&lt;&gt;"&amp;B38)+SUM($Q$2:$Q38)</f>
        <v>141.32499999999999</v>
      </c>
      <c r="R38" t="b">
        <f>AND(ISNUMBER(FIND($E38,Tables!$I$2)), ISNUMBER(FIND($D38,Tables!$J$2)), $E38&lt;&gt;"")</f>
        <v>0</v>
      </c>
    </row>
    <row r="39" spans="1:18" x14ac:dyDescent="0.3">
      <c r="A39">
        <v>29</v>
      </c>
      <c r="B39" s="4">
        <v>43484</v>
      </c>
      <c r="C39" t="s">
        <v>66</v>
      </c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>
        <f t="shared" ca="1" si="3"/>
        <v>0</v>
      </c>
      <c r="P39" s="7">
        <f ca="1">SUMIFS($N$2:$N39,$B$2:$B39,"&lt;&gt;"&amp;B39)+SUM($Q$2:$Q39)</f>
        <v>141.32499999999999</v>
      </c>
      <c r="R39" t="b">
        <f>AND(ISNUMBER(FIND($E39,Tables!$I$2)), ISNUMBER(FIND($D39,Tables!$J$2)), $E39&lt;&gt;"")</f>
        <v>0</v>
      </c>
    </row>
    <row r="40" spans="1:18" x14ac:dyDescent="0.3">
      <c r="A40">
        <f t="shared" si="4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4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0</v>
      </c>
    </row>
    <row r="42" spans="1:18" x14ac:dyDescent="0.3">
      <c r="A42">
        <f t="shared" si="4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3">
      <c r="A43">
        <f t="shared" si="4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0</v>
      </c>
    </row>
    <row r="44" spans="1:18" x14ac:dyDescent="0.3">
      <c r="A44">
        <f t="shared" si="4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3">
      <c r="A45">
        <f t="shared" si="4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0</v>
      </c>
    </row>
    <row r="46" spans="1:18" x14ac:dyDescent="0.3">
      <c r="A46">
        <f t="shared" si="4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3">
      <c r="A47">
        <f t="shared" si="4"/>
        <v>37</v>
      </c>
      <c r="B47" s="4"/>
      <c r="I47" s="8"/>
      <c r="J47" s="5" t="str">
        <f t="shared" si="0"/>
        <v/>
      </c>
      <c r="K47" s="3"/>
      <c r="L47" s="3"/>
      <c r="N47" s="3" t="str">
        <f t="shared" si="2"/>
        <v/>
      </c>
      <c r="O47" s="6" t="str">
        <f t="shared" si="3"/>
        <v/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3">
      <c r="A48">
        <f t="shared" si="4"/>
        <v>38</v>
      </c>
      <c r="B48" s="4"/>
      <c r="I48" s="8"/>
      <c r="J48" s="5" t="str">
        <f t="shared" si="0"/>
        <v/>
      </c>
      <c r="K48" s="3"/>
      <c r="L48" s="3"/>
      <c r="N48" s="3" t="str">
        <f t="shared" si="2"/>
        <v/>
      </c>
      <c r="O48" s="6" t="str">
        <f t="shared" si="3"/>
        <v/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3">
      <c r="A49">
        <f t="shared" si="4"/>
        <v>39</v>
      </c>
      <c r="B49" s="4"/>
      <c r="I49" s="8"/>
      <c r="J49" s="5" t="str">
        <f t="shared" si="0"/>
        <v/>
      </c>
      <c r="K49" s="3"/>
      <c r="L49" s="3"/>
      <c r="N49" s="3" t="str">
        <f t="shared" si="2"/>
        <v/>
      </c>
      <c r="O49" s="6" t="str">
        <f t="shared" si="3"/>
        <v/>
      </c>
      <c r="P49" s="7">
        <f ca="1">SUMIFS($N$2:$N49,$B$2:$B49,"&lt;&gt;"&amp;B49)+SUM($Q$2:$Q49)</f>
        <v>90.195000000000007</v>
      </c>
      <c r="R49" t="b">
        <f>AND(ISNUMBER(FIND($E49,Tables!$I$2)), ISNUMBER(FIND($D49,Tables!$J$2)), $E49&lt;&gt;"")</f>
        <v>0</v>
      </c>
    </row>
    <row r="50" spans="1:18" x14ac:dyDescent="0.3">
      <c r="A50">
        <f t="shared" si="4"/>
        <v>40</v>
      </c>
      <c r="B50" s="4"/>
      <c r="I50" s="8"/>
      <c r="J50" s="5" t="str">
        <f t="shared" si="0"/>
        <v/>
      </c>
      <c r="K50" s="3"/>
      <c r="L50" s="3"/>
      <c r="N50" s="3" t="str">
        <f t="shared" si="2"/>
        <v/>
      </c>
      <c r="O50" s="6" t="str">
        <f t="shared" si="3"/>
        <v/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0</v>
      </c>
    </row>
    <row r="51" spans="1:18" x14ac:dyDescent="0.3">
      <c r="A51">
        <f t="shared" si="4"/>
        <v>41</v>
      </c>
      <c r="B51" s="4"/>
      <c r="I51" s="8"/>
      <c r="J51" s="5" t="str">
        <f t="shared" si="0"/>
        <v/>
      </c>
      <c r="K51" s="3"/>
      <c r="L51" s="3"/>
      <c r="N51" s="3" t="str">
        <f t="shared" si="2"/>
        <v/>
      </c>
      <c r="O51" s="6" t="str">
        <f t="shared" si="3"/>
        <v/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0</v>
      </c>
    </row>
    <row r="52" spans="1:18" x14ac:dyDescent="0.3">
      <c r="A52">
        <f t="shared" si="4"/>
        <v>42</v>
      </c>
      <c r="B52" s="4"/>
      <c r="I52" s="8"/>
      <c r="J52" s="5" t="str">
        <f t="shared" si="0"/>
        <v/>
      </c>
      <c r="K52" s="3"/>
      <c r="L52" s="3"/>
      <c r="N52" s="3" t="str">
        <f t="shared" si="2"/>
        <v/>
      </c>
      <c r="O52" s="6" t="str">
        <f t="shared" si="3"/>
        <v/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0</v>
      </c>
    </row>
    <row r="53" spans="1:18" x14ac:dyDescent="0.3">
      <c r="A53">
        <f t="shared" si="4"/>
        <v>43</v>
      </c>
      <c r="B53" s="4"/>
      <c r="I53" s="8"/>
      <c r="J53" s="5" t="str">
        <f t="shared" si="0"/>
        <v/>
      </c>
      <c r="K53" s="3"/>
      <c r="L53" s="3"/>
      <c r="N53" s="3" t="str">
        <f t="shared" si="2"/>
        <v/>
      </c>
      <c r="O53" s="6" t="str">
        <f t="shared" si="3"/>
        <v/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0</v>
      </c>
    </row>
    <row r="54" spans="1:18" x14ac:dyDescent="0.3">
      <c r="A54">
        <f t="shared" si="4"/>
        <v>44</v>
      </c>
      <c r="B54" s="4"/>
      <c r="I54" s="8"/>
      <c r="J54" s="5" t="str">
        <f t="shared" si="0"/>
        <v/>
      </c>
      <c r="K54" s="3"/>
      <c r="L54" s="3"/>
      <c r="N54" s="3" t="str">
        <f t="shared" si="2"/>
        <v/>
      </c>
      <c r="O54" s="6" t="str">
        <f t="shared" si="3"/>
        <v/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0</v>
      </c>
    </row>
    <row r="55" spans="1:18" x14ac:dyDescent="0.3">
      <c r="A55">
        <f t="shared" si="4"/>
        <v>45</v>
      </c>
      <c r="B55" s="4"/>
      <c r="I55" s="8"/>
      <c r="J55" s="5" t="str">
        <f t="shared" si="0"/>
        <v/>
      </c>
      <c r="K55" s="3"/>
      <c r="L55" s="3"/>
      <c r="N55" s="3" t="str">
        <f t="shared" si="2"/>
        <v/>
      </c>
      <c r="O55" s="6" t="str">
        <f t="shared" si="3"/>
        <v/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3">
      <c r="A56">
        <f t="shared" si="4"/>
        <v>46</v>
      </c>
      <c r="B56" s="4"/>
      <c r="I56" s="8"/>
      <c r="J56" s="5" t="str">
        <f t="shared" si="0"/>
        <v/>
      </c>
      <c r="K56" s="3"/>
      <c r="L56" s="3"/>
      <c r="N56" s="3" t="str">
        <f t="shared" si="2"/>
        <v/>
      </c>
      <c r="O56" s="6" t="str">
        <f t="shared" si="3"/>
        <v/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3">
      <c r="A57">
        <f t="shared" si="4"/>
        <v>47</v>
      </c>
      <c r="B57" s="4"/>
      <c r="I57" s="8"/>
      <c r="J57" s="5" t="str">
        <f t="shared" si="0"/>
        <v/>
      </c>
      <c r="K57" s="3"/>
      <c r="L57" s="3"/>
      <c r="N57" s="3" t="str">
        <f t="shared" si="2"/>
        <v/>
      </c>
      <c r="O57" s="6" t="str">
        <f t="shared" si="3"/>
        <v/>
      </c>
      <c r="P57" s="7">
        <f ca="1">SUMIFS($N$2:$N57,$B$2:$B57,"&lt;&gt;"&amp;B57)+SUM($Q$2:$Q57)</f>
        <v>90.195000000000007</v>
      </c>
      <c r="R57" t="b">
        <f>AND(ISNUMBER(FIND($E57,Tables!$I$2)), ISNUMBER(FIND($D57,Tables!$J$2)), $E57&lt;&gt;"")</f>
        <v>0</v>
      </c>
    </row>
    <row r="58" spans="1:18" x14ac:dyDescent="0.3">
      <c r="A58">
        <f t="shared" si="4"/>
        <v>48</v>
      </c>
      <c r="B58" s="4"/>
      <c r="I58" s="8"/>
      <c r="J58" s="5" t="str">
        <f t="shared" si="0"/>
        <v/>
      </c>
      <c r="K58" s="3"/>
      <c r="L58" s="3"/>
      <c r="N58" s="3" t="str">
        <f t="shared" si="2"/>
        <v/>
      </c>
      <c r="O58" s="6" t="str">
        <f t="shared" si="3"/>
        <v/>
      </c>
      <c r="P58" s="7">
        <f ca="1">SUMIFS($N$2:$N58,$B$2:$B58,"&lt;&gt;"&amp;B58)+SUM($Q$2:$Q58)</f>
        <v>90.195000000000007</v>
      </c>
      <c r="R58" t="b">
        <f>AND(ISNUMBER(FIND($E58,Tables!$I$2)), ISNUMBER(FIND($D58,Tables!$J$2)), $E58&lt;&gt;"")</f>
        <v>0</v>
      </c>
    </row>
    <row r="59" spans="1:18" x14ac:dyDescent="0.3">
      <c r="A59">
        <f t="shared" si="4"/>
        <v>49</v>
      </c>
      <c r="B59" s="4"/>
      <c r="I59" s="8"/>
      <c r="J59" s="5" t="str">
        <f t="shared" si="0"/>
        <v/>
      </c>
      <c r="K59" s="3"/>
      <c r="L59" s="3"/>
      <c r="N59" s="3" t="str">
        <f t="shared" si="2"/>
        <v/>
      </c>
      <c r="O59" s="6" t="str">
        <f t="shared" si="3"/>
        <v/>
      </c>
      <c r="P59" s="7">
        <f ca="1">SUMIFS($N$2:$N59,$B$2:$B59,"&lt;&gt;"&amp;B59)+SUM($Q$2:$Q59)</f>
        <v>90.195000000000007</v>
      </c>
      <c r="R59" t="b">
        <f>AND(ISNUMBER(FIND($E59,Tables!$I$2)), ISNUMBER(FIND($D59,Tables!$J$2)), $E59&lt;&gt;"")</f>
        <v>0</v>
      </c>
    </row>
    <row r="60" spans="1:18" x14ac:dyDescent="0.3">
      <c r="A60">
        <f t="shared" si="4"/>
        <v>50</v>
      </c>
      <c r="B60" s="4"/>
      <c r="I60" s="8"/>
      <c r="J60" s="5" t="str">
        <f t="shared" si="0"/>
        <v/>
      </c>
      <c r="K60" s="3"/>
      <c r="L60" s="3"/>
      <c r="N60" s="3" t="str">
        <f t="shared" si="2"/>
        <v/>
      </c>
      <c r="O60" s="6" t="str">
        <f t="shared" si="3"/>
        <v/>
      </c>
      <c r="P60" s="7">
        <f ca="1">SUMIFS($N$2:$N60,$B$2:$B60,"&lt;&gt;"&amp;B60)+SUM($Q$2:$Q60)</f>
        <v>90.195000000000007</v>
      </c>
      <c r="R60" t="b">
        <f>AND(ISNUMBER(FIND($E60,Tables!$I$2)), ISNUMBER(FIND($D60,Tables!$J$2)), $E60&lt;&gt;"")</f>
        <v>0</v>
      </c>
    </row>
    <row r="61" spans="1:18" x14ac:dyDescent="0.3">
      <c r="A61">
        <f t="shared" si="4"/>
        <v>51</v>
      </c>
      <c r="B61" s="4"/>
      <c r="I61" s="8"/>
      <c r="J61" s="5" t="str">
        <f t="shared" si="0"/>
        <v/>
      </c>
      <c r="K61" s="3"/>
      <c r="L61" s="3"/>
      <c r="N61" s="3" t="str">
        <f t="shared" si="2"/>
        <v/>
      </c>
      <c r="O61" s="6" t="str">
        <f t="shared" si="3"/>
        <v/>
      </c>
      <c r="P61" s="7">
        <f ca="1">SUMIFS($N$2:$N61,$B$2:$B61,"&lt;&gt;"&amp;B61)+SUM($Q$2:$Q61)</f>
        <v>90.195000000000007</v>
      </c>
      <c r="R61" t="b">
        <f>AND(ISNUMBER(FIND($E61,Tables!$I$2)), ISNUMBER(FIND($D61,Tables!$J$2)), $E61&lt;&gt;"")</f>
        <v>0</v>
      </c>
    </row>
    <row r="62" spans="1:18" x14ac:dyDescent="0.3">
      <c r="A62">
        <f t="shared" si="4"/>
        <v>52</v>
      </c>
      <c r="B62" s="4"/>
      <c r="I62" s="8"/>
      <c r="J62" s="5" t="str">
        <f t="shared" si="0"/>
        <v/>
      </c>
      <c r="K62" s="3"/>
      <c r="L62" s="3"/>
      <c r="N62" s="3" t="str">
        <f t="shared" si="2"/>
        <v/>
      </c>
      <c r="O62" s="6" t="str">
        <f t="shared" si="3"/>
        <v/>
      </c>
      <c r="P62" s="7">
        <f ca="1">SUMIFS($N$2:$N62,$B$2:$B62,"&lt;&gt;"&amp;B62)+SUM($Q$2:$Q62)</f>
        <v>90.195000000000007</v>
      </c>
      <c r="R62" t="b">
        <f>AND(ISNUMBER(FIND($E62,Tables!$I$2)), ISNUMBER(FIND($D62,Tables!$J$2)), $E62&lt;&gt;"")</f>
        <v>0</v>
      </c>
    </row>
    <row r="63" spans="1:18" x14ac:dyDescent="0.3">
      <c r="A63">
        <f t="shared" si="4"/>
        <v>53</v>
      </c>
      <c r="B63" s="4"/>
      <c r="I63" s="8"/>
      <c r="J63" s="5" t="str">
        <f t="shared" si="0"/>
        <v/>
      </c>
      <c r="K63" s="3"/>
      <c r="L63" s="3"/>
      <c r="N63" s="3" t="str">
        <f t="shared" si="2"/>
        <v/>
      </c>
      <c r="O63" s="6" t="str">
        <f t="shared" si="3"/>
        <v/>
      </c>
      <c r="P63" s="7">
        <f ca="1">SUMIFS($N$2:$N63,$B$2:$B63,"&lt;&gt;"&amp;B63)+SUM($Q$2:$Q63)</f>
        <v>90.195000000000007</v>
      </c>
      <c r="R63" t="b">
        <f>AND(ISNUMBER(FIND($E63,Tables!$I$2)), ISNUMBER(FIND($D63,Tables!$J$2)), $E63&lt;&gt;"")</f>
        <v>0</v>
      </c>
    </row>
    <row r="64" spans="1:18" x14ac:dyDescent="0.3">
      <c r="A64">
        <f t="shared" si="4"/>
        <v>54</v>
      </c>
      <c r="B64" s="4"/>
      <c r="I64" s="8"/>
      <c r="J64" s="5" t="str">
        <f t="shared" si="0"/>
        <v/>
      </c>
      <c r="K64" s="3"/>
      <c r="L64" s="3"/>
      <c r="N64" s="3" t="str">
        <f t="shared" si="2"/>
        <v/>
      </c>
      <c r="O64" s="6" t="str">
        <f t="shared" si="3"/>
        <v/>
      </c>
      <c r="P64" s="7">
        <f ca="1">SUMIFS($N$2:$N64,$B$2:$B64,"&lt;&gt;"&amp;B64)+SUM($Q$2:$Q64)</f>
        <v>90.195000000000007</v>
      </c>
      <c r="R64" t="b">
        <f>AND(ISNUMBER(FIND($E64,Tables!$I$2)), ISNUMBER(FIND($D64,Tables!$J$2)), $E64&lt;&gt;"")</f>
        <v>0</v>
      </c>
    </row>
    <row r="65" spans="1:18" x14ac:dyDescent="0.3">
      <c r="A65">
        <f t="shared" si="4"/>
        <v>55</v>
      </c>
      <c r="B65" s="4"/>
      <c r="I65" s="8"/>
      <c r="J65" s="5" t="str">
        <f t="shared" si="0"/>
        <v/>
      </c>
      <c r="K65" s="3"/>
      <c r="L65" s="3"/>
      <c r="N65" s="3" t="str">
        <f t="shared" si="2"/>
        <v/>
      </c>
      <c r="O65" s="6" t="str">
        <f t="shared" si="3"/>
        <v/>
      </c>
      <c r="P65" s="7">
        <f ca="1">SUMIFS($N$2:$N65,$B$2:$B65,"&lt;&gt;"&amp;B65)+SUM($Q$2:$Q65)</f>
        <v>90.195000000000007</v>
      </c>
      <c r="R65" t="b">
        <f>AND(ISNUMBER(FIND($E65,Tables!$I$2)), ISNUMBER(FIND($D65,Tables!$J$2)), $E65&lt;&gt;"")</f>
        <v>0</v>
      </c>
    </row>
    <row r="66" spans="1:18" x14ac:dyDescent="0.3">
      <c r="A66">
        <f t="shared" si="4"/>
        <v>56</v>
      </c>
      <c r="B66" s="4"/>
      <c r="I66" s="8"/>
      <c r="J66" s="5" t="str">
        <f t="shared" ref="J66:J129" si="5">IF(I66="", "", IF(I66&gt;0, I66/100 +1, -100/I66 +1))</f>
        <v/>
      </c>
      <c r="K66" s="3"/>
      <c r="L66" s="3"/>
      <c r="N66" s="3" t="str">
        <f t="shared" ref="N66:N129" si="6">IF(L66 = "", "", IF(M66="", "", IF(M66="Draw", 0, IF(M66="win", L66, -1*K66))))</f>
        <v/>
      </c>
      <c r="O66" s="6" t="str">
        <f t="shared" ref="O66:O129" si="7">IFERROR(K66/VLOOKUP(_xlfn.MINIFS(A:A,B:B,B66,C:C,C66),A:P,16),"")</f>
        <v/>
      </c>
      <c r="P66" s="7">
        <f ca="1">SUMIFS($N$2:$N66,$B$2:$B66,"&lt;&gt;"&amp;B66)+SUM($Q$2:$Q66)</f>
        <v>90.195000000000007</v>
      </c>
      <c r="R66" t="b">
        <f>AND(ISNUMBER(FIND($E66,Tables!$I$2)), ISNUMBER(FIND($D66,Tables!$J$2)), $E66&lt;&gt;"")</f>
        <v>0</v>
      </c>
    </row>
    <row r="67" spans="1:18" x14ac:dyDescent="0.3">
      <c r="A67">
        <f t="shared" ref="A67:A130" si="8">IF(AND(B67="", D67&lt;&gt;""), A66, A66+1)</f>
        <v>57</v>
      </c>
      <c r="B67" s="4"/>
      <c r="I67" s="8"/>
      <c r="J67" s="5" t="str">
        <f t="shared" si="5"/>
        <v/>
      </c>
      <c r="K67" s="3"/>
      <c r="L67" s="3"/>
      <c r="N67" s="3" t="str">
        <f t="shared" si="6"/>
        <v/>
      </c>
      <c r="O67" s="6" t="str">
        <f t="shared" si="7"/>
        <v/>
      </c>
      <c r="P67" s="7">
        <f ca="1">SUMIFS($N$2:$N67,$B$2:$B67,"&lt;&gt;"&amp;B67)+SUM($Q$2:$Q67)</f>
        <v>90.195000000000007</v>
      </c>
      <c r="R67" t="b">
        <f>AND(ISNUMBER(FIND($E67,Tables!$I$2)), ISNUMBER(FIND($D67,Tables!$J$2)), $E67&lt;&gt;"")</f>
        <v>0</v>
      </c>
    </row>
    <row r="68" spans="1:18" x14ac:dyDescent="0.3">
      <c r="A68">
        <f t="shared" si="8"/>
        <v>58</v>
      </c>
      <c r="B68" s="4"/>
      <c r="I68" s="8"/>
      <c r="J68" s="5" t="str">
        <f t="shared" si="5"/>
        <v/>
      </c>
      <c r="K68" s="3"/>
      <c r="L68" s="3"/>
      <c r="N68" s="3" t="str">
        <f t="shared" si="6"/>
        <v/>
      </c>
      <c r="O68" s="6" t="str">
        <f t="shared" si="7"/>
        <v/>
      </c>
      <c r="P68" s="7">
        <f ca="1">SUMIFS($N$2:$N68,$B$2:$B68,"&lt;&gt;"&amp;B68)+SUM($Q$2:$Q68)</f>
        <v>90.195000000000007</v>
      </c>
      <c r="R68" t="b">
        <f>AND(ISNUMBER(FIND($E68,Tables!$I$2)), ISNUMBER(FIND($D68,Tables!$J$2)), $E68&lt;&gt;"")</f>
        <v>0</v>
      </c>
    </row>
    <row r="69" spans="1:18" x14ac:dyDescent="0.3">
      <c r="A69">
        <f t="shared" si="8"/>
        <v>59</v>
      </c>
      <c r="B69" s="4"/>
      <c r="I69" s="8"/>
      <c r="J69" s="5" t="str">
        <f t="shared" si="5"/>
        <v/>
      </c>
      <c r="K69" s="3"/>
      <c r="L69" s="3"/>
      <c r="N69" s="3" t="str">
        <f t="shared" si="6"/>
        <v/>
      </c>
      <c r="O69" s="6" t="str">
        <f t="shared" si="7"/>
        <v/>
      </c>
      <c r="P69" s="7">
        <f ca="1">SUMIFS($N$2:$N69,$B$2:$B69,"&lt;&gt;"&amp;B69)+SUM($Q$2:$Q69)</f>
        <v>90.195000000000007</v>
      </c>
      <c r="R69" t="b">
        <f>AND(ISNUMBER(FIND($E69,Tables!$I$2)), ISNUMBER(FIND($D69,Tables!$J$2)), $E69&lt;&gt;"")</f>
        <v>0</v>
      </c>
    </row>
    <row r="70" spans="1:18" x14ac:dyDescent="0.3">
      <c r="A70">
        <f t="shared" si="8"/>
        <v>60</v>
      </c>
      <c r="B70" s="4"/>
      <c r="I70" s="8"/>
      <c r="J70" s="5" t="str">
        <f t="shared" si="5"/>
        <v/>
      </c>
      <c r="K70" s="3"/>
      <c r="L70" s="3"/>
      <c r="N70" s="3" t="str">
        <f t="shared" si="6"/>
        <v/>
      </c>
      <c r="O70" s="6" t="str">
        <f t="shared" si="7"/>
        <v/>
      </c>
      <c r="P70" s="7">
        <f ca="1">SUMIFS($N$2:$N70,$B$2:$B70,"&lt;&gt;"&amp;B70)+SUM($Q$2:$Q70)</f>
        <v>90.195000000000007</v>
      </c>
      <c r="R70" t="b">
        <f>AND(ISNUMBER(FIND($E70,Tables!$I$2)), ISNUMBER(FIND($D70,Tables!$J$2)), $E70&lt;&gt;"")</f>
        <v>0</v>
      </c>
    </row>
    <row r="71" spans="1:18" x14ac:dyDescent="0.3">
      <c r="A71">
        <f t="shared" si="8"/>
        <v>61</v>
      </c>
      <c r="B71" s="4"/>
      <c r="I71" s="8"/>
      <c r="J71" s="5" t="str">
        <f t="shared" si="5"/>
        <v/>
      </c>
      <c r="K71" s="3"/>
      <c r="L71" s="3"/>
      <c r="N71" s="3" t="str">
        <f t="shared" si="6"/>
        <v/>
      </c>
      <c r="O71" s="6" t="str">
        <f t="shared" si="7"/>
        <v/>
      </c>
      <c r="P71" s="7">
        <f ca="1">SUMIFS($N$2:$N71,$B$2:$B71,"&lt;&gt;"&amp;B71)+SUM($Q$2:$Q71)</f>
        <v>90.195000000000007</v>
      </c>
      <c r="R71" t="b">
        <f>AND(ISNUMBER(FIND($E71,Tables!$I$2)), ISNUMBER(FIND($D71,Tables!$J$2)), $E71&lt;&gt;"")</f>
        <v>0</v>
      </c>
    </row>
    <row r="72" spans="1:18" x14ac:dyDescent="0.3">
      <c r="A72">
        <f t="shared" si="8"/>
        <v>62</v>
      </c>
      <c r="B72" s="4"/>
      <c r="I72" s="8"/>
      <c r="J72" s="5" t="str">
        <f t="shared" si="5"/>
        <v/>
      </c>
      <c r="K72" s="3"/>
      <c r="L72" s="3"/>
      <c r="N72" s="3" t="str">
        <f t="shared" si="6"/>
        <v/>
      </c>
      <c r="O72" s="6" t="str">
        <f t="shared" si="7"/>
        <v/>
      </c>
      <c r="P72" s="7">
        <f ca="1">SUMIFS($N$2:$N72,$B$2:$B72,"&lt;&gt;"&amp;B72)+SUM($Q$2:$Q72)</f>
        <v>90.195000000000007</v>
      </c>
      <c r="R72" t="b">
        <f>AND(ISNUMBER(FIND($E72,Tables!$I$2)), ISNUMBER(FIND($D72,Tables!$J$2)), $E72&lt;&gt;"")</f>
        <v>0</v>
      </c>
    </row>
    <row r="73" spans="1:18" x14ac:dyDescent="0.3">
      <c r="A73">
        <f t="shared" si="8"/>
        <v>63</v>
      </c>
      <c r="B73" s="4"/>
      <c r="I73" s="8"/>
      <c r="J73" s="5" t="str">
        <f t="shared" si="5"/>
        <v/>
      </c>
      <c r="K73" s="3"/>
      <c r="L73" s="3"/>
      <c r="N73" s="3" t="str">
        <f t="shared" si="6"/>
        <v/>
      </c>
      <c r="O73" s="6" t="str">
        <f t="shared" si="7"/>
        <v/>
      </c>
      <c r="P73" s="7">
        <f ca="1">SUMIFS($N$2:$N73,$B$2:$B73,"&lt;&gt;"&amp;B73)+SUM($Q$2:$Q73)</f>
        <v>90.195000000000007</v>
      </c>
      <c r="R73" t="b">
        <f>AND(ISNUMBER(FIND($E73,Tables!$I$2)), ISNUMBER(FIND($D73,Tables!$J$2)), $E73&lt;&gt;"")</f>
        <v>0</v>
      </c>
    </row>
    <row r="74" spans="1:18" x14ac:dyDescent="0.3">
      <c r="A74">
        <f t="shared" si="8"/>
        <v>64</v>
      </c>
      <c r="B74" s="4"/>
      <c r="I74" s="8"/>
      <c r="J74" s="5" t="str">
        <f t="shared" si="5"/>
        <v/>
      </c>
      <c r="K74" s="3"/>
      <c r="L74" s="3"/>
      <c r="N74" s="3" t="str">
        <f t="shared" si="6"/>
        <v/>
      </c>
      <c r="O74" s="6" t="str">
        <f t="shared" si="7"/>
        <v/>
      </c>
      <c r="P74" s="7">
        <f ca="1">SUMIFS($N$2:$N74,$B$2:$B74,"&lt;&gt;"&amp;B74)+SUM($Q$2:$Q74)</f>
        <v>90.195000000000007</v>
      </c>
      <c r="R74" t="b">
        <f>AND(ISNUMBER(FIND($E74,Tables!$I$2)), ISNUMBER(FIND($D74,Tables!$J$2)), $E74&lt;&gt;"")</f>
        <v>0</v>
      </c>
    </row>
    <row r="75" spans="1:18" x14ac:dyDescent="0.3">
      <c r="A75">
        <f t="shared" si="8"/>
        <v>65</v>
      </c>
      <c r="B75" s="4"/>
      <c r="I75" s="8"/>
      <c r="J75" s="5" t="str">
        <f t="shared" si="5"/>
        <v/>
      </c>
      <c r="K75" s="3"/>
      <c r="L75" s="3"/>
      <c r="N75" s="3" t="str">
        <f t="shared" si="6"/>
        <v/>
      </c>
      <c r="O75" s="6" t="str">
        <f t="shared" si="7"/>
        <v/>
      </c>
      <c r="P75" s="7">
        <f ca="1">SUMIFS($N$2:$N75,$B$2:$B75,"&lt;&gt;"&amp;B75)+SUM($Q$2:$Q75)</f>
        <v>90.195000000000007</v>
      </c>
      <c r="R75" t="b">
        <f>AND(ISNUMBER(FIND($E75,Tables!$I$2)), ISNUMBER(FIND($D75,Tables!$J$2)), $E75&lt;&gt;"")</f>
        <v>0</v>
      </c>
    </row>
    <row r="76" spans="1:18" x14ac:dyDescent="0.3">
      <c r="A76">
        <f t="shared" si="8"/>
        <v>66</v>
      </c>
      <c r="B76" s="4"/>
      <c r="I76" s="8"/>
      <c r="J76" s="5" t="str">
        <f t="shared" si="5"/>
        <v/>
      </c>
      <c r="K76" s="3"/>
      <c r="L76" s="3"/>
      <c r="N76" s="3" t="str">
        <f t="shared" si="6"/>
        <v/>
      </c>
      <c r="O76" s="6" t="str">
        <f t="shared" si="7"/>
        <v/>
      </c>
      <c r="P76" s="7">
        <f ca="1">SUMIFS($N$2:$N76,$B$2:$B76,"&lt;&gt;"&amp;B76)+SUM($Q$2:$Q76)</f>
        <v>90.195000000000007</v>
      </c>
      <c r="R76" t="b">
        <f>AND(ISNUMBER(FIND($E76,Tables!$I$2)), ISNUMBER(FIND($D76,Tables!$J$2)), $E76&lt;&gt;"")</f>
        <v>0</v>
      </c>
    </row>
    <row r="77" spans="1:18" x14ac:dyDescent="0.3">
      <c r="A77">
        <f t="shared" si="8"/>
        <v>67</v>
      </c>
      <c r="B77" s="4"/>
      <c r="I77" s="8"/>
      <c r="J77" s="5" t="str">
        <f t="shared" si="5"/>
        <v/>
      </c>
      <c r="K77" s="3"/>
      <c r="L77" s="3"/>
      <c r="N77" s="3" t="str">
        <f t="shared" si="6"/>
        <v/>
      </c>
      <c r="O77" s="6" t="str">
        <f t="shared" si="7"/>
        <v/>
      </c>
      <c r="P77" s="7">
        <f ca="1">SUMIFS($N$2:$N77,$B$2:$B77,"&lt;&gt;"&amp;B77)+SUM($Q$2:$Q77)</f>
        <v>90.195000000000007</v>
      </c>
      <c r="R77" t="b">
        <f>AND(ISNUMBER(FIND($E77,Tables!$I$2)), ISNUMBER(FIND($D77,Tables!$J$2)), $E77&lt;&gt;"")</f>
        <v>0</v>
      </c>
    </row>
    <row r="78" spans="1:18" x14ac:dyDescent="0.3">
      <c r="A78">
        <f t="shared" si="8"/>
        <v>68</v>
      </c>
      <c r="B78" s="4"/>
      <c r="I78" s="8"/>
      <c r="J78" s="5" t="str">
        <f t="shared" si="5"/>
        <v/>
      </c>
      <c r="K78" s="3"/>
      <c r="L78" s="3"/>
      <c r="N78" s="3" t="str">
        <f t="shared" si="6"/>
        <v/>
      </c>
      <c r="O78" s="6" t="str">
        <f t="shared" si="7"/>
        <v/>
      </c>
      <c r="P78" s="7">
        <f ca="1">SUMIFS($N$2:$N78,$B$2:$B78,"&lt;&gt;"&amp;B78)+SUM($Q$2:$Q78)</f>
        <v>90.195000000000007</v>
      </c>
      <c r="R78" t="b">
        <f>AND(ISNUMBER(FIND($E78,Tables!$I$2)), ISNUMBER(FIND($D78,Tables!$J$2)), $E78&lt;&gt;"")</f>
        <v>0</v>
      </c>
    </row>
    <row r="79" spans="1:18" x14ac:dyDescent="0.3">
      <c r="A79">
        <f t="shared" si="8"/>
        <v>69</v>
      </c>
      <c r="B79" s="4"/>
      <c r="I79" s="8"/>
      <c r="J79" s="5" t="str">
        <f t="shared" si="5"/>
        <v/>
      </c>
      <c r="K79" s="3"/>
      <c r="L79" s="3"/>
      <c r="N79" s="3" t="str">
        <f t="shared" si="6"/>
        <v/>
      </c>
      <c r="O79" s="6" t="str">
        <f t="shared" si="7"/>
        <v/>
      </c>
      <c r="P79" s="7">
        <f ca="1">SUMIFS($N$2:$N79,$B$2:$B79,"&lt;&gt;"&amp;B79)+SUM($Q$2:$Q79)</f>
        <v>90.195000000000007</v>
      </c>
      <c r="R79" t="b">
        <f>AND(ISNUMBER(FIND($E79,Tables!$I$2)), ISNUMBER(FIND($D79,Tables!$J$2)), $E79&lt;&gt;"")</f>
        <v>0</v>
      </c>
    </row>
    <row r="80" spans="1:18" x14ac:dyDescent="0.3">
      <c r="A80">
        <f t="shared" si="8"/>
        <v>70</v>
      </c>
      <c r="B80" s="4"/>
      <c r="I80" s="8"/>
      <c r="J80" s="5" t="str">
        <f t="shared" si="5"/>
        <v/>
      </c>
      <c r="K80" s="3"/>
      <c r="L80" s="3"/>
      <c r="N80" s="3" t="str">
        <f t="shared" si="6"/>
        <v/>
      </c>
      <c r="O80" s="6" t="str">
        <f t="shared" si="7"/>
        <v/>
      </c>
      <c r="P80" s="7">
        <f ca="1">SUMIFS($N$2:$N80,$B$2:$B80,"&lt;&gt;"&amp;B80)+SUM($Q$2:$Q80)</f>
        <v>90.195000000000007</v>
      </c>
      <c r="R80" t="b">
        <f>AND(ISNUMBER(FIND($E80,Tables!$I$2)), ISNUMBER(FIND($D80,Tables!$J$2)), $E80&lt;&gt;"")</f>
        <v>0</v>
      </c>
    </row>
    <row r="81" spans="1:18" x14ac:dyDescent="0.3">
      <c r="A81">
        <f t="shared" si="8"/>
        <v>71</v>
      </c>
      <c r="B81" s="4"/>
      <c r="I81" s="8"/>
      <c r="J81" s="5" t="str">
        <f t="shared" si="5"/>
        <v/>
      </c>
      <c r="K81" s="3"/>
      <c r="L81" s="3"/>
      <c r="N81" s="3" t="str">
        <f t="shared" si="6"/>
        <v/>
      </c>
      <c r="O81" s="6" t="str">
        <f t="shared" si="7"/>
        <v/>
      </c>
      <c r="P81" s="7">
        <f ca="1">SUMIFS($N$2:$N81,$B$2:$B81,"&lt;&gt;"&amp;B81)+SUM($Q$2:$Q81)</f>
        <v>90.195000000000007</v>
      </c>
      <c r="R81" t="b">
        <f>AND(ISNUMBER(FIND($E81,Tables!$I$2)), ISNUMBER(FIND($D81,Tables!$J$2)), $E81&lt;&gt;"")</f>
        <v>0</v>
      </c>
    </row>
    <row r="82" spans="1:18" x14ac:dyDescent="0.3">
      <c r="A82">
        <f t="shared" si="8"/>
        <v>72</v>
      </c>
      <c r="B82" s="4"/>
      <c r="I82" s="8"/>
      <c r="J82" s="5" t="str">
        <f t="shared" si="5"/>
        <v/>
      </c>
      <c r="K82" s="3"/>
      <c r="L82" s="3"/>
      <c r="N82" s="3" t="str">
        <f t="shared" si="6"/>
        <v/>
      </c>
      <c r="O82" s="6" t="str">
        <f t="shared" si="7"/>
        <v/>
      </c>
      <c r="P82" s="7">
        <f ca="1">SUMIFS($N$2:$N82,$B$2:$B82,"&lt;&gt;"&amp;B82)+SUM($Q$2:$Q82)</f>
        <v>90.195000000000007</v>
      </c>
      <c r="R82" t="b">
        <f>AND(ISNUMBER(FIND($E82,Tables!$I$2)), ISNUMBER(FIND($D82,Tables!$J$2)), $E82&lt;&gt;"")</f>
        <v>0</v>
      </c>
    </row>
    <row r="83" spans="1:18" x14ac:dyDescent="0.3">
      <c r="A83">
        <f t="shared" si="8"/>
        <v>73</v>
      </c>
      <c r="B83" s="4"/>
      <c r="I83" s="8"/>
      <c r="J83" s="5" t="str">
        <f t="shared" si="5"/>
        <v/>
      </c>
      <c r="K83" s="3"/>
      <c r="L83" s="3"/>
      <c r="N83" s="3" t="str">
        <f t="shared" si="6"/>
        <v/>
      </c>
      <c r="O83" s="6" t="str">
        <f t="shared" si="7"/>
        <v/>
      </c>
      <c r="P83" s="7">
        <f ca="1">SUMIFS($N$2:$N83,$B$2:$B83,"&lt;&gt;"&amp;B83)+SUM($Q$2:$Q83)</f>
        <v>90.195000000000007</v>
      </c>
      <c r="R83" t="b">
        <f>AND(ISNUMBER(FIND($E83,Tables!$I$2)), ISNUMBER(FIND($D83,Tables!$J$2)), $E83&lt;&gt;"")</f>
        <v>0</v>
      </c>
    </row>
    <row r="84" spans="1:18" x14ac:dyDescent="0.3">
      <c r="A84">
        <f t="shared" si="8"/>
        <v>74</v>
      </c>
      <c r="B84" s="4"/>
      <c r="I84" s="8"/>
      <c r="J84" s="5" t="str">
        <f t="shared" si="5"/>
        <v/>
      </c>
      <c r="K84" s="3"/>
      <c r="L84" s="3"/>
      <c r="N84" s="3" t="str">
        <f t="shared" si="6"/>
        <v/>
      </c>
      <c r="O84" s="6" t="str">
        <f t="shared" si="7"/>
        <v/>
      </c>
      <c r="P84" s="7">
        <f ca="1">SUMIFS($N$2:$N84,$B$2:$B84,"&lt;&gt;"&amp;B84)+SUM($Q$2:$Q84)</f>
        <v>90.195000000000007</v>
      </c>
      <c r="R84" t="b">
        <f>AND(ISNUMBER(FIND($E84,Tables!$I$2)), ISNUMBER(FIND($D84,Tables!$J$2)), $E84&lt;&gt;"")</f>
        <v>0</v>
      </c>
    </row>
    <row r="85" spans="1:18" x14ac:dyDescent="0.3">
      <c r="A85">
        <f t="shared" si="8"/>
        <v>75</v>
      </c>
      <c r="B85" s="4"/>
      <c r="I85" s="8"/>
      <c r="J85" s="5" t="str">
        <f t="shared" si="5"/>
        <v/>
      </c>
      <c r="K85" s="3"/>
      <c r="L85" s="3"/>
      <c r="N85" s="3" t="str">
        <f t="shared" si="6"/>
        <v/>
      </c>
      <c r="O85" s="6" t="str">
        <f t="shared" si="7"/>
        <v/>
      </c>
      <c r="P85" s="7">
        <f ca="1">SUMIFS($N$2:$N85,$B$2:$B85,"&lt;&gt;"&amp;B85)+SUM($Q$2:$Q85)</f>
        <v>90.195000000000007</v>
      </c>
      <c r="R85" t="b">
        <f>AND(ISNUMBER(FIND($E85,Tables!$I$2)), ISNUMBER(FIND($D85,Tables!$J$2)), $E85&lt;&gt;"")</f>
        <v>0</v>
      </c>
    </row>
    <row r="86" spans="1:18" x14ac:dyDescent="0.3">
      <c r="A86">
        <f t="shared" si="8"/>
        <v>76</v>
      </c>
      <c r="B86" s="4"/>
      <c r="I86" s="8"/>
      <c r="J86" s="5" t="str">
        <f t="shared" si="5"/>
        <v/>
      </c>
      <c r="K86" s="3"/>
      <c r="L86" s="3"/>
      <c r="N86" s="3" t="str">
        <f t="shared" si="6"/>
        <v/>
      </c>
      <c r="O86" s="6" t="str">
        <f t="shared" si="7"/>
        <v/>
      </c>
      <c r="P86" s="7">
        <f ca="1">SUMIFS($N$2:$N86,$B$2:$B86,"&lt;&gt;"&amp;B86)+SUM($Q$2:$Q86)</f>
        <v>90.195000000000007</v>
      </c>
      <c r="R86" t="b">
        <f>AND(ISNUMBER(FIND($E86,Tables!$I$2)), ISNUMBER(FIND($D86,Tables!$J$2)), $E86&lt;&gt;"")</f>
        <v>0</v>
      </c>
    </row>
    <row r="87" spans="1:18" x14ac:dyDescent="0.3">
      <c r="A87">
        <f t="shared" si="8"/>
        <v>77</v>
      </c>
      <c r="B87" s="4"/>
      <c r="I87" s="8"/>
      <c r="J87" s="5" t="str">
        <f t="shared" si="5"/>
        <v/>
      </c>
      <c r="K87" s="3"/>
      <c r="L87" s="3"/>
      <c r="N87" s="3" t="str">
        <f t="shared" si="6"/>
        <v/>
      </c>
      <c r="O87" s="6" t="str">
        <f t="shared" si="7"/>
        <v/>
      </c>
      <c r="P87" s="7">
        <f ca="1">SUMIFS($N$2:$N87,$B$2:$B87,"&lt;&gt;"&amp;B87)+SUM($Q$2:$Q87)</f>
        <v>90.195000000000007</v>
      </c>
      <c r="R87" t="b">
        <f>AND(ISNUMBER(FIND($E87,Tables!$I$2)), ISNUMBER(FIND($D87,Tables!$J$2)), $E87&lt;&gt;"")</f>
        <v>0</v>
      </c>
    </row>
    <row r="88" spans="1:18" x14ac:dyDescent="0.3">
      <c r="A88">
        <f t="shared" si="8"/>
        <v>78</v>
      </c>
      <c r="B88" s="4"/>
      <c r="I88" s="8"/>
      <c r="J88" s="5" t="str">
        <f t="shared" si="5"/>
        <v/>
      </c>
      <c r="K88" s="3"/>
      <c r="L88" s="3"/>
      <c r="N88" s="3" t="str">
        <f t="shared" si="6"/>
        <v/>
      </c>
      <c r="O88" s="6" t="str">
        <f t="shared" si="7"/>
        <v/>
      </c>
      <c r="P88" s="7">
        <f ca="1">SUMIFS($N$2:$N88,$B$2:$B88,"&lt;&gt;"&amp;B88)+SUM($Q$2:$Q88)</f>
        <v>90.195000000000007</v>
      </c>
      <c r="R88" t="b">
        <f>AND(ISNUMBER(FIND($E88,Tables!$I$2)), ISNUMBER(FIND($D88,Tables!$J$2)), $E88&lt;&gt;"")</f>
        <v>0</v>
      </c>
    </row>
    <row r="89" spans="1:18" x14ac:dyDescent="0.3">
      <c r="A89">
        <f t="shared" si="8"/>
        <v>79</v>
      </c>
      <c r="B89" s="4"/>
      <c r="I89" s="8"/>
      <c r="J89" s="5" t="str">
        <f t="shared" si="5"/>
        <v/>
      </c>
      <c r="K89" s="3"/>
      <c r="L89" s="3"/>
      <c r="N89" s="3" t="str">
        <f t="shared" si="6"/>
        <v/>
      </c>
      <c r="O89" s="6" t="str">
        <f t="shared" si="7"/>
        <v/>
      </c>
      <c r="P89" s="7">
        <f ca="1">SUMIFS($N$2:$N89,$B$2:$B89,"&lt;&gt;"&amp;B89)+SUM($Q$2:$Q89)</f>
        <v>90.195000000000007</v>
      </c>
      <c r="R89" t="b">
        <f>AND(ISNUMBER(FIND($E89,Tables!$I$2)), ISNUMBER(FIND($D89,Tables!$J$2)), $E89&lt;&gt;"")</f>
        <v>0</v>
      </c>
    </row>
    <row r="90" spans="1:18" x14ac:dyDescent="0.3">
      <c r="A90">
        <f t="shared" si="8"/>
        <v>80</v>
      </c>
      <c r="B90" s="4"/>
      <c r="I90" s="8"/>
      <c r="J90" s="5" t="str">
        <f t="shared" si="5"/>
        <v/>
      </c>
      <c r="K90" s="3"/>
      <c r="L90" s="3"/>
      <c r="N90" s="3" t="str">
        <f t="shared" si="6"/>
        <v/>
      </c>
      <c r="O90" s="6" t="str">
        <f t="shared" si="7"/>
        <v/>
      </c>
      <c r="P90" s="7">
        <f ca="1">SUMIFS($N$2:$N90,$B$2:$B90,"&lt;&gt;"&amp;B90)+SUM($Q$2:$Q90)</f>
        <v>90.195000000000007</v>
      </c>
      <c r="R90" t="b">
        <f>AND(ISNUMBER(FIND($E90,Tables!$I$2)), ISNUMBER(FIND($D90,Tables!$J$2)), $E90&lt;&gt;"")</f>
        <v>0</v>
      </c>
    </row>
    <row r="91" spans="1:18" x14ac:dyDescent="0.3">
      <c r="A91">
        <f t="shared" si="8"/>
        <v>81</v>
      </c>
      <c r="B91" s="4"/>
      <c r="I91" s="8"/>
      <c r="J91" s="5" t="str">
        <f t="shared" si="5"/>
        <v/>
      </c>
      <c r="K91" s="3"/>
      <c r="L91" s="3"/>
      <c r="N91" s="3" t="str">
        <f t="shared" si="6"/>
        <v/>
      </c>
      <c r="O91" s="6" t="str">
        <f t="shared" si="7"/>
        <v/>
      </c>
      <c r="P91" s="7">
        <f ca="1">SUMIFS($N$2:$N91,$B$2:$B91,"&lt;&gt;"&amp;B91)+SUM($Q$2:$Q91)</f>
        <v>90.195000000000007</v>
      </c>
      <c r="R91" t="b">
        <f>AND(ISNUMBER(FIND($E91,Tables!$I$2)), ISNUMBER(FIND($D91,Tables!$J$2)), $E91&lt;&gt;"")</f>
        <v>0</v>
      </c>
    </row>
    <row r="92" spans="1:18" x14ac:dyDescent="0.3">
      <c r="A92">
        <f t="shared" si="8"/>
        <v>82</v>
      </c>
      <c r="B92" s="4"/>
      <c r="I92" s="8"/>
      <c r="J92" s="5" t="str">
        <f t="shared" si="5"/>
        <v/>
      </c>
      <c r="K92" s="3"/>
      <c r="L92" s="3"/>
      <c r="N92" s="3" t="str">
        <f t="shared" si="6"/>
        <v/>
      </c>
      <c r="O92" s="6" t="str">
        <f t="shared" si="7"/>
        <v/>
      </c>
      <c r="P92" s="7">
        <f ca="1">SUMIFS($N$2:$N92,$B$2:$B92,"&lt;&gt;"&amp;B92)+SUM($Q$2:$Q92)</f>
        <v>90.195000000000007</v>
      </c>
      <c r="R92" t="b">
        <f>AND(ISNUMBER(FIND($E92,Tables!$I$2)), ISNUMBER(FIND($D92,Tables!$J$2)), $E92&lt;&gt;"")</f>
        <v>0</v>
      </c>
    </row>
    <row r="93" spans="1:18" x14ac:dyDescent="0.3">
      <c r="A93">
        <f t="shared" si="8"/>
        <v>83</v>
      </c>
      <c r="B93" s="4"/>
      <c r="I93" s="8"/>
      <c r="J93" s="5" t="str">
        <f t="shared" si="5"/>
        <v/>
      </c>
      <c r="K93" s="3"/>
      <c r="L93" s="3"/>
      <c r="N93" s="3" t="str">
        <f t="shared" si="6"/>
        <v/>
      </c>
      <c r="O93" s="6" t="str">
        <f t="shared" si="7"/>
        <v/>
      </c>
      <c r="P93" s="7">
        <f ca="1">SUMIFS($N$2:$N93,$B$2:$B93,"&lt;&gt;"&amp;B93)+SUM($Q$2:$Q93)</f>
        <v>90.195000000000007</v>
      </c>
      <c r="R93" t="b">
        <f>AND(ISNUMBER(FIND($E93,Tables!$I$2)), ISNUMBER(FIND($D93,Tables!$J$2)), $E93&lt;&gt;"")</f>
        <v>0</v>
      </c>
    </row>
    <row r="94" spans="1:18" x14ac:dyDescent="0.3">
      <c r="A94">
        <f t="shared" si="8"/>
        <v>84</v>
      </c>
      <c r="B94" s="4"/>
      <c r="I94" s="8"/>
      <c r="J94" s="5" t="str">
        <f t="shared" si="5"/>
        <v/>
      </c>
      <c r="K94" s="3"/>
      <c r="L94" s="3"/>
      <c r="N94" s="3" t="str">
        <f t="shared" si="6"/>
        <v/>
      </c>
      <c r="O94" s="6" t="str">
        <f t="shared" si="7"/>
        <v/>
      </c>
      <c r="P94" s="7">
        <f ca="1">SUMIFS($N$2:$N94,$B$2:$B94,"&lt;&gt;"&amp;B94)+SUM($Q$2:$Q94)</f>
        <v>90.195000000000007</v>
      </c>
      <c r="R94" t="b">
        <f>AND(ISNUMBER(FIND($E94,Tables!$I$2)), ISNUMBER(FIND($D94,Tables!$J$2)), $E94&lt;&gt;"")</f>
        <v>0</v>
      </c>
    </row>
    <row r="95" spans="1:18" x14ac:dyDescent="0.3">
      <c r="A95">
        <f t="shared" si="8"/>
        <v>85</v>
      </c>
      <c r="B95" s="4"/>
      <c r="I95" s="8"/>
      <c r="J95" s="5" t="str">
        <f t="shared" si="5"/>
        <v/>
      </c>
      <c r="K95" s="3"/>
      <c r="L95" s="3"/>
      <c r="N95" s="3" t="str">
        <f t="shared" si="6"/>
        <v/>
      </c>
      <c r="O95" s="6" t="str">
        <f t="shared" si="7"/>
        <v/>
      </c>
      <c r="P95" s="7">
        <f ca="1">SUMIFS($N$2:$N95,$B$2:$B95,"&lt;&gt;"&amp;B95)+SUM($Q$2:$Q95)</f>
        <v>90.195000000000007</v>
      </c>
      <c r="R95" t="b">
        <f>AND(ISNUMBER(FIND($E95,Tables!$I$2)), ISNUMBER(FIND($D95,Tables!$J$2)), $E95&lt;&gt;"")</f>
        <v>0</v>
      </c>
    </row>
    <row r="96" spans="1:18" x14ac:dyDescent="0.3">
      <c r="A96">
        <f t="shared" si="8"/>
        <v>86</v>
      </c>
      <c r="B96" s="4"/>
      <c r="I96" s="8"/>
      <c r="J96" s="5" t="str">
        <f t="shared" si="5"/>
        <v/>
      </c>
      <c r="K96" s="3"/>
      <c r="L96" s="3"/>
      <c r="N96" s="3" t="str">
        <f t="shared" si="6"/>
        <v/>
      </c>
      <c r="O96" s="6" t="str">
        <f t="shared" si="7"/>
        <v/>
      </c>
      <c r="P96" s="7">
        <f ca="1">SUMIFS($N$2:$N96,$B$2:$B96,"&lt;&gt;"&amp;B96)+SUM($Q$2:$Q96)</f>
        <v>90.195000000000007</v>
      </c>
      <c r="R96" t="b">
        <f>AND(ISNUMBER(FIND($E96,Tables!$I$2)), ISNUMBER(FIND($D96,Tables!$J$2)), $E96&lt;&gt;"")</f>
        <v>0</v>
      </c>
    </row>
    <row r="97" spans="1:18" x14ac:dyDescent="0.3">
      <c r="A97">
        <f t="shared" si="8"/>
        <v>87</v>
      </c>
      <c r="B97" s="4"/>
      <c r="I97" s="8"/>
      <c r="J97" s="5" t="str">
        <f t="shared" si="5"/>
        <v/>
      </c>
      <c r="K97" s="3"/>
      <c r="L97" s="3"/>
      <c r="N97" s="3" t="str">
        <f t="shared" si="6"/>
        <v/>
      </c>
      <c r="O97" s="6" t="str">
        <f t="shared" si="7"/>
        <v/>
      </c>
      <c r="P97" s="7">
        <f ca="1">SUMIFS($N$2:$N97,$B$2:$B97,"&lt;&gt;"&amp;B97)+SUM($Q$2:$Q97)</f>
        <v>90.195000000000007</v>
      </c>
      <c r="R97" t="b">
        <f>AND(ISNUMBER(FIND($E97,Tables!$I$2)), ISNUMBER(FIND($D97,Tables!$J$2)), $E97&lt;&gt;"")</f>
        <v>0</v>
      </c>
    </row>
    <row r="98" spans="1:18" x14ac:dyDescent="0.3">
      <c r="A98">
        <f t="shared" si="8"/>
        <v>88</v>
      </c>
      <c r="B98" s="4"/>
      <c r="I98" s="8"/>
      <c r="J98" s="5" t="str">
        <f t="shared" si="5"/>
        <v/>
      </c>
      <c r="K98" s="3"/>
      <c r="L98" s="3"/>
      <c r="N98" s="3" t="str">
        <f t="shared" si="6"/>
        <v/>
      </c>
      <c r="O98" s="6" t="str">
        <f t="shared" si="7"/>
        <v/>
      </c>
      <c r="P98" s="7">
        <f ca="1">SUMIFS($N$2:$N98,$B$2:$B98,"&lt;&gt;"&amp;B98)+SUM($Q$2:$Q98)</f>
        <v>90.195000000000007</v>
      </c>
      <c r="R98" t="b">
        <f>AND(ISNUMBER(FIND($E98,Tables!$I$2)), ISNUMBER(FIND($D98,Tables!$J$2)), $E98&lt;&gt;"")</f>
        <v>0</v>
      </c>
    </row>
    <row r="99" spans="1:18" x14ac:dyDescent="0.3">
      <c r="A99">
        <f t="shared" si="8"/>
        <v>89</v>
      </c>
      <c r="B99" s="4"/>
      <c r="I99" s="8"/>
      <c r="J99" s="5" t="str">
        <f t="shared" si="5"/>
        <v/>
      </c>
      <c r="K99" s="3"/>
      <c r="L99" s="3"/>
      <c r="N99" s="3" t="str">
        <f t="shared" si="6"/>
        <v/>
      </c>
      <c r="O99" s="6" t="str">
        <f t="shared" si="7"/>
        <v/>
      </c>
      <c r="P99" s="7">
        <f ca="1">SUMIFS($N$2:$N99,$B$2:$B99,"&lt;&gt;"&amp;B99)+SUM($Q$2:$Q99)</f>
        <v>90.195000000000007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8"/>
        <v>90</v>
      </c>
      <c r="B100" s="4"/>
      <c r="I100" s="8"/>
      <c r="J100" s="5" t="str">
        <f t="shared" si="5"/>
        <v/>
      </c>
      <c r="K100" s="3"/>
      <c r="L100" s="3"/>
      <c r="N100" s="3" t="str">
        <f t="shared" si="6"/>
        <v/>
      </c>
      <c r="O100" s="6" t="str">
        <f t="shared" si="7"/>
        <v/>
      </c>
      <c r="P100" s="7">
        <f ca="1">SUMIFS($N$2:$N100,$B$2:$B100,"&lt;&gt;"&amp;B100)+SUM($Q$2:$Q100)</f>
        <v>90.195000000000007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8"/>
        <v>91</v>
      </c>
      <c r="B101" s="4"/>
      <c r="I101" s="8"/>
      <c r="J101" s="5" t="str">
        <f t="shared" si="5"/>
        <v/>
      </c>
      <c r="K101" s="3"/>
      <c r="L101" s="3"/>
      <c r="N101" s="3" t="str">
        <f t="shared" si="6"/>
        <v/>
      </c>
      <c r="O101" s="6" t="str">
        <f t="shared" si="7"/>
        <v/>
      </c>
      <c r="P101" s="7">
        <f ca="1">SUMIFS($N$2:$N101,$B$2:$B101,"&lt;&gt;"&amp;B101)+SUM($Q$2:$Q101)</f>
        <v>90.195000000000007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8"/>
        <v>92</v>
      </c>
      <c r="B102" s="4"/>
      <c r="I102" s="8"/>
      <c r="J102" s="5" t="str">
        <f t="shared" si="5"/>
        <v/>
      </c>
      <c r="K102" s="3"/>
      <c r="L102" s="3"/>
      <c r="N102" s="3" t="str">
        <f t="shared" si="6"/>
        <v/>
      </c>
      <c r="O102" s="6" t="str">
        <f t="shared" si="7"/>
        <v/>
      </c>
      <c r="P102" s="7">
        <f ca="1">SUMIFS($N$2:$N102,$B$2:$B102,"&lt;&gt;"&amp;B102)+SUM($Q$2:$Q102)</f>
        <v>90.195000000000007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8"/>
        <v>93</v>
      </c>
      <c r="B103" s="4"/>
      <c r="I103" s="8"/>
      <c r="J103" s="5" t="str">
        <f t="shared" si="5"/>
        <v/>
      </c>
      <c r="K103" s="3"/>
      <c r="L103" s="3"/>
      <c r="N103" s="3" t="str">
        <f t="shared" si="6"/>
        <v/>
      </c>
      <c r="O103" s="6" t="str">
        <f t="shared" si="7"/>
        <v/>
      </c>
      <c r="P103" s="7">
        <f ca="1">SUMIFS($N$2:$N103,$B$2:$B103,"&lt;&gt;"&amp;B103)+SUM($Q$2:$Q103)</f>
        <v>90.195000000000007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8"/>
        <v>94</v>
      </c>
      <c r="B104" s="4"/>
      <c r="I104" s="8"/>
      <c r="J104" s="5" t="str">
        <f t="shared" si="5"/>
        <v/>
      </c>
      <c r="K104" s="3"/>
      <c r="L104" s="3"/>
      <c r="N104" s="3" t="str">
        <f t="shared" si="6"/>
        <v/>
      </c>
      <c r="O104" s="6" t="str">
        <f t="shared" si="7"/>
        <v/>
      </c>
      <c r="P104" s="7">
        <f ca="1">SUMIFS($N$2:$N104,$B$2:$B104,"&lt;&gt;"&amp;B104)+SUM($Q$2:$Q104)</f>
        <v>90.195000000000007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8"/>
        <v>95</v>
      </c>
      <c r="B105" s="4"/>
      <c r="I105" s="8"/>
      <c r="J105" s="5" t="str">
        <f t="shared" si="5"/>
        <v/>
      </c>
      <c r="K105" s="3"/>
      <c r="L105" s="3"/>
      <c r="N105" s="3" t="str">
        <f t="shared" si="6"/>
        <v/>
      </c>
      <c r="O105" s="6" t="str">
        <f t="shared" si="7"/>
        <v/>
      </c>
      <c r="P105" s="7">
        <f ca="1">SUMIFS($N$2:$N105,$B$2:$B105,"&lt;&gt;"&amp;B105)+SUM($Q$2:$Q105)</f>
        <v>90.195000000000007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8"/>
        <v>96</v>
      </c>
      <c r="B106" s="4"/>
      <c r="I106" s="8"/>
      <c r="J106" s="5" t="str">
        <f t="shared" si="5"/>
        <v/>
      </c>
      <c r="K106" s="3"/>
      <c r="L106" s="3"/>
      <c r="N106" s="3" t="str">
        <f t="shared" si="6"/>
        <v/>
      </c>
      <c r="O106" s="6" t="str">
        <f t="shared" si="7"/>
        <v/>
      </c>
      <c r="P106" s="7">
        <f ca="1">SUMIFS($N$2:$N106,$B$2:$B106,"&lt;&gt;"&amp;B106)+SUM($Q$2:$Q106)</f>
        <v>90.195000000000007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8"/>
        <v>97</v>
      </c>
      <c r="B107" s="4"/>
      <c r="I107" s="8"/>
      <c r="J107" s="5" t="str">
        <f t="shared" si="5"/>
        <v/>
      </c>
      <c r="K107" s="3"/>
      <c r="L107" s="3"/>
      <c r="N107" s="3" t="str">
        <f t="shared" si="6"/>
        <v/>
      </c>
      <c r="O107" s="6" t="str">
        <f t="shared" si="7"/>
        <v/>
      </c>
      <c r="P107" s="7">
        <f ca="1">SUMIFS($N$2:$N107,$B$2:$B107,"&lt;&gt;"&amp;B107)+SUM($Q$2:$Q107)</f>
        <v>90.195000000000007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8"/>
        <v>98</v>
      </c>
      <c r="B108" s="4"/>
      <c r="I108" s="8"/>
      <c r="J108" s="5" t="str">
        <f t="shared" si="5"/>
        <v/>
      </c>
      <c r="K108" s="3"/>
      <c r="L108" s="3"/>
      <c r="N108" s="3" t="str">
        <f t="shared" si="6"/>
        <v/>
      </c>
      <c r="O108" s="6" t="str">
        <f t="shared" si="7"/>
        <v/>
      </c>
      <c r="P108" s="7">
        <f ca="1">SUMIFS($N$2:$N108,$B$2:$B108,"&lt;&gt;"&amp;B108)+SUM($Q$2:$Q108)</f>
        <v>90.195000000000007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8"/>
        <v>99</v>
      </c>
      <c r="B109" s="4"/>
      <c r="I109" s="8"/>
      <c r="J109" s="5" t="str">
        <f t="shared" si="5"/>
        <v/>
      </c>
      <c r="K109" s="3"/>
      <c r="L109" s="3"/>
      <c r="N109" s="3" t="str">
        <f t="shared" si="6"/>
        <v/>
      </c>
      <c r="O109" s="6" t="str">
        <f t="shared" si="7"/>
        <v/>
      </c>
      <c r="P109" s="7">
        <f ca="1">SUMIFS($N$2:$N109,$B$2:$B109,"&lt;&gt;"&amp;B109)+SUM($Q$2:$Q109)</f>
        <v>90.195000000000007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8"/>
        <v>100</v>
      </c>
      <c r="B110" s="4"/>
      <c r="I110" s="8"/>
      <c r="J110" s="5" t="str">
        <f t="shared" si="5"/>
        <v/>
      </c>
      <c r="K110" s="3"/>
      <c r="L110" s="3"/>
      <c r="N110" s="3" t="str">
        <f t="shared" si="6"/>
        <v/>
      </c>
      <c r="O110" s="6" t="str">
        <f t="shared" si="7"/>
        <v/>
      </c>
      <c r="P110" s="7">
        <f ca="1">SUMIFS($N$2:$N110,$B$2:$B110,"&lt;&gt;"&amp;B110)+SUM($Q$2:$Q110)</f>
        <v>90.195000000000007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8"/>
        <v>101</v>
      </c>
      <c r="B111" s="4"/>
      <c r="I111" s="8"/>
      <c r="J111" s="5" t="str">
        <f t="shared" si="5"/>
        <v/>
      </c>
      <c r="K111" s="3"/>
      <c r="L111" s="3"/>
      <c r="N111" s="3" t="str">
        <f t="shared" si="6"/>
        <v/>
      </c>
      <c r="O111" s="6" t="str">
        <f t="shared" si="7"/>
        <v/>
      </c>
      <c r="P111" s="7">
        <f ca="1">SUMIFS($N$2:$N111,$B$2:$B111,"&lt;&gt;"&amp;B111)+SUM($Q$2:$Q111)</f>
        <v>90.195000000000007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8"/>
        <v>102</v>
      </c>
      <c r="B112" s="4"/>
      <c r="I112" s="8"/>
      <c r="J112" s="5" t="str">
        <f t="shared" si="5"/>
        <v/>
      </c>
      <c r="K112" s="3"/>
      <c r="L112" s="3"/>
      <c r="N112" s="3" t="str">
        <f t="shared" si="6"/>
        <v/>
      </c>
      <c r="O112" s="6" t="str">
        <f t="shared" si="7"/>
        <v/>
      </c>
      <c r="P112" s="7">
        <f ca="1">SUMIFS($N$2:$N112,$B$2:$B112,"&lt;&gt;"&amp;B112)+SUM($Q$2:$Q112)</f>
        <v>90.195000000000007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8"/>
        <v>103</v>
      </c>
      <c r="B113" s="4"/>
      <c r="I113" s="8"/>
      <c r="J113" s="5" t="str">
        <f t="shared" si="5"/>
        <v/>
      </c>
      <c r="K113" s="3"/>
      <c r="L113" s="3"/>
      <c r="N113" s="3" t="str">
        <f t="shared" si="6"/>
        <v/>
      </c>
      <c r="O113" s="6" t="str">
        <f t="shared" si="7"/>
        <v/>
      </c>
      <c r="P113" s="7">
        <f ca="1">SUMIFS($N$2:$N113,$B$2:$B113,"&lt;&gt;"&amp;B113)+SUM($Q$2:$Q113)</f>
        <v>90.195000000000007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8"/>
        <v>104</v>
      </c>
      <c r="B114" s="4"/>
      <c r="I114" s="8"/>
      <c r="J114" s="5" t="str">
        <f t="shared" si="5"/>
        <v/>
      </c>
      <c r="K114" s="3"/>
      <c r="L114" s="3"/>
      <c r="N114" s="3" t="str">
        <f t="shared" si="6"/>
        <v/>
      </c>
      <c r="O114" s="6" t="str">
        <f t="shared" si="7"/>
        <v/>
      </c>
      <c r="P114" s="7">
        <f ca="1">SUMIFS($N$2:$N114,$B$2:$B114,"&lt;&gt;"&amp;B114)+SUM($Q$2:$Q114)</f>
        <v>90.195000000000007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8"/>
        <v>105</v>
      </c>
      <c r="B115" s="4"/>
      <c r="I115" s="8"/>
      <c r="J115" s="5" t="str">
        <f t="shared" si="5"/>
        <v/>
      </c>
      <c r="K115" s="3"/>
      <c r="L115" s="3"/>
      <c r="N115" s="3" t="str">
        <f t="shared" si="6"/>
        <v/>
      </c>
      <c r="O115" s="6" t="str">
        <f t="shared" si="7"/>
        <v/>
      </c>
      <c r="P115" s="7">
        <f ca="1">SUMIFS($N$2:$N115,$B$2:$B115,"&lt;&gt;"&amp;B115)+SUM($Q$2:$Q115)</f>
        <v>90.195000000000007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8"/>
        <v>106</v>
      </c>
      <c r="B116" s="4"/>
      <c r="I116" s="8"/>
      <c r="J116" s="5" t="str">
        <f t="shared" si="5"/>
        <v/>
      </c>
      <c r="K116" s="3"/>
      <c r="L116" s="3"/>
      <c r="N116" s="3" t="str">
        <f t="shared" si="6"/>
        <v/>
      </c>
      <c r="O116" s="6" t="str">
        <f t="shared" si="7"/>
        <v/>
      </c>
      <c r="P116" s="7">
        <f ca="1">SUMIFS($N$2:$N116,$B$2:$B116,"&lt;&gt;"&amp;B116)+SUM($Q$2:$Q116)</f>
        <v>90.195000000000007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8"/>
        <v>107</v>
      </c>
      <c r="B117" s="4"/>
      <c r="I117" s="8"/>
      <c r="J117" s="5" t="str">
        <f t="shared" si="5"/>
        <v/>
      </c>
      <c r="K117" s="3"/>
      <c r="L117" s="3"/>
      <c r="N117" s="3" t="str">
        <f t="shared" si="6"/>
        <v/>
      </c>
      <c r="O117" s="6" t="str">
        <f t="shared" si="7"/>
        <v/>
      </c>
      <c r="P117" s="7">
        <f ca="1">SUMIFS($N$2:$N117,$B$2:$B117,"&lt;&gt;"&amp;B117)+SUM($Q$2:$Q117)</f>
        <v>90.195000000000007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8"/>
        <v>108</v>
      </c>
      <c r="B118" s="4"/>
      <c r="I118" s="8"/>
      <c r="J118" s="5" t="str">
        <f t="shared" si="5"/>
        <v/>
      </c>
      <c r="K118" s="3"/>
      <c r="L118" s="3"/>
      <c r="N118" s="3" t="str">
        <f t="shared" si="6"/>
        <v/>
      </c>
      <c r="O118" s="6" t="str">
        <f t="shared" si="7"/>
        <v/>
      </c>
      <c r="P118" s="7">
        <f ca="1">SUMIFS($N$2:$N118,$B$2:$B118,"&lt;&gt;"&amp;B118)+SUM($Q$2:$Q118)</f>
        <v>90.195000000000007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8"/>
        <v>109</v>
      </c>
      <c r="B119" s="4"/>
      <c r="I119" s="8"/>
      <c r="J119" s="5" t="str">
        <f t="shared" si="5"/>
        <v/>
      </c>
      <c r="K119" s="3"/>
      <c r="L119" s="3"/>
      <c r="N119" s="3" t="str">
        <f t="shared" si="6"/>
        <v/>
      </c>
      <c r="O119" s="6" t="str">
        <f t="shared" si="7"/>
        <v/>
      </c>
      <c r="P119" s="7">
        <f ca="1">SUMIFS($N$2:$N119,$B$2:$B119,"&lt;&gt;"&amp;B119)+SUM($Q$2:$Q119)</f>
        <v>90.195000000000007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8"/>
        <v>110</v>
      </c>
      <c r="B120" s="4"/>
      <c r="I120" s="8"/>
      <c r="J120" s="5" t="str">
        <f t="shared" si="5"/>
        <v/>
      </c>
      <c r="K120" s="3"/>
      <c r="L120" s="3"/>
      <c r="N120" s="3" t="str">
        <f t="shared" si="6"/>
        <v/>
      </c>
      <c r="O120" s="6" t="str">
        <f t="shared" si="7"/>
        <v/>
      </c>
      <c r="P120" s="7">
        <f ca="1">SUMIFS($N$2:$N120,$B$2:$B120,"&lt;&gt;"&amp;B120)+SUM($Q$2:$Q120)</f>
        <v>90.195000000000007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8"/>
        <v>111</v>
      </c>
      <c r="B121" s="4"/>
      <c r="I121" s="8"/>
      <c r="J121" s="5" t="str">
        <f t="shared" si="5"/>
        <v/>
      </c>
      <c r="K121" s="3"/>
      <c r="L121" s="3"/>
      <c r="N121" s="3" t="str">
        <f t="shared" si="6"/>
        <v/>
      </c>
      <c r="O121" s="6" t="str">
        <f t="shared" si="7"/>
        <v/>
      </c>
      <c r="P121" s="7">
        <f ca="1">SUMIFS($N$2:$N121,$B$2:$B121,"&lt;&gt;"&amp;B121)+SUM($Q$2:$Q121)</f>
        <v>90.195000000000007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8"/>
        <v>112</v>
      </c>
      <c r="B122" s="4"/>
      <c r="I122" s="8"/>
      <c r="J122" s="5" t="str">
        <f t="shared" si="5"/>
        <v/>
      </c>
      <c r="K122" s="3"/>
      <c r="L122" s="3"/>
      <c r="N122" s="3" t="str">
        <f t="shared" si="6"/>
        <v/>
      </c>
      <c r="O122" s="6" t="str">
        <f t="shared" si="7"/>
        <v/>
      </c>
      <c r="P122" s="7">
        <f ca="1">SUMIFS($N$2:$N122,$B$2:$B122,"&lt;&gt;"&amp;B122)+SUM($Q$2:$Q122)</f>
        <v>90.195000000000007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8"/>
        <v>113</v>
      </c>
      <c r="B123" s="4"/>
      <c r="I123" s="8"/>
      <c r="J123" s="5" t="str">
        <f t="shared" si="5"/>
        <v/>
      </c>
      <c r="K123" s="3"/>
      <c r="L123" s="3"/>
      <c r="N123" s="3" t="str">
        <f t="shared" si="6"/>
        <v/>
      </c>
      <c r="O123" s="6" t="str">
        <f t="shared" si="7"/>
        <v/>
      </c>
      <c r="P123" s="7">
        <f ca="1">SUMIFS($N$2:$N123,$B$2:$B123,"&lt;&gt;"&amp;B123)+SUM($Q$2:$Q123)</f>
        <v>90.195000000000007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8"/>
        <v>114</v>
      </c>
      <c r="B124" s="4"/>
      <c r="I124" s="8"/>
      <c r="J124" s="5" t="str">
        <f t="shared" si="5"/>
        <v/>
      </c>
      <c r="K124" s="3"/>
      <c r="L124" s="3"/>
      <c r="N124" s="3" t="str">
        <f t="shared" si="6"/>
        <v/>
      </c>
      <c r="O124" s="6" t="str">
        <f t="shared" si="7"/>
        <v/>
      </c>
      <c r="P124" s="7">
        <f ca="1">SUMIFS($N$2:$N124,$B$2:$B124,"&lt;&gt;"&amp;B124)+SUM($Q$2:$Q124)</f>
        <v>90.195000000000007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8"/>
        <v>115</v>
      </c>
      <c r="B125" s="4"/>
      <c r="I125" s="8"/>
      <c r="J125" s="5" t="str">
        <f t="shared" si="5"/>
        <v/>
      </c>
      <c r="K125" s="3"/>
      <c r="L125" s="3"/>
      <c r="N125" s="3" t="str">
        <f t="shared" si="6"/>
        <v/>
      </c>
      <c r="O125" s="6" t="str">
        <f t="shared" si="7"/>
        <v/>
      </c>
      <c r="P125" s="7">
        <f ca="1">SUMIFS($N$2:$N125,$B$2:$B125,"&lt;&gt;"&amp;B125)+SUM($Q$2:$Q125)</f>
        <v>90.195000000000007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8"/>
        <v>116</v>
      </c>
      <c r="B126" s="4"/>
      <c r="I126" s="8"/>
      <c r="J126" s="5" t="str">
        <f t="shared" si="5"/>
        <v/>
      </c>
      <c r="K126" s="3"/>
      <c r="L126" s="3"/>
      <c r="N126" s="3" t="str">
        <f t="shared" si="6"/>
        <v/>
      </c>
      <c r="O126" s="6" t="str">
        <f t="shared" si="7"/>
        <v/>
      </c>
      <c r="P126" s="7">
        <f ca="1">SUMIFS($N$2:$N126,$B$2:$B126,"&lt;&gt;"&amp;B126)+SUM($Q$2:$Q126)</f>
        <v>90.195000000000007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8"/>
        <v>117</v>
      </c>
      <c r="B127" s="4"/>
      <c r="I127" s="8"/>
      <c r="J127" s="5" t="str">
        <f t="shared" si="5"/>
        <v/>
      </c>
      <c r="K127" s="3"/>
      <c r="L127" s="3"/>
      <c r="N127" s="3" t="str">
        <f t="shared" si="6"/>
        <v/>
      </c>
      <c r="O127" s="6" t="str">
        <f t="shared" si="7"/>
        <v/>
      </c>
      <c r="P127" s="7">
        <f ca="1">SUMIFS($N$2:$N127,$B$2:$B127,"&lt;&gt;"&amp;B127)+SUM($Q$2:$Q127)</f>
        <v>90.195000000000007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8"/>
        <v>118</v>
      </c>
      <c r="B128" s="4"/>
      <c r="I128" s="8"/>
      <c r="J128" s="5" t="str">
        <f t="shared" si="5"/>
        <v/>
      </c>
      <c r="K128" s="3"/>
      <c r="L128" s="3"/>
      <c r="N128" s="3" t="str">
        <f t="shared" si="6"/>
        <v/>
      </c>
      <c r="O128" s="6" t="str">
        <f t="shared" si="7"/>
        <v/>
      </c>
      <c r="P128" s="7">
        <f ca="1">SUMIFS($N$2:$N128,$B$2:$B128,"&lt;&gt;"&amp;B128)+SUM($Q$2:$Q128)</f>
        <v>90.195000000000007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8"/>
        <v>119</v>
      </c>
      <c r="B129" s="4"/>
      <c r="I129" s="8"/>
      <c r="J129" s="5" t="str">
        <f t="shared" si="5"/>
        <v/>
      </c>
      <c r="K129" s="3"/>
      <c r="L129" s="3"/>
      <c r="N129" s="3" t="str">
        <f t="shared" si="6"/>
        <v/>
      </c>
      <c r="O129" s="6" t="str">
        <f t="shared" si="7"/>
        <v/>
      </c>
      <c r="P129" s="7">
        <f ca="1">SUMIFS($N$2:$N129,$B$2:$B129,"&lt;&gt;"&amp;B129)+SUM($Q$2:$Q129)</f>
        <v>90.195000000000007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8"/>
        <v>120</v>
      </c>
      <c r="B130" s="4"/>
      <c r="I130" s="8"/>
      <c r="J130" s="5" t="str">
        <f t="shared" ref="J130:J193" si="9">IF(I130="", "", IF(I130&gt;0, I130/100 +1, -100/I130 +1))</f>
        <v/>
      </c>
      <c r="K130" s="3"/>
      <c r="L130" s="3"/>
      <c r="N130" s="3" t="str">
        <f t="shared" ref="N130:N193" si="10">IF(L130 = "", "", IF(M130="", "", IF(M130="Draw", 0, IF(M130="win", L130, -1*K130))))</f>
        <v/>
      </c>
      <c r="O130" s="6" t="str">
        <f t="shared" ref="O130:O193" si="11">IFERROR(K130/VLOOKUP(_xlfn.MINIFS(A:A,B:B,B130,C:C,C130),A:P,16),"")</f>
        <v/>
      </c>
      <c r="P130" s="7">
        <f ca="1">SUMIFS($N$2:$N130,$B$2:$B130,"&lt;&gt;"&amp;B130)+SUM($Q$2:$Q130)</f>
        <v>90.195000000000007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ref="A131:A194" si="12">IF(AND(B131="", D131&lt;&gt;""), A130, A130+1)</f>
        <v>121</v>
      </c>
      <c r="B131" s="4"/>
      <c r="I131" s="8"/>
      <c r="J131" s="5" t="str">
        <f t="shared" si="9"/>
        <v/>
      </c>
      <c r="K131" s="3"/>
      <c r="L131" s="3"/>
      <c r="N131" s="3" t="str">
        <f t="shared" si="10"/>
        <v/>
      </c>
      <c r="O131" s="6" t="str">
        <f t="shared" si="11"/>
        <v/>
      </c>
      <c r="P131" s="7">
        <f ca="1">SUMIFS($N$2:$N131,$B$2:$B131,"&lt;&gt;"&amp;B131)+SUM($Q$2:$Q131)</f>
        <v>90.195000000000007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2"/>
        <v>122</v>
      </c>
      <c r="B132" s="4"/>
      <c r="I132" s="8"/>
      <c r="J132" s="5" t="str">
        <f t="shared" si="9"/>
        <v/>
      </c>
      <c r="K132" s="3"/>
      <c r="L132" s="3"/>
      <c r="N132" s="3" t="str">
        <f t="shared" si="10"/>
        <v/>
      </c>
      <c r="O132" s="6" t="str">
        <f t="shared" si="11"/>
        <v/>
      </c>
      <c r="P132" s="7">
        <f ca="1">SUMIFS($N$2:$N132,$B$2:$B132,"&lt;&gt;"&amp;B132)+SUM($Q$2:$Q132)</f>
        <v>90.195000000000007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2"/>
        <v>123</v>
      </c>
      <c r="B133" s="4"/>
      <c r="I133" s="8"/>
      <c r="J133" s="5" t="str">
        <f t="shared" si="9"/>
        <v/>
      </c>
      <c r="K133" s="3"/>
      <c r="L133" s="3"/>
      <c r="N133" s="3" t="str">
        <f t="shared" si="10"/>
        <v/>
      </c>
      <c r="O133" s="6" t="str">
        <f t="shared" si="11"/>
        <v/>
      </c>
      <c r="P133" s="7">
        <f ca="1">SUMIFS($N$2:$N133,$B$2:$B133,"&lt;&gt;"&amp;B133)+SUM($Q$2:$Q133)</f>
        <v>90.195000000000007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2"/>
        <v>124</v>
      </c>
      <c r="B134" s="4"/>
      <c r="I134" s="8"/>
      <c r="J134" s="5" t="str">
        <f t="shared" si="9"/>
        <v/>
      </c>
      <c r="K134" s="3"/>
      <c r="L134" s="3"/>
      <c r="N134" s="3" t="str">
        <f t="shared" si="10"/>
        <v/>
      </c>
      <c r="O134" s="6" t="str">
        <f t="shared" si="11"/>
        <v/>
      </c>
      <c r="P134" s="7">
        <f ca="1">SUMIFS($N$2:$N134,$B$2:$B134,"&lt;&gt;"&amp;B134)+SUM($Q$2:$Q134)</f>
        <v>90.195000000000007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2"/>
        <v>125</v>
      </c>
      <c r="B135" s="4"/>
      <c r="I135" s="8"/>
      <c r="J135" s="5" t="str">
        <f t="shared" si="9"/>
        <v/>
      </c>
      <c r="K135" s="3"/>
      <c r="L135" s="3"/>
      <c r="N135" s="3" t="str">
        <f t="shared" si="10"/>
        <v/>
      </c>
      <c r="O135" s="6" t="str">
        <f t="shared" si="11"/>
        <v/>
      </c>
      <c r="P135" s="7">
        <f ca="1">SUMIFS($N$2:$N135,$B$2:$B135,"&lt;&gt;"&amp;B135)+SUM($Q$2:$Q135)</f>
        <v>90.195000000000007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2"/>
        <v>126</v>
      </c>
      <c r="B136" s="4"/>
      <c r="I136" s="8"/>
      <c r="J136" s="5" t="str">
        <f t="shared" si="9"/>
        <v/>
      </c>
      <c r="K136" s="3"/>
      <c r="L136" s="3"/>
      <c r="N136" s="3" t="str">
        <f t="shared" si="10"/>
        <v/>
      </c>
      <c r="O136" s="6" t="str">
        <f t="shared" si="11"/>
        <v/>
      </c>
      <c r="P136" s="7">
        <f ca="1">SUMIFS($N$2:$N136,$B$2:$B136,"&lt;&gt;"&amp;B136)+SUM($Q$2:$Q136)</f>
        <v>90.195000000000007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2"/>
        <v>127</v>
      </c>
      <c r="B137" s="4"/>
      <c r="I137" s="8"/>
      <c r="J137" s="5" t="str">
        <f t="shared" si="9"/>
        <v/>
      </c>
      <c r="K137" s="3"/>
      <c r="L137" s="3"/>
      <c r="N137" s="3" t="str">
        <f t="shared" si="10"/>
        <v/>
      </c>
      <c r="O137" s="6" t="str">
        <f t="shared" si="11"/>
        <v/>
      </c>
      <c r="P137" s="7">
        <f ca="1">SUMIFS($N$2:$N137,$B$2:$B137,"&lt;&gt;"&amp;B137)+SUM($Q$2:$Q137)</f>
        <v>90.195000000000007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2"/>
        <v>128</v>
      </c>
      <c r="B138" s="4"/>
      <c r="I138" s="8"/>
      <c r="J138" s="5" t="str">
        <f t="shared" si="9"/>
        <v/>
      </c>
      <c r="K138" s="3"/>
      <c r="L138" s="3"/>
      <c r="N138" s="3" t="str">
        <f t="shared" si="10"/>
        <v/>
      </c>
      <c r="O138" s="6" t="str">
        <f t="shared" si="11"/>
        <v/>
      </c>
      <c r="P138" s="7">
        <f ca="1">SUMIFS($N$2:$N138,$B$2:$B138,"&lt;&gt;"&amp;B138)+SUM($Q$2:$Q138)</f>
        <v>90.195000000000007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2"/>
        <v>129</v>
      </c>
      <c r="B139" s="4"/>
      <c r="I139" s="8"/>
      <c r="J139" s="5" t="str">
        <f t="shared" si="9"/>
        <v/>
      </c>
      <c r="K139" s="3"/>
      <c r="L139" s="3"/>
      <c r="N139" s="3" t="str">
        <f t="shared" si="10"/>
        <v/>
      </c>
      <c r="O139" s="6" t="str">
        <f t="shared" si="11"/>
        <v/>
      </c>
      <c r="P139" s="7">
        <f ca="1">SUMIFS($N$2:$N139,$B$2:$B139,"&lt;&gt;"&amp;B139)+SUM($Q$2:$Q139)</f>
        <v>90.195000000000007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2"/>
        <v>130</v>
      </c>
      <c r="B140" s="4"/>
      <c r="I140" s="8"/>
      <c r="J140" s="5" t="str">
        <f t="shared" si="9"/>
        <v/>
      </c>
      <c r="K140" s="3"/>
      <c r="L140" s="3"/>
      <c r="N140" s="3" t="str">
        <f t="shared" si="10"/>
        <v/>
      </c>
      <c r="O140" s="6" t="str">
        <f t="shared" si="11"/>
        <v/>
      </c>
      <c r="P140" s="7">
        <f ca="1">SUMIFS($N$2:$N140,$B$2:$B140,"&lt;&gt;"&amp;B140)+SUM($Q$2:$Q140)</f>
        <v>90.195000000000007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2"/>
        <v>131</v>
      </c>
      <c r="B141" s="4"/>
      <c r="I141" s="8"/>
      <c r="J141" s="5" t="str">
        <f t="shared" si="9"/>
        <v/>
      </c>
      <c r="K141" s="3"/>
      <c r="L141" s="3"/>
      <c r="N141" s="3" t="str">
        <f t="shared" si="10"/>
        <v/>
      </c>
      <c r="O141" s="6" t="str">
        <f t="shared" si="11"/>
        <v/>
      </c>
      <c r="P141" s="7">
        <f ca="1">SUMIFS($N$2:$N141,$B$2:$B141,"&lt;&gt;"&amp;B141)+SUM($Q$2:$Q141)</f>
        <v>90.195000000000007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2"/>
        <v>132</v>
      </c>
      <c r="B142" s="4"/>
      <c r="I142" s="8"/>
      <c r="J142" s="5" t="str">
        <f t="shared" si="9"/>
        <v/>
      </c>
      <c r="K142" s="3"/>
      <c r="L142" s="3"/>
      <c r="N142" s="3" t="str">
        <f t="shared" si="10"/>
        <v/>
      </c>
      <c r="O142" s="6" t="str">
        <f t="shared" si="11"/>
        <v/>
      </c>
      <c r="P142" s="7">
        <f ca="1">SUMIFS($N$2:$N142,$B$2:$B142,"&lt;&gt;"&amp;B142)+SUM($Q$2:$Q142)</f>
        <v>90.195000000000007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2"/>
        <v>133</v>
      </c>
      <c r="B143" s="4"/>
      <c r="I143" s="8"/>
      <c r="J143" s="5" t="str">
        <f t="shared" si="9"/>
        <v/>
      </c>
      <c r="K143" s="3"/>
      <c r="L143" s="3"/>
      <c r="N143" s="3" t="str">
        <f t="shared" si="10"/>
        <v/>
      </c>
      <c r="O143" s="6" t="str">
        <f t="shared" si="11"/>
        <v/>
      </c>
      <c r="P143" s="7">
        <f ca="1">SUMIFS($N$2:$N143,$B$2:$B143,"&lt;&gt;"&amp;B143)+SUM($Q$2:$Q143)</f>
        <v>90.195000000000007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2"/>
        <v>134</v>
      </c>
      <c r="B144" s="4"/>
      <c r="I144" s="8"/>
      <c r="J144" s="5" t="str">
        <f t="shared" si="9"/>
        <v/>
      </c>
      <c r="K144" s="3"/>
      <c r="L144" s="3"/>
      <c r="N144" s="3" t="str">
        <f t="shared" si="10"/>
        <v/>
      </c>
      <c r="O144" s="6" t="str">
        <f t="shared" si="11"/>
        <v/>
      </c>
      <c r="P144" s="7">
        <f ca="1">SUMIFS($N$2:$N144,$B$2:$B144,"&lt;&gt;"&amp;B144)+SUM($Q$2:$Q144)</f>
        <v>90.195000000000007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2"/>
        <v>135</v>
      </c>
      <c r="B145" s="4"/>
      <c r="I145" s="8"/>
      <c r="J145" s="5" t="str">
        <f t="shared" si="9"/>
        <v/>
      </c>
      <c r="K145" s="3"/>
      <c r="L145" s="3"/>
      <c r="N145" s="3" t="str">
        <f t="shared" si="10"/>
        <v/>
      </c>
      <c r="O145" s="6" t="str">
        <f t="shared" si="11"/>
        <v/>
      </c>
      <c r="P145" s="7">
        <f ca="1">SUMIFS($N$2:$N145,$B$2:$B145,"&lt;&gt;"&amp;B145)+SUM($Q$2:$Q145)</f>
        <v>90.195000000000007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2"/>
        <v>136</v>
      </c>
      <c r="B146" s="4"/>
      <c r="I146" s="8"/>
      <c r="J146" s="5" t="str">
        <f t="shared" si="9"/>
        <v/>
      </c>
      <c r="K146" s="3"/>
      <c r="L146" s="3"/>
      <c r="N146" s="3" t="str">
        <f t="shared" si="10"/>
        <v/>
      </c>
      <c r="O146" s="6" t="str">
        <f t="shared" si="11"/>
        <v/>
      </c>
      <c r="P146" s="7">
        <f ca="1">SUMIFS($N$2:$N146,$B$2:$B146,"&lt;&gt;"&amp;B146)+SUM($Q$2:$Q146)</f>
        <v>90.195000000000007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2"/>
        <v>137</v>
      </c>
      <c r="B147" s="4"/>
      <c r="I147" s="8"/>
      <c r="J147" s="5" t="str">
        <f t="shared" si="9"/>
        <v/>
      </c>
      <c r="K147" s="3"/>
      <c r="L147" s="3"/>
      <c r="N147" s="3" t="str">
        <f t="shared" si="10"/>
        <v/>
      </c>
      <c r="O147" s="6" t="str">
        <f t="shared" si="11"/>
        <v/>
      </c>
      <c r="P147" s="7">
        <f ca="1">SUMIFS($N$2:$N147,$B$2:$B147,"&lt;&gt;"&amp;B147)+SUM($Q$2:$Q147)</f>
        <v>90.195000000000007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2"/>
        <v>138</v>
      </c>
      <c r="B148" s="4"/>
      <c r="I148" s="8"/>
      <c r="J148" s="5" t="str">
        <f t="shared" si="9"/>
        <v/>
      </c>
      <c r="K148" s="3"/>
      <c r="L148" s="3"/>
      <c r="N148" s="3" t="str">
        <f t="shared" si="10"/>
        <v/>
      </c>
      <c r="O148" s="6" t="str">
        <f t="shared" si="11"/>
        <v/>
      </c>
      <c r="P148" s="7">
        <f ca="1">SUMIFS($N$2:$N148,$B$2:$B148,"&lt;&gt;"&amp;B148)+SUM($Q$2:$Q148)</f>
        <v>90.195000000000007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2"/>
        <v>139</v>
      </c>
      <c r="B149" s="4"/>
      <c r="I149" s="8"/>
      <c r="J149" s="5" t="str">
        <f t="shared" si="9"/>
        <v/>
      </c>
      <c r="K149" s="3"/>
      <c r="L149" s="3"/>
      <c r="N149" s="3" t="str">
        <f t="shared" si="10"/>
        <v/>
      </c>
      <c r="O149" s="6" t="str">
        <f t="shared" si="11"/>
        <v/>
      </c>
      <c r="P149" s="7">
        <f ca="1">SUMIFS($N$2:$N149,$B$2:$B149,"&lt;&gt;"&amp;B149)+SUM($Q$2:$Q149)</f>
        <v>90.195000000000007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2"/>
        <v>140</v>
      </c>
      <c r="B150" s="4"/>
      <c r="I150" s="8"/>
      <c r="J150" s="5" t="str">
        <f t="shared" si="9"/>
        <v/>
      </c>
      <c r="K150" s="3"/>
      <c r="L150" s="3"/>
      <c r="N150" s="3" t="str">
        <f t="shared" si="10"/>
        <v/>
      </c>
      <c r="O150" s="6" t="str">
        <f t="shared" si="11"/>
        <v/>
      </c>
      <c r="P150" s="7">
        <f ca="1">SUMIFS($N$2:$N150,$B$2:$B150,"&lt;&gt;"&amp;B150)+SUM($Q$2:$Q150)</f>
        <v>90.195000000000007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2"/>
        <v>141</v>
      </c>
      <c r="B151" s="4"/>
      <c r="I151" s="8"/>
      <c r="J151" s="5" t="str">
        <f t="shared" si="9"/>
        <v/>
      </c>
      <c r="K151" s="3"/>
      <c r="L151" s="3"/>
      <c r="N151" s="3" t="str">
        <f t="shared" si="10"/>
        <v/>
      </c>
      <c r="O151" s="6" t="str">
        <f t="shared" si="11"/>
        <v/>
      </c>
      <c r="P151" s="7">
        <f ca="1">SUMIFS($N$2:$N151,$B$2:$B151,"&lt;&gt;"&amp;B151)+SUM($Q$2:$Q151)</f>
        <v>90.195000000000007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2"/>
        <v>142</v>
      </c>
      <c r="B152" s="4"/>
      <c r="I152" s="8"/>
      <c r="J152" s="5" t="str">
        <f t="shared" si="9"/>
        <v/>
      </c>
      <c r="K152" s="3"/>
      <c r="L152" s="3"/>
      <c r="N152" s="3" t="str">
        <f t="shared" si="10"/>
        <v/>
      </c>
      <c r="O152" s="6" t="str">
        <f t="shared" si="11"/>
        <v/>
      </c>
      <c r="P152" s="7">
        <f ca="1">SUMIFS($N$2:$N152,$B$2:$B152,"&lt;&gt;"&amp;B152)+SUM($Q$2:$Q152)</f>
        <v>90.195000000000007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2"/>
        <v>143</v>
      </c>
      <c r="B153" s="4"/>
      <c r="I153" s="8"/>
      <c r="J153" s="5" t="str">
        <f t="shared" si="9"/>
        <v/>
      </c>
      <c r="K153" s="3"/>
      <c r="L153" s="3"/>
      <c r="N153" s="3" t="str">
        <f t="shared" si="10"/>
        <v/>
      </c>
      <c r="O153" s="6" t="str">
        <f t="shared" si="11"/>
        <v/>
      </c>
      <c r="P153" s="7">
        <f ca="1">SUMIFS($N$2:$N153,$B$2:$B153,"&lt;&gt;"&amp;B153)+SUM($Q$2:$Q153)</f>
        <v>90.195000000000007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2"/>
        <v>144</v>
      </c>
      <c r="B154" s="4"/>
      <c r="I154" s="8"/>
      <c r="J154" s="5" t="str">
        <f t="shared" si="9"/>
        <v/>
      </c>
      <c r="K154" s="3"/>
      <c r="L154" s="3"/>
      <c r="N154" s="3" t="str">
        <f t="shared" si="10"/>
        <v/>
      </c>
      <c r="O154" s="6" t="str">
        <f t="shared" si="11"/>
        <v/>
      </c>
      <c r="P154" s="7">
        <f ca="1">SUMIFS($N$2:$N154,$B$2:$B154,"&lt;&gt;"&amp;B154)+SUM($Q$2:$Q154)</f>
        <v>90.195000000000007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2"/>
        <v>145</v>
      </c>
      <c r="B155" s="4"/>
      <c r="I155" s="8"/>
      <c r="J155" s="5" t="str">
        <f t="shared" si="9"/>
        <v/>
      </c>
      <c r="K155" s="3"/>
      <c r="L155" s="3"/>
      <c r="N155" s="3" t="str">
        <f t="shared" si="10"/>
        <v/>
      </c>
      <c r="O155" s="6" t="str">
        <f t="shared" si="11"/>
        <v/>
      </c>
      <c r="P155" s="7">
        <f ca="1">SUMIFS($N$2:$N155,$B$2:$B155,"&lt;&gt;"&amp;B155)+SUM($Q$2:$Q155)</f>
        <v>90.195000000000007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2"/>
        <v>146</v>
      </c>
      <c r="B156" s="4"/>
      <c r="I156" s="8"/>
      <c r="J156" s="5" t="str">
        <f t="shared" si="9"/>
        <v/>
      </c>
      <c r="K156" s="3"/>
      <c r="L156" s="3"/>
      <c r="N156" s="3" t="str">
        <f t="shared" si="10"/>
        <v/>
      </c>
      <c r="O156" s="6" t="str">
        <f t="shared" si="11"/>
        <v/>
      </c>
      <c r="P156" s="7">
        <f ca="1">SUMIFS($N$2:$N156,$B$2:$B156,"&lt;&gt;"&amp;B156)+SUM($Q$2:$Q156)</f>
        <v>90.195000000000007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2"/>
        <v>147</v>
      </c>
      <c r="B157" s="4"/>
      <c r="I157" s="8"/>
      <c r="J157" s="5" t="str">
        <f t="shared" si="9"/>
        <v/>
      </c>
      <c r="K157" s="3"/>
      <c r="L157" s="3"/>
      <c r="N157" s="3" t="str">
        <f t="shared" si="10"/>
        <v/>
      </c>
      <c r="O157" s="6" t="str">
        <f t="shared" si="11"/>
        <v/>
      </c>
      <c r="P157" s="7">
        <f ca="1">SUMIFS($N$2:$N157,$B$2:$B157,"&lt;&gt;"&amp;B157)+SUM($Q$2:$Q157)</f>
        <v>90.195000000000007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2"/>
        <v>148</v>
      </c>
      <c r="B158" s="4"/>
      <c r="I158" s="8"/>
      <c r="J158" s="5" t="str">
        <f t="shared" si="9"/>
        <v/>
      </c>
      <c r="K158" s="3"/>
      <c r="L158" s="3"/>
      <c r="N158" s="3" t="str">
        <f t="shared" si="10"/>
        <v/>
      </c>
      <c r="O158" s="6" t="str">
        <f t="shared" si="11"/>
        <v/>
      </c>
      <c r="P158" s="7">
        <f ca="1">SUMIFS($N$2:$N158,$B$2:$B158,"&lt;&gt;"&amp;B158)+SUM($Q$2:$Q158)</f>
        <v>90.195000000000007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2"/>
        <v>149</v>
      </c>
      <c r="B159" s="4"/>
      <c r="I159" s="8"/>
      <c r="J159" s="5" t="str">
        <f t="shared" si="9"/>
        <v/>
      </c>
      <c r="K159" s="3"/>
      <c r="L159" s="3"/>
      <c r="N159" s="3" t="str">
        <f t="shared" si="10"/>
        <v/>
      </c>
      <c r="O159" s="6" t="str">
        <f t="shared" si="11"/>
        <v/>
      </c>
      <c r="P159" s="7">
        <f ca="1">SUMIFS($N$2:$N159,$B$2:$B159,"&lt;&gt;"&amp;B159)+SUM($Q$2:$Q159)</f>
        <v>90.195000000000007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2"/>
        <v>150</v>
      </c>
      <c r="B160" s="4"/>
      <c r="I160" s="8"/>
      <c r="J160" s="5" t="str">
        <f t="shared" si="9"/>
        <v/>
      </c>
      <c r="K160" s="3"/>
      <c r="L160" s="3"/>
      <c r="N160" s="3" t="str">
        <f t="shared" si="10"/>
        <v/>
      </c>
      <c r="O160" s="6" t="str">
        <f t="shared" si="11"/>
        <v/>
      </c>
      <c r="P160" s="7">
        <f ca="1">SUMIFS($N$2:$N160,$B$2:$B160,"&lt;&gt;"&amp;B160)+SUM($Q$2:$Q160)</f>
        <v>90.195000000000007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2"/>
        <v>151</v>
      </c>
      <c r="B161" s="4"/>
      <c r="I161" s="8"/>
      <c r="J161" s="5" t="str">
        <f t="shared" si="9"/>
        <v/>
      </c>
      <c r="K161" s="3"/>
      <c r="L161" s="3"/>
      <c r="N161" s="3" t="str">
        <f t="shared" si="10"/>
        <v/>
      </c>
      <c r="O161" s="6" t="str">
        <f t="shared" si="11"/>
        <v/>
      </c>
      <c r="P161" s="7">
        <f ca="1">SUMIFS($N$2:$N161,$B$2:$B161,"&lt;&gt;"&amp;B161)+SUM($Q$2:$Q161)</f>
        <v>90.195000000000007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si="12"/>
        <v>152</v>
      </c>
      <c r="B162" s="4"/>
      <c r="I162" s="8"/>
      <c r="J162" s="5" t="str">
        <f t="shared" si="9"/>
        <v/>
      </c>
      <c r="K162" s="3"/>
      <c r="L162" s="3"/>
      <c r="N162" s="3" t="str">
        <f t="shared" si="10"/>
        <v/>
      </c>
      <c r="O162" s="6" t="str">
        <f t="shared" si="11"/>
        <v/>
      </c>
      <c r="P162" s="7">
        <f ca="1">SUMIFS($N$2:$N162,$B$2:$B162,"&lt;&gt;"&amp;B162)+SUM($Q$2:$Q162)</f>
        <v>90.195000000000007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2"/>
        <v>153</v>
      </c>
      <c r="B163" s="4"/>
      <c r="I163" s="8"/>
      <c r="J163" s="5" t="str">
        <f t="shared" si="9"/>
        <v/>
      </c>
      <c r="K163" s="3"/>
      <c r="L163" s="3"/>
      <c r="N163" s="3" t="str">
        <f t="shared" si="10"/>
        <v/>
      </c>
      <c r="O163" s="6" t="str">
        <f t="shared" si="11"/>
        <v/>
      </c>
      <c r="P163" s="7">
        <f ca="1">SUMIFS($N$2:$N163,$B$2:$B163,"&lt;&gt;"&amp;B163)+SUM($Q$2:$Q163)</f>
        <v>90.195000000000007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2"/>
        <v>154</v>
      </c>
      <c r="B164" s="4"/>
      <c r="I164" s="8"/>
      <c r="J164" s="5" t="str">
        <f t="shared" si="9"/>
        <v/>
      </c>
      <c r="K164" s="3"/>
      <c r="L164" s="3"/>
      <c r="N164" s="3" t="str">
        <f t="shared" si="10"/>
        <v/>
      </c>
      <c r="O164" s="6" t="str">
        <f t="shared" si="11"/>
        <v/>
      </c>
      <c r="P164" s="7">
        <f ca="1">SUMIFS($N$2:$N164,$B$2:$B164,"&lt;&gt;"&amp;B164)+SUM($Q$2:$Q164)</f>
        <v>90.195000000000007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2"/>
        <v>155</v>
      </c>
      <c r="B165" s="4"/>
      <c r="I165" s="8"/>
      <c r="J165" s="5" t="str">
        <f t="shared" si="9"/>
        <v/>
      </c>
      <c r="K165" s="3"/>
      <c r="L165" s="3"/>
      <c r="N165" s="3" t="str">
        <f t="shared" si="10"/>
        <v/>
      </c>
      <c r="O165" s="6" t="str">
        <f t="shared" si="11"/>
        <v/>
      </c>
      <c r="P165" s="7">
        <f ca="1">SUMIFS($N$2:$N165,$B$2:$B165,"&lt;&gt;"&amp;B165)+SUM($Q$2:$Q165)</f>
        <v>90.195000000000007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2"/>
        <v>156</v>
      </c>
      <c r="B166" s="4"/>
      <c r="I166" s="8"/>
      <c r="J166" s="5" t="str">
        <f t="shared" si="9"/>
        <v/>
      </c>
      <c r="K166" s="3"/>
      <c r="L166" s="3"/>
      <c r="N166" s="3" t="str">
        <f t="shared" si="10"/>
        <v/>
      </c>
      <c r="O166" s="6" t="str">
        <f t="shared" si="11"/>
        <v/>
      </c>
      <c r="P166" s="7">
        <f ca="1">SUMIFS($N$2:$N166,$B$2:$B166,"&lt;&gt;"&amp;B166)+SUM($Q$2:$Q166)</f>
        <v>90.195000000000007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2"/>
        <v>157</v>
      </c>
      <c r="B167" s="4"/>
      <c r="I167" s="8"/>
      <c r="J167" s="5" t="str">
        <f t="shared" si="9"/>
        <v/>
      </c>
      <c r="K167" s="3"/>
      <c r="L167" s="3"/>
      <c r="N167" s="3" t="str">
        <f t="shared" si="10"/>
        <v/>
      </c>
      <c r="O167" s="6" t="str">
        <f t="shared" si="11"/>
        <v/>
      </c>
      <c r="P167" s="7">
        <f ca="1">SUMIFS($N$2:$N167,$B$2:$B167,"&lt;&gt;"&amp;B167)+SUM($Q$2:$Q167)</f>
        <v>90.195000000000007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2"/>
        <v>158</v>
      </c>
      <c r="B168" s="4"/>
      <c r="I168" s="8"/>
      <c r="J168" s="5" t="str">
        <f t="shared" si="9"/>
        <v/>
      </c>
      <c r="K168" s="3"/>
      <c r="L168" s="3"/>
      <c r="N168" s="3" t="str">
        <f t="shared" si="10"/>
        <v/>
      </c>
      <c r="O168" s="6" t="str">
        <f t="shared" si="11"/>
        <v/>
      </c>
      <c r="P168" s="7">
        <f ca="1">SUMIFS($N$2:$N168,$B$2:$B168,"&lt;&gt;"&amp;B168)+SUM($Q$2:$Q168)</f>
        <v>90.195000000000007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2"/>
        <v>159</v>
      </c>
      <c r="B169" s="4"/>
      <c r="I169" s="8"/>
      <c r="J169" s="5" t="str">
        <f t="shared" si="9"/>
        <v/>
      </c>
      <c r="K169" s="3"/>
      <c r="L169" s="3"/>
      <c r="N169" s="3" t="str">
        <f t="shared" si="10"/>
        <v/>
      </c>
      <c r="O169" s="6" t="str">
        <f t="shared" si="11"/>
        <v/>
      </c>
      <c r="P169" s="7">
        <f ca="1">SUMIFS($N$2:$N169,$B$2:$B169,"&lt;&gt;"&amp;B169)+SUM($Q$2:$Q169)</f>
        <v>90.195000000000007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2"/>
        <v>160</v>
      </c>
      <c r="B170" s="4"/>
      <c r="I170" s="8"/>
      <c r="J170" s="5" t="str">
        <f t="shared" si="9"/>
        <v/>
      </c>
      <c r="K170" s="3"/>
      <c r="L170" s="3"/>
      <c r="N170" s="3" t="str">
        <f t="shared" si="10"/>
        <v/>
      </c>
      <c r="O170" s="6" t="str">
        <f t="shared" si="11"/>
        <v/>
      </c>
      <c r="P170" s="7">
        <f ca="1">SUMIFS($N$2:$N170,$B$2:$B170,"&lt;&gt;"&amp;B170)+SUM($Q$2:$Q170)</f>
        <v>90.195000000000007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2"/>
        <v>161</v>
      </c>
      <c r="B171" s="4"/>
      <c r="I171" s="8"/>
      <c r="J171" s="5" t="str">
        <f t="shared" si="9"/>
        <v/>
      </c>
      <c r="K171" s="3"/>
      <c r="L171" s="3"/>
      <c r="N171" s="3" t="str">
        <f t="shared" si="10"/>
        <v/>
      </c>
      <c r="O171" s="6" t="str">
        <f t="shared" si="11"/>
        <v/>
      </c>
      <c r="P171" s="7">
        <f ca="1">SUMIFS($N$2:$N171,$B$2:$B171,"&lt;&gt;"&amp;B171)+SUM($Q$2:$Q171)</f>
        <v>90.195000000000007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2"/>
        <v>162</v>
      </c>
      <c r="B172" s="4"/>
      <c r="I172" s="8"/>
      <c r="J172" s="5" t="str">
        <f t="shared" si="9"/>
        <v/>
      </c>
      <c r="K172" s="3"/>
      <c r="L172" s="3"/>
      <c r="N172" s="3" t="str">
        <f t="shared" si="10"/>
        <v/>
      </c>
      <c r="O172" s="6" t="str">
        <f t="shared" si="11"/>
        <v/>
      </c>
      <c r="P172" s="7">
        <f ca="1">SUMIFS($N$2:$N172,$B$2:$B172,"&lt;&gt;"&amp;B172)+SUM($Q$2:$Q172)</f>
        <v>90.195000000000007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2"/>
        <v>163</v>
      </c>
      <c r="B173" s="4"/>
      <c r="I173" s="8"/>
      <c r="J173" s="5" t="str">
        <f t="shared" si="9"/>
        <v/>
      </c>
      <c r="K173" s="3"/>
      <c r="L173" s="3"/>
      <c r="N173" s="3" t="str">
        <f t="shared" si="10"/>
        <v/>
      </c>
      <c r="O173" s="6" t="str">
        <f t="shared" si="11"/>
        <v/>
      </c>
      <c r="P173" s="7">
        <f ca="1">SUMIFS($N$2:$N173,$B$2:$B173,"&lt;&gt;"&amp;B173)+SUM($Q$2:$Q173)</f>
        <v>90.195000000000007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2"/>
        <v>164</v>
      </c>
      <c r="B174" s="4"/>
      <c r="I174" s="8"/>
      <c r="J174" s="5" t="str">
        <f t="shared" si="9"/>
        <v/>
      </c>
      <c r="K174" s="3"/>
      <c r="L174" s="3"/>
      <c r="N174" s="3" t="str">
        <f t="shared" si="10"/>
        <v/>
      </c>
      <c r="O174" s="6" t="str">
        <f t="shared" si="11"/>
        <v/>
      </c>
      <c r="P174" s="7">
        <f ca="1">SUMIFS($N$2:$N174,$B$2:$B174,"&lt;&gt;"&amp;B174)+SUM($Q$2:$Q174)</f>
        <v>90.195000000000007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2"/>
        <v>165</v>
      </c>
      <c r="B175" s="4"/>
      <c r="I175" s="8"/>
      <c r="J175" s="5" t="str">
        <f t="shared" si="9"/>
        <v/>
      </c>
      <c r="K175" s="3"/>
      <c r="L175" s="3"/>
      <c r="N175" s="3" t="str">
        <f t="shared" si="10"/>
        <v/>
      </c>
      <c r="O175" s="6" t="str">
        <f t="shared" si="11"/>
        <v/>
      </c>
      <c r="P175" s="7">
        <f ca="1">SUMIFS($N$2:$N175,$B$2:$B175,"&lt;&gt;"&amp;B175)+SUM($Q$2:$Q175)</f>
        <v>90.195000000000007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2"/>
        <v>166</v>
      </c>
      <c r="B176" s="4"/>
      <c r="I176" s="8"/>
      <c r="J176" s="5" t="str">
        <f t="shared" si="9"/>
        <v/>
      </c>
      <c r="K176" s="3"/>
      <c r="L176" s="3"/>
      <c r="N176" s="3" t="str">
        <f t="shared" si="10"/>
        <v/>
      </c>
      <c r="O176" s="6" t="str">
        <f t="shared" si="11"/>
        <v/>
      </c>
      <c r="P176" s="7">
        <f ca="1">SUMIFS($N$2:$N176,$B$2:$B176,"&lt;&gt;"&amp;B176)+SUM($Q$2:$Q176)</f>
        <v>90.195000000000007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2"/>
        <v>167</v>
      </c>
      <c r="B177" s="4"/>
      <c r="I177" s="8"/>
      <c r="J177" s="5" t="str">
        <f t="shared" si="9"/>
        <v/>
      </c>
      <c r="K177" s="3"/>
      <c r="L177" s="3"/>
      <c r="N177" s="3" t="str">
        <f t="shared" si="10"/>
        <v/>
      </c>
      <c r="O177" s="6" t="str">
        <f t="shared" si="11"/>
        <v/>
      </c>
      <c r="P177" s="7">
        <f ca="1">SUMIFS($N$2:$N177,$B$2:$B177,"&lt;&gt;"&amp;B177)+SUM($Q$2:$Q177)</f>
        <v>90.195000000000007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2"/>
        <v>168</v>
      </c>
      <c r="B178" s="4"/>
      <c r="I178" s="8"/>
      <c r="J178" s="5" t="str">
        <f t="shared" si="9"/>
        <v/>
      </c>
      <c r="K178" s="3"/>
      <c r="L178" s="3"/>
      <c r="N178" s="3" t="str">
        <f t="shared" si="10"/>
        <v/>
      </c>
      <c r="O178" s="6" t="str">
        <f t="shared" si="11"/>
        <v/>
      </c>
      <c r="P178" s="7">
        <f ca="1">SUMIFS($N$2:$N178,$B$2:$B178,"&lt;&gt;"&amp;B178)+SUM($Q$2:$Q178)</f>
        <v>90.195000000000007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2"/>
        <v>169</v>
      </c>
      <c r="B179" s="4"/>
      <c r="I179" s="8"/>
      <c r="J179" s="5" t="str">
        <f t="shared" si="9"/>
        <v/>
      </c>
      <c r="K179" s="3"/>
      <c r="L179" s="3"/>
      <c r="N179" s="3" t="str">
        <f t="shared" si="10"/>
        <v/>
      </c>
      <c r="O179" s="6" t="str">
        <f t="shared" si="11"/>
        <v/>
      </c>
      <c r="P179" s="7">
        <f ca="1">SUMIFS($N$2:$N179,$B$2:$B179,"&lt;&gt;"&amp;B179)+SUM($Q$2:$Q179)</f>
        <v>90.195000000000007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2"/>
        <v>170</v>
      </c>
      <c r="B180" s="4"/>
      <c r="I180" s="8"/>
      <c r="J180" s="5" t="str">
        <f t="shared" si="9"/>
        <v/>
      </c>
      <c r="K180" s="3"/>
      <c r="L180" s="3"/>
      <c r="N180" s="3" t="str">
        <f t="shared" si="10"/>
        <v/>
      </c>
      <c r="O180" s="6" t="str">
        <f t="shared" si="11"/>
        <v/>
      </c>
      <c r="P180" s="7">
        <f ca="1">SUMIFS($N$2:$N180,$B$2:$B180,"&lt;&gt;"&amp;B180)+SUM($Q$2:$Q180)</f>
        <v>90.195000000000007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2"/>
        <v>171</v>
      </c>
      <c r="B181" s="4"/>
      <c r="I181" s="8"/>
      <c r="J181" s="5" t="str">
        <f t="shared" si="9"/>
        <v/>
      </c>
      <c r="K181" s="3"/>
      <c r="L181" s="3"/>
      <c r="N181" s="3" t="str">
        <f t="shared" si="10"/>
        <v/>
      </c>
      <c r="O181" s="6" t="str">
        <f t="shared" si="11"/>
        <v/>
      </c>
      <c r="P181" s="7">
        <f ca="1">SUMIFS($N$2:$N181,$B$2:$B181,"&lt;&gt;"&amp;B181)+SUM($Q$2:$Q181)</f>
        <v>90.195000000000007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2"/>
        <v>172</v>
      </c>
      <c r="B182" s="4"/>
      <c r="I182" s="8"/>
      <c r="J182" s="5" t="str">
        <f t="shared" si="9"/>
        <v/>
      </c>
      <c r="K182" s="3"/>
      <c r="L182" s="3"/>
      <c r="N182" s="3" t="str">
        <f t="shared" si="10"/>
        <v/>
      </c>
      <c r="O182" s="6" t="str">
        <f t="shared" si="11"/>
        <v/>
      </c>
      <c r="P182" s="7">
        <f ca="1">SUMIFS($N$2:$N182,$B$2:$B182,"&lt;&gt;"&amp;B182)+SUM($Q$2:$Q182)</f>
        <v>90.195000000000007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2"/>
        <v>173</v>
      </c>
      <c r="B183" s="4"/>
      <c r="I183" s="8"/>
      <c r="J183" s="5" t="str">
        <f t="shared" si="9"/>
        <v/>
      </c>
      <c r="K183" s="3"/>
      <c r="L183" s="3"/>
      <c r="N183" s="3" t="str">
        <f t="shared" si="10"/>
        <v/>
      </c>
      <c r="O183" s="6" t="str">
        <f t="shared" si="11"/>
        <v/>
      </c>
      <c r="P183" s="7">
        <f ca="1">SUMIFS($N$2:$N183,$B$2:$B183,"&lt;&gt;"&amp;B183)+SUM($Q$2:$Q183)</f>
        <v>90.195000000000007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2"/>
        <v>174</v>
      </c>
      <c r="B184" s="4"/>
      <c r="I184" s="8"/>
      <c r="J184" s="5" t="str">
        <f t="shared" si="9"/>
        <v/>
      </c>
      <c r="K184" s="3"/>
      <c r="L184" s="3"/>
      <c r="N184" s="3" t="str">
        <f t="shared" si="10"/>
        <v/>
      </c>
      <c r="O184" s="6" t="str">
        <f t="shared" si="11"/>
        <v/>
      </c>
      <c r="P184" s="7">
        <f ca="1">SUMIFS($N$2:$N184,$B$2:$B184,"&lt;&gt;"&amp;B184)+SUM($Q$2:$Q184)</f>
        <v>90.195000000000007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2"/>
        <v>175</v>
      </c>
      <c r="B185" s="4"/>
      <c r="I185" s="8"/>
      <c r="J185" s="5" t="str">
        <f t="shared" si="9"/>
        <v/>
      </c>
      <c r="K185" s="3"/>
      <c r="L185" s="3"/>
      <c r="N185" s="3" t="str">
        <f t="shared" si="10"/>
        <v/>
      </c>
      <c r="O185" s="6" t="str">
        <f t="shared" si="11"/>
        <v/>
      </c>
      <c r="P185" s="7">
        <f ca="1">SUMIFS($N$2:$N185,$B$2:$B185,"&lt;&gt;"&amp;B185)+SUM($Q$2:$Q185)</f>
        <v>90.195000000000007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2"/>
        <v>176</v>
      </c>
      <c r="B186" s="4"/>
      <c r="I186" s="8"/>
      <c r="J186" s="5" t="str">
        <f t="shared" si="9"/>
        <v/>
      </c>
      <c r="K186" s="3"/>
      <c r="L186" s="3"/>
      <c r="N186" s="3" t="str">
        <f t="shared" si="10"/>
        <v/>
      </c>
      <c r="O186" s="6" t="str">
        <f t="shared" si="11"/>
        <v/>
      </c>
      <c r="P186" s="7">
        <f ca="1">SUMIFS($N$2:$N186,$B$2:$B186,"&lt;&gt;"&amp;B186)+SUM($Q$2:$Q186)</f>
        <v>90.195000000000007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2"/>
        <v>177</v>
      </c>
      <c r="B187" s="4"/>
      <c r="I187" s="8"/>
      <c r="J187" s="5" t="str">
        <f t="shared" si="9"/>
        <v/>
      </c>
      <c r="K187" s="3"/>
      <c r="L187" s="3"/>
      <c r="N187" s="3" t="str">
        <f t="shared" si="10"/>
        <v/>
      </c>
      <c r="O187" s="6" t="str">
        <f t="shared" si="11"/>
        <v/>
      </c>
      <c r="P187" s="7">
        <f ca="1">SUMIFS($N$2:$N187,$B$2:$B187,"&lt;&gt;"&amp;B187)+SUM($Q$2:$Q187)</f>
        <v>90.195000000000007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2"/>
        <v>178</v>
      </c>
      <c r="B188" s="4"/>
      <c r="I188" s="8"/>
      <c r="J188" s="5" t="str">
        <f t="shared" si="9"/>
        <v/>
      </c>
      <c r="K188" s="3"/>
      <c r="L188" s="3"/>
      <c r="N188" s="3" t="str">
        <f t="shared" si="10"/>
        <v/>
      </c>
      <c r="O188" s="6" t="str">
        <f t="shared" si="11"/>
        <v/>
      </c>
      <c r="P188" s="7">
        <f ca="1">SUMIFS($N$2:$N188,$B$2:$B188,"&lt;&gt;"&amp;B188)+SUM($Q$2:$Q188)</f>
        <v>90.195000000000007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2"/>
        <v>179</v>
      </c>
      <c r="B189" s="4"/>
      <c r="I189" s="8"/>
      <c r="J189" s="5" t="str">
        <f t="shared" si="9"/>
        <v/>
      </c>
      <c r="K189" s="3"/>
      <c r="L189" s="3"/>
      <c r="N189" s="3" t="str">
        <f t="shared" si="10"/>
        <v/>
      </c>
      <c r="O189" s="6" t="str">
        <f t="shared" si="11"/>
        <v/>
      </c>
      <c r="P189" s="7">
        <f ca="1">SUMIFS($N$2:$N189,$B$2:$B189,"&lt;&gt;"&amp;B189)+SUM($Q$2:$Q189)</f>
        <v>90.195000000000007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2"/>
        <v>180</v>
      </c>
      <c r="B190" s="4"/>
      <c r="I190" s="8"/>
      <c r="J190" s="5" t="str">
        <f t="shared" si="9"/>
        <v/>
      </c>
      <c r="K190" s="3"/>
      <c r="L190" s="3"/>
      <c r="N190" s="3" t="str">
        <f t="shared" si="10"/>
        <v/>
      </c>
      <c r="O190" s="6" t="str">
        <f t="shared" si="11"/>
        <v/>
      </c>
      <c r="P190" s="7">
        <f ca="1">SUMIFS($N$2:$N190,$B$2:$B190,"&lt;&gt;"&amp;B190)+SUM($Q$2:$Q190)</f>
        <v>90.195000000000007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2"/>
        <v>181</v>
      </c>
      <c r="B191" s="4"/>
      <c r="I191" s="8"/>
      <c r="J191" s="5" t="str">
        <f t="shared" si="9"/>
        <v/>
      </c>
      <c r="K191" s="3"/>
      <c r="L191" s="3"/>
      <c r="N191" s="3" t="str">
        <f t="shared" si="10"/>
        <v/>
      </c>
      <c r="O191" s="6" t="str">
        <f t="shared" si="11"/>
        <v/>
      </c>
      <c r="P191" s="7">
        <f ca="1">SUMIFS($N$2:$N191,$B$2:$B191,"&lt;&gt;"&amp;B191)+SUM($Q$2:$Q191)</f>
        <v>90.195000000000007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2"/>
        <v>182</v>
      </c>
      <c r="B192" s="4"/>
      <c r="I192" s="8"/>
      <c r="J192" s="5" t="str">
        <f t="shared" si="9"/>
        <v/>
      </c>
      <c r="K192" s="3"/>
      <c r="L192" s="3"/>
      <c r="N192" s="3" t="str">
        <f t="shared" si="10"/>
        <v/>
      </c>
      <c r="O192" s="6" t="str">
        <f t="shared" si="11"/>
        <v/>
      </c>
      <c r="P192" s="7">
        <f ca="1">SUMIFS($N$2:$N192,$B$2:$B192,"&lt;&gt;"&amp;B192)+SUM($Q$2:$Q192)</f>
        <v>90.195000000000007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2"/>
        <v>183</v>
      </c>
      <c r="B193" s="4"/>
      <c r="I193" s="8"/>
      <c r="J193" s="5" t="str">
        <f t="shared" si="9"/>
        <v/>
      </c>
      <c r="K193" s="3"/>
      <c r="L193" s="3"/>
      <c r="N193" s="3" t="str">
        <f t="shared" si="10"/>
        <v/>
      </c>
      <c r="O193" s="6" t="str">
        <f t="shared" si="11"/>
        <v/>
      </c>
      <c r="P193" s="7">
        <f ca="1">SUMIFS($N$2:$N193,$B$2:$B193,"&lt;&gt;"&amp;B193)+SUM($Q$2:$Q193)</f>
        <v>90.195000000000007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2"/>
        <v>184</v>
      </c>
      <c r="B194" s="4"/>
      <c r="I194" s="8"/>
      <c r="J194" s="5" t="str">
        <f t="shared" ref="J194:J257" si="13">IF(I194="", "", IF(I194&gt;0, I194/100 +1, -100/I194 +1))</f>
        <v/>
      </c>
      <c r="K194" s="3"/>
      <c r="L194" s="3"/>
      <c r="N194" s="3" t="str">
        <f t="shared" ref="N194:N257" si="14">IF(L194 = "", "", IF(M194="", "", IF(M194="Draw", 0, IF(M194="win", L194, -1*K194))))</f>
        <v/>
      </c>
      <c r="O194" s="6" t="str">
        <f t="shared" ref="O194:O257" si="15">IFERROR(K194/VLOOKUP(_xlfn.MINIFS(A:A,B:B,B194,C:C,C194),A:P,16),"")</f>
        <v/>
      </c>
      <c r="P194" s="7">
        <f ca="1">SUMIFS($N$2:$N194,$B$2:$B194,"&lt;&gt;"&amp;B194)+SUM($Q$2:$Q194)</f>
        <v>90.195000000000007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ref="A195:A258" si="16">IF(AND(B195="", D195&lt;&gt;""), A194, A194+1)</f>
        <v>185</v>
      </c>
      <c r="B195" s="4"/>
      <c r="I195" s="8"/>
      <c r="J195" s="5" t="str">
        <f t="shared" si="13"/>
        <v/>
      </c>
      <c r="K195" s="3"/>
      <c r="L195" s="3"/>
      <c r="N195" s="3" t="str">
        <f t="shared" si="14"/>
        <v/>
      </c>
      <c r="O195" s="6" t="str">
        <f t="shared" si="15"/>
        <v/>
      </c>
      <c r="P195" s="7">
        <f ca="1">SUMIFS($N$2:$N195,$B$2:$B195,"&lt;&gt;"&amp;B195)+SUM($Q$2:$Q195)</f>
        <v>90.195000000000007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6"/>
        <v>186</v>
      </c>
      <c r="B196" s="4"/>
      <c r="I196" s="8"/>
      <c r="J196" s="5" t="str">
        <f t="shared" si="13"/>
        <v/>
      </c>
      <c r="K196" s="3"/>
      <c r="L196" s="3"/>
      <c r="N196" s="3" t="str">
        <f t="shared" si="14"/>
        <v/>
      </c>
      <c r="O196" s="6" t="str">
        <f t="shared" si="15"/>
        <v/>
      </c>
      <c r="P196" s="7">
        <f ca="1">SUMIFS($N$2:$N196,$B$2:$B196,"&lt;&gt;"&amp;B196)+SUM($Q$2:$Q196)</f>
        <v>90.195000000000007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6"/>
        <v>187</v>
      </c>
      <c r="B197" s="4"/>
      <c r="I197" s="8"/>
      <c r="J197" s="5" t="str">
        <f t="shared" si="13"/>
        <v/>
      </c>
      <c r="K197" s="3"/>
      <c r="L197" s="3"/>
      <c r="N197" s="3" t="str">
        <f t="shared" si="14"/>
        <v/>
      </c>
      <c r="O197" s="6" t="str">
        <f t="shared" si="15"/>
        <v/>
      </c>
      <c r="P197" s="7">
        <f ca="1">SUMIFS($N$2:$N197,$B$2:$B197,"&lt;&gt;"&amp;B197)+SUM($Q$2:$Q197)</f>
        <v>90.195000000000007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6"/>
        <v>188</v>
      </c>
      <c r="B198" s="4"/>
      <c r="I198" s="8"/>
      <c r="J198" s="5" t="str">
        <f t="shared" si="13"/>
        <v/>
      </c>
      <c r="K198" s="3"/>
      <c r="L198" s="3"/>
      <c r="N198" s="3" t="str">
        <f t="shared" si="14"/>
        <v/>
      </c>
      <c r="O198" s="6" t="str">
        <f t="shared" si="15"/>
        <v/>
      </c>
      <c r="P198" s="7">
        <f ca="1">SUMIFS($N$2:$N198,$B$2:$B198,"&lt;&gt;"&amp;B198)+SUM($Q$2:$Q198)</f>
        <v>90.195000000000007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6"/>
        <v>189</v>
      </c>
      <c r="B199" s="4"/>
      <c r="I199" s="8"/>
      <c r="J199" s="5" t="str">
        <f t="shared" si="13"/>
        <v/>
      </c>
      <c r="K199" s="3"/>
      <c r="L199" s="3"/>
      <c r="N199" s="3" t="str">
        <f t="shared" si="14"/>
        <v/>
      </c>
      <c r="O199" s="6" t="str">
        <f t="shared" si="15"/>
        <v/>
      </c>
      <c r="P199" s="7">
        <f ca="1">SUMIFS($N$2:$N199,$B$2:$B199,"&lt;&gt;"&amp;B199)+SUM($Q$2:$Q199)</f>
        <v>90.195000000000007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6"/>
        <v>190</v>
      </c>
      <c r="B200" s="4"/>
      <c r="I200" s="8"/>
      <c r="J200" s="5" t="str">
        <f t="shared" si="13"/>
        <v/>
      </c>
      <c r="K200" s="3"/>
      <c r="L200" s="3"/>
      <c r="N200" s="3" t="str">
        <f t="shared" si="14"/>
        <v/>
      </c>
      <c r="O200" s="6" t="str">
        <f t="shared" si="15"/>
        <v/>
      </c>
      <c r="P200" s="7">
        <f ca="1">SUMIFS($N$2:$N200,$B$2:$B200,"&lt;&gt;"&amp;B200)+SUM($Q$2:$Q200)</f>
        <v>90.195000000000007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6"/>
        <v>191</v>
      </c>
      <c r="B201" s="4"/>
      <c r="I201" s="8"/>
      <c r="J201" s="5" t="str">
        <f t="shared" si="13"/>
        <v/>
      </c>
      <c r="K201" s="3"/>
      <c r="L201" s="3"/>
      <c r="N201" s="3" t="str">
        <f t="shared" si="14"/>
        <v/>
      </c>
      <c r="O201" s="6" t="str">
        <f t="shared" si="15"/>
        <v/>
      </c>
      <c r="P201" s="7">
        <f ca="1">SUMIFS($N$2:$N201,$B$2:$B201,"&lt;&gt;"&amp;B201)+SUM($Q$2:$Q201)</f>
        <v>90.195000000000007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6"/>
        <v>192</v>
      </c>
      <c r="B202" s="4"/>
      <c r="I202" s="8"/>
      <c r="J202" s="5" t="str">
        <f t="shared" si="13"/>
        <v/>
      </c>
      <c r="K202" s="3"/>
      <c r="L202" s="3"/>
      <c r="N202" s="3" t="str">
        <f t="shared" si="14"/>
        <v/>
      </c>
      <c r="O202" s="6" t="str">
        <f t="shared" si="15"/>
        <v/>
      </c>
      <c r="P202" s="7">
        <f ca="1">SUMIFS($N$2:$N202,$B$2:$B202,"&lt;&gt;"&amp;B202)+SUM($Q$2:$Q202)</f>
        <v>90.195000000000007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6"/>
        <v>193</v>
      </c>
      <c r="B203" s="4"/>
      <c r="I203" s="8"/>
      <c r="J203" s="5" t="str">
        <f t="shared" si="13"/>
        <v/>
      </c>
      <c r="K203" s="3"/>
      <c r="L203" s="3"/>
      <c r="N203" s="3" t="str">
        <f t="shared" si="14"/>
        <v/>
      </c>
      <c r="O203" s="6" t="str">
        <f t="shared" si="15"/>
        <v/>
      </c>
      <c r="P203" s="7">
        <f ca="1">SUMIFS($N$2:$N203,$B$2:$B203,"&lt;&gt;"&amp;B203)+SUM($Q$2:$Q203)</f>
        <v>90.195000000000007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6"/>
        <v>194</v>
      </c>
      <c r="B204" s="4"/>
      <c r="I204" s="8"/>
      <c r="J204" s="5" t="str">
        <f t="shared" si="13"/>
        <v/>
      </c>
      <c r="K204" s="3"/>
      <c r="L204" s="3"/>
      <c r="N204" s="3" t="str">
        <f t="shared" si="14"/>
        <v/>
      </c>
      <c r="O204" s="6" t="str">
        <f t="shared" si="15"/>
        <v/>
      </c>
      <c r="P204" s="7">
        <f ca="1">SUMIFS($N$2:$N204,$B$2:$B204,"&lt;&gt;"&amp;B204)+SUM($Q$2:$Q204)</f>
        <v>90.195000000000007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6"/>
        <v>195</v>
      </c>
      <c r="B205" s="4"/>
      <c r="I205" s="8"/>
      <c r="J205" s="5" t="str">
        <f t="shared" si="13"/>
        <v/>
      </c>
      <c r="K205" s="3"/>
      <c r="L205" s="3"/>
      <c r="N205" s="3" t="str">
        <f t="shared" si="14"/>
        <v/>
      </c>
      <c r="O205" s="6" t="str">
        <f t="shared" si="15"/>
        <v/>
      </c>
      <c r="P205" s="7">
        <f ca="1">SUMIFS($N$2:$N205,$B$2:$B205,"&lt;&gt;"&amp;B205)+SUM($Q$2:$Q205)</f>
        <v>90.195000000000007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6"/>
        <v>196</v>
      </c>
      <c r="B206" s="4"/>
      <c r="I206" s="8"/>
      <c r="J206" s="5" t="str">
        <f t="shared" si="13"/>
        <v/>
      </c>
      <c r="K206" s="3"/>
      <c r="L206" s="3"/>
      <c r="N206" s="3" t="str">
        <f t="shared" si="14"/>
        <v/>
      </c>
      <c r="O206" s="6" t="str">
        <f t="shared" si="15"/>
        <v/>
      </c>
      <c r="P206" s="7">
        <f ca="1">SUMIFS($N$2:$N206,$B$2:$B206,"&lt;&gt;"&amp;B206)+SUM($Q$2:$Q206)</f>
        <v>90.195000000000007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6"/>
        <v>197</v>
      </c>
      <c r="B207" s="4"/>
      <c r="I207" s="8"/>
      <c r="J207" s="5" t="str">
        <f t="shared" si="13"/>
        <v/>
      </c>
      <c r="K207" s="3"/>
      <c r="L207" s="3"/>
      <c r="N207" s="3" t="str">
        <f t="shared" si="14"/>
        <v/>
      </c>
      <c r="O207" s="6" t="str">
        <f t="shared" si="15"/>
        <v/>
      </c>
      <c r="P207" s="7">
        <f ca="1">SUMIFS($N$2:$N207,$B$2:$B207,"&lt;&gt;"&amp;B207)+SUM($Q$2:$Q207)</f>
        <v>90.195000000000007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6"/>
        <v>198</v>
      </c>
      <c r="B208" s="4"/>
      <c r="I208" s="8"/>
      <c r="J208" s="5" t="str">
        <f t="shared" si="13"/>
        <v/>
      </c>
      <c r="K208" s="3"/>
      <c r="L208" s="3"/>
      <c r="N208" s="3" t="str">
        <f t="shared" si="14"/>
        <v/>
      </c>
      <c r="O208" s="6" t="str">
        <f t="shared" si="15"/>
        <v/>
      </c>
      <c r="P208" s="7">
        <f ca="1">SUMIFS($N$2:$N208,$B$2:$B208,"&lt;&gt;"&amp;B208)+SUM($Q$2:$Q208)</f>
        <v>90.195000000000007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6"/>
        <v>199</v>
      </c>
      <c r="B209" s="4"/>
      <c r="I209" s="8"/>
      <c r="J209" s="5" t="str">
        <f t="shared" si="13"/>
        <v/>
      </c>
      <c r="K209" s="3"/>
      <c r="L209" s="3"/>
      <c r="N209" s="3" t="str">
        <f t="shared" si="14"/>
        <v/>
      </c>
      <c r="O209" s="6" t="str">
        <f t="shared" si="15"/>
        <v/>
      </c>
      <c r="P209" s="7">
        <f ca="1">SUMIFS($N$2:$N209,$B$2:$B209,"&lt;&gt;"&amp;B209)+SUM($Q$2:$Q209)</f>
        <v>90.195000000000007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6"/>
        <v>200</v>
      </c>
      <c r="B210" s="4"/>
      <c r="I210" s="8"/>
      <c r="J210" s="5" t="str">
        <f t="shared" si="13"/>
        <v/>
      </c>
      <c r="K210" s="3"/>
      <c r="L210" s="3"/>
      <c r="N210" s="3" t="str">
        <f t="shared" si="14"/>
        <v/>
      </c>
      <c r="O210" s="6" t="str">
        <f t="shared" si="15"/>
        <v/>
      </c>
      <c r="P210" s="7">
        <f ca="1">SUMIFS($N$2:$N210,$B$2:$B210,"&lt;&gt;"&amp;B210)+SUM($Q$2:$Q210)</f>
        <v>90.195000000000007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6"/>
        <v>201</v>
      </c>
      <c r="B211" s="4"/>
      <c r="I211" s="8"/>
      <c r="J211" s="5" t="str">
        <f t="shared" si="13"/>
        <v/>
      </c>
      <c r="K211" s="3"/>
      <c r="L211" s="3"/>
      <c r="N211" s="3" t="str">
        <f t="shared" si="14"/>
        <v/>
      </c>
      <c r="O211" s="6" t="str">
        <f t="shared" si="15"/>
        <v/>
      </c>
      <c r="P211" s="7">
        <f ca="1">SUMIFS($N$2:$N211,$B$2:$B211,"&lt;&gt;"&amp;B211)+SUM($Q$2:$Q211)</f>
        <v>90.195000000000007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6"/>
        <v>202</v>
      </c>
      <c r="B212" s="4"/>
      <c r="I212" s="8"/>
      <c r="J212" s="5" t="str">
        <f t="shared" si="13"/>
        <v/>
      </c>
      <c r="K212" s="3"/>
      <c r="L212" s="3"/>
      <c r="N212" s="3" t="str">
        <f t="shared" si="14"/>
        <v/>
      </c>
      <c r="O212" s="6" t="str">
        <f t="shared" si="15"/>
        <v/>
      </c>
      <c r="P212" s="7">
        <f ca="1">SUMIFS($N$2:$N212,$B$2:$B212,"&lt;&gt;"&amp;B212)+SUM($Q$2:$Q212)</f>
        <v>90.195000000000007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6"/>
        <v>203</v>
      </c>
      <c r="B213" s="4"/>
      <c r="I213" s="8"/>
      <c r="J213" s="5" t="str">
        <f t="shared" si="13"/>
        <v/>
      </c>
      <c r="K213" s="3"/>
      <c r="L213" s="3"/>
      <c r="N213" s="3" t="str">
        <f t="shared" si="14"/>
        <v/>
      </c>
      <c r="O213" s="6" t="str">
        <f t="shared" si="15"/>
        <v/>
      </c>
      <c r="P213" s="7">
        <f ca="1">SUMIFS($N$2:$N213,$B$2:$B213,"&lt;&gt;"&amp;B213)+SUM($Q$2:$Q213)</f>
        <v>90.195000000000007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6"/>
        <v>204</v>
      </c>
      <c r="B214" s="4"/>
      <c r="I214" s="8"/>
      <c r="J214" s="5" t="str">
        <f t="shared" si="13"/>
        <v/>
      </c>
      <c r="K214" s="3"/>
      <c r="L214" s="3"/>
      <c r="N214" s="3" t="str">
        <f t="shared" si="14"/>
        <v/>
      </c>
      <c r="O214" s="6" t="str">
        <f t="shared" si="15"/>
        <v/>
      </c>
      <c r="P214" s="7">
        <f ca="1">SUMIFS($N$2:$N214,$B$2:$B214,"&lt;&gt;"&amp;B214)+SUM($Q$2:$Q214)</f>
        <v>90.195000000000007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6"/>
        <v>205</v>
      </c>
      <c r="B215" s="4"/>
      <c r="I215" s="8"/>
      <c r="J215" s="5" t="str">
        <f t="shared" si="13"/>
        <v/>
      </c>
      <c r="K215" s="3"/>
      <c r="L215" s="3"/>
      <c r="N215" s="3" t="str">
        <f t="shared" si="14"/>
        <v/>
      </c>
      <c r="O215" s="6" t="str">
        <f t="shared" si="15"/>
        <v/>
      </c>
      <c r="P215" s="7">
        <f ca="1">SUMIFS($N$2:$N215,$B$2:$B215,"&lt;&gt;"&amp;B215)+SUM($Q$2:$Q215)</f>
        <v>90.195000000000007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6"/>
        <v>206</v>
      </c>
      <c r="B216" s="4"/>
      <c r="I216" s="8"/>
      <c r="J216" s="5" t="str">
        <f t="shared" si="13"/>
        <v/>
      </c>
      <c r="K216" s="3"/>
      <c r="L216" s="3"/>
      <c r="N216" s="3" t="str">
        <f t="shared" si="14"/>
        <v/>
      </c>
      <c r="O216" s="6" t="str">
        <f t="shared" si="15"/>
        <v/>
      </c>
      <c r="P216" s="7">
        <f ca="1">SUMIFS($N$2:$N216,$B$2:$B216,"&lt;&gt;"&amp;B216)+SUM($Q$2:$Q216)</f>
        <v>90.195000000000007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6"/>
        <v>207</v>
      </c>
      <c r="B217" s="4"/>
      <c r="I217" s="8"/>
      <c r="J217" s="5" t="str">
        <f t="shared" si="13"/>
        <v/>
      </c>
      <c r="K217" s="3"/>
      <c r="L217" s="3"/>
      <c r="N217" s="3" t="str">
        <f t="shared" si="14"/>
        <v/>
      </c>
      <c r="O217" s="6" t="str">
        <f t="shared" si="15"/>
        <v/>
      </c>
      <c r="P217" s="7">
        <f ca="1">SUMIFS($N$2:$N217,$B$2:$B217,"&lt;&gt;"&amp;B217)+SUM($Q$2:$Q217)</f>
        <v>90.195000000000007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6"/>
        <v>208</v>
      </c>
      <c r="B218" s="4"/>
      <c r="I218" s="8"/>
      <c r="J218" s="5" t="str">
        <f t="shared" si="13"/>
        <v/>
      </c>
      <c r="K218" s="3"/>
      <c r="L218" s="3"/>
      <c r="N218" s="3" t="str">
        <f t="shared" si="14"/>
        <v/>
      </c>
      <c r="O218" s="6" t="str">
        <f t="shared" si="15"/>
        <v/>
      </c>
      <c r="P218" s="7">
        <f ca="1">SUMIFS($N$2:$N218,$B$2:$B218,"&lt;&gt;"&amp;B218)+SUM($Q$2:$Q218)</f>
        <v>90.195000000000007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6"/>
        <v>209</v>
      </c>
      <c r="B219" s="4"/>
      <c r="I219" s="8"/>
      <c r="J219" s="5" t="str">
        <f t="shared" si="13"/>
        <v/>
      </c>
      <c r="K219" s="3"/>
      <c r="L219" s="3"/>
      <c r="N219" s="3" t="str">
        <f t="shared" si="14"/>
        <v/>
      </c>
      <c r="O219" s="6" t="str">
        <f t="shared" si="15"/>
        <v/>
      </c>
      <c r="P219" s="7">
        <f ca="1">SUMIFS($N$2:$N219,$B$2:$B219,"&lt;&gt;"&amp;B219)+SUM($Q$2:$Q219)</f>
        <v>90.195000000000007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6"/>
        <v>210</v>
      </c>
      <c r="B220" s="4"/>
      <c r="I220" s="8"/>
      <c r="J220" s="5" t="str">
        <f t="shared" si="13"/>
        <v/>
      </c>
      <c r="K220" s="3"/>
      <c r="L220" s="3"/>
      <c r="N220" s="3" t="str">
        <f t="shared" si="14"/>
        <v/>
      </c>
      <c r="O220" s="6" t="str">
        <f t="shared" si="15"/>
        <v/>
      </c>
      <c r="P220" s="7">
        <f ca="1">SUMIFS($N$2:$N220,$B$2:$B220,"&lt;&gt;"&amp;B220)+SUM($Q$2:$Q220)</f>
        <v>90.195000000000007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6"/>
        <v>211</v>
      </c>
      <c r="B221" s="4"/>
      <c r="I221" s="8"/>
      <c r="J221" s="5" t="str">
        <f t="shared" si="13"/>
        <v/>
      </c>
      <c r="K221" s="3"/>
      <c r="L221" s="3"/>
      <c r="N221" s="3" t="str">
        <f t="shared" si="14"/>
        <v/>
      </c>
      <c r="O221" s="6" t="str">
        <f t="shared" si="15"/>
        <v/>
      </c>
      <c r="P221" s="7">
        <f ca="1">SUMIFS($N$2:$N221,$B$2:$B221,"&lt;&gt;"&amp;B221)+SUM($Q$2:$Q221)</f>
        <v>90.195000000000007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6"/>
        <v>212</v>
      </c>
      <c r="B222" s="4"/>
      <c r="I222" s="8"/>
      <c r="J222" s="5" t="str">
        <f t="shared" si="13"/>
        <v/>
      </c>
      <c r="K222" s="3"/>
      <c r="L222" s="3"/>
      <c r="N222" s="3" t="str">
        <f t="shared" si="14"/>
        <v/>
      </c>
      <c r="O222" s="6" t="str">
        <f t="shared" si="15"/>
        <v/>
      </c>
      <c r="P222" s="7">
        <f ca="1">SUMIFS($N$2:$N222,$B$2:$B222,"&lt;&gt;"&amp;B222)+SUM($Q$2:$Q222)</f>
        <v>90.195000000000007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6"/>
        <v>213</v>
      </c>
      <c r="B223" s="4"/>
      <c r="I223" s="8"/>
      <c r="J223" s="5" t="str">
        <f t="shared" si="13"/>
        <v/>
      </c>
      <c r="K223" s="3"/>
      <c r="L223" s="3"/>
      <c r="N223" s="3" t="str">
        <f t="shared" si="14"/>
        <v/>
      </c>
      <c r="O223" s="6" t="str">
        <f t="shared" si="15"/>
        <v/>
      </c>
      <c r="P223" s="7">
        <f ca="1">SUMIFS($N$2:$N223,$B$2:$B223,"&lt;&gt;"&amp;B223)+SUM($Q$2:$Q223)</f>
        <v>90.195000000000007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6"/>
        <v>214</v>
      </c>
      <c r="B224" s="4"/>
      <c r="I224" s="8"/>
      <c r="J224" s="5" t="str">
        <f t="shared" si="13"/>
        <v/>
      </c>
      <c r="K224" s="3"/>
      <c r="L224" s="3"/>
      <c r="N224" s="3" t="str">
        <f t="shared" si="14"/>
        <v/>
      </c>
      <c r="O224" s="6" t="str">
        <f t="shared" si="15"/>
        <v/>
      </c>
      <c r="P224" s="7">
        <f ca="1">SUMIFS($N$2:$N224,$B$2:$B224,"&lt;&gt;"&amp;B224)+SUM($Q$2:$Q224)</f>
        <v>90.195000000000007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6"/>
        <v>215</v>
      </c>
      <c r="B225" s="4"/>
      <c r="I225" s="8"/>
      <c r="J225" s="5" t="str">
        <f t="shared" si="13"/>
        <v/>
      </c>
      <c r="K225" s="3"/>
      <c r="L225" s="3"/>
      <c r="N225" s="3" t="str">
        <f t="shared" si="14"/>
        <v/>
      </c>
      <c r="O225" s="6" t="str">
        <f t="shared" si="15"/>
        <v/>
      </c>
      <c r="P225" s="7">
        <f ca="1">SUMIFS($N$2:$N225,$B$2:$B225,"&lt;&gt;"&amp;B225)+SUM($Q$2:$Q225)</f>
        <v>90.195000000000007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si="16"/>
        <v>216</v>
      </c>
      <c r="B226" s="4"/>
      <c r="I226" s="8"/>
      <c r="J226" s="5" t="str">
        <f t="shared" si="13"/>
        <v/>
      </c>
      <c r="K226" s="3"/>
      <c r="L226" s="3"/>
      <c r="N226" s="3" t="str">
        <f t="shared" si="14"/>
        <v/>
      </c>
      <c r="O226" s="6" t="str">
        <f t="shared" si="15"/>
        <v/>
      </c>
      <c r="P226" s="7">
        <f ca="1">SUMIFS($N$2:$N226,$B$2:$B226,"&lt;&gt;"&amp;B226)+SUM($Q$2:$Q226)</f>
        <v>90.195000000000007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16"/>
        <v>217</v>
      </c>
      <c r="B227" s="4"/>
      <c r="I227" s="8"/>
      <c r="J227" s="5" t="str">
        <f t="shared" si="13"/>
        <v/>
      </c>
      <c r="K227" s="3"/>
      <c r="L227" s="3"/>
      <c r="N227" s="3" t="str">
        <f t="shared" si="14"/>
        <v/>
      </c>
      <c r="O227" s="6" t="str">
        <f t="shared" si="15"/>
        <v/>
      </c>
      <c r="P227" s="7">
        <f ca="1">SUMIFS($N$2:$N227,$B$2:$B227,"&lt;&gt;"&amp;B227)+SUM($Q$2:$Q227)</f>
        <v>90.195000000000007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16"/>
        <v>218</v>
      </c>
      <c r="B228" s="4"/>
      <c r="I228" s="8"/>
      <c r="J228" s="5" t="str">
        <f t="shared" si="13"/>
        <v/>
      </c>
      <c r="K228" s="3"/>
      <c r="L228" s="3"/>
      <c r="N228" s="3" t="str">
        <f t="shared" si="14"/>
        <v/>
      </c>
      <c r="O228" s="6" t="str">
        <f t="shared" si="15"/>
        <v/>
      </c>
      <c r="P228" s="7">
        <f ca="1">SUMIFS($N$2:$N228,$B$2:$B228,"&lt;&gt;"&amp;B228)+SUM($Q$2:$Q228)</f>
        <v>90.195000000000007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16"/>
        <v>219</v>
      </c>
      <c r="B229" s="4"/>
      <c r="I229" s="8"/>
      <c r="J229" s="5" t="str">
        <f t="shared" si="13"/>
        <v/>
      </c>
      <c r="K229" s="3"/>
      <c r="L229" s="3"/>
      <c r="N229" s="3" t="str">
        <f t="shared" si="14"/>
        <v/>
      </c>
      <c r="O229" s="6" t="str">
        <f t="shared" si="15"/>
        <v/>
      </c>
      <c r="P229" s="7">
        <f ca="1">SUMIFS($N$2:$N229,$B$2:$B229,"&lt;&gt;"&amp;B229)+SUM($Q$2:$Q229)</f>
        <v>90.195000000000007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16"/>
        <v>220</v>
      </c>
      <c r="B230" s="4"/>
      <c r="I230" s="8"/>
      <c r="J230" s="5" t="str">
        <f t="shared" si="13"/>
        <v/>
      </c>
      <c r="K230" s="3"/>
      <c r="L230" s="3"/>
      <c r="N230" s="3" t="str">
        <f t="shared" si="14"/>
        <v/>
      </c>
      <c r="O230" s="6" t="str">
        <f t="shared" si="15"/>
        <v/>
      </c>
      <c r="P230" s="7">
        <f ca="1">SUMIFS($N$2:$N230,$B$2:$B230,"&lt;&gt;"&amp;B230)+SUM($Q$2:$Q230)</f>
        <v>90.195000000000007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16"/>
        <v>221</v>
      </c>
      <c r="B231" s="4"/>
      <c r="I231" s="8"/>
      <c r="J231" s="5" t="str">
        <f t="shared" si="13"/>
        <v/>
      </c>
      <c r="K231" s="3"/>
      <c r="L231" s="3"/>
      <c r="N231" s="3" t="str">
        <f t="shared" si="14"/>
        <v/>
      </c>
      <c r="O231" s="6" t="str">
        <f t="shared" si="15"/>
        <v/>
      </c>
      <c r="P231" s="7">
        <f ca="1">SUMIFS($N$2:$N231,$B$2:$B231,"&lt;&gt;"&amp;B231)+SUM($Q$2:$Q231)</f>
        <v>90.195000000000007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16"/>
        <v>222</v>
      </c>
      <c r="B232" s="4"/>
      <c r="I232" s="8"/>
      <c r="J232" s="5" t="str">
        <f t="shared" si="13"/>
        <v/>
      </c>
      <c r="K232" s="3"/>
      <c r="L232" s="3"/>
      <c r="N232" s="3" t="str">
        <f t="shared" si="14"/>
        <v/>
      </c>
      <c r="O232" s="6" t="str">
        <f t="shared" si="15"/>
        <v/>
      </c>
      <c r="P232" s="7">
        <f ca="1">SUMIFS($N$2:$N232,$B$2:$B232,"&lt;&gt;"&amp;B232)+SUM($Q$2:$Q232)</f>
        <v>90.195000000000007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16"/>
        <v>223</v>
      </c>
      <c r="B233" s="4"/>
      <c r="I233" s="8"/>
      <c r="J233" s="5" t="str">
        <f t="shared" si="13"/>
        <v/>
      </c>
      <c r="K233" s="3"/>
      <c r="L233" s="3"/>
      <c r="N233" s="3" t="str">
        <f t="shared" si="14"/>
        <v/>
      </c>
      <c r="O233" s="6" t="str">
        <f t="shared" si="15"/>
        <v/>
      </c>
      <c r="P233" s="7">
        <f ca="1">SUMIFS($N$2:$N233,$B$2:$B233,"&lt;&gt;"&amp;B233)+SUM($Q$2:$Q233)</f>
        <v>90.195000000000007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16"/>
        <v>224</v>
      </c>
      <c r="B234" s="4"/>
      <c r="I234" s="8"/>
      <c r="J234" s="5" t="str">
        <f t="shared" si="13"/>
        <v/>
      </c>
      <c r="K234" s="3"/>
      <c r="L234" s="3"/>
      <c r="N234" s="3" t="str">
        <f t="shared" si="14"/>
        <v/>
      </c>
      <c r="O234" s="6" t="str">
        <f t="shared" si="15"/>
        <v/>
      </c>
      <c r="P234" s="7">
        <f ca="1">SUMIFS($N$2:$N234,$B$2:$B234,"&lt;&gt;"&amp;B234)+SUM($Q$2:$Q234)</f>
        <v>90.195000000000007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16"/>
        <v>225</v>
      </c>
      <c r="B235" s="4"/>
      <c r="I235" s="8"/>
      <c r="J235" s="5" t="str">
        <f t="shared" si="13"/>
        <v/>
      </c>
      <c r="K235" s="3"/>
      <c r="L235" s="3"/>
      <c r="N235" s="3" t="str">
        <f t="shared" si="14"/>
        <v/>
      </c>
      <c r="O235" s="6" t="str">
        <f t="shared" si="15"/>
        <v/>
      </c>
      <c r="P235" s="7">
        <f ca="1">SUMIFS($N$2:$N235,$B$2:$B235,"&lt;&gt;"&amp;B235)+SUM($Q$2:$Q235)</f>
        <v>90.195000000000007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16"/>
        <v>226</v>
      </c>
      <c r="B236" s="4"/>
      <c r="I236" s="8"/>
      <c r="J236" s="5" t="str">
        <f t="shared" si="13"/>
        <v/>
      </c>
      <c r="K236" s="3"/>
      <c r="L236" s="3"/>
      <c r="N236" s="3" t="str">
        <f t="shared" si="14"/>
        <v/>
      </c>
      <c r="O236" s="6" t="str">
        <f t="shared" si="15"/>
        <v/>
      </c>
      <c r="P236" s="7">
        <f ca="1">SUMIFS($N$2:$N236,$B$2:$B236,"&lt;&gt;"&amp;B236)+SUM($Q$2:$Q236)</f>
        <v>90.195000000000007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16"/>
        <v>227</v>
      </c>
      <c r="B237" s="4"/>
      <c r="I237" s="8"/>
      <c r="J237" s="5" t="str">
        <f t="shared" si="13"/>
        <v/>
      </c>
      <c r="K237" s="3"/>
      <c r="L237" s="3"/>
      <c r="N237" s="3" t="str">
        <f t="shared" si="14"/>
        <v/>
      </c>
      <c r="O237" s="6" t="str">
        <f t="shared" si="15"/>
        <v/>
      </c>
      <c r="P237" s="7">
        <f ca="1">SUMIFS($N$2:$N237,$B$2:$B237,"&lt;&gt;"&amp;B237)+SUM($Q$2:$Q237)</f>
        <v>90.195000000000007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16"/>
        <v>228</v>
      </c>
      <c r="B238" s="4"/>
      <c r="I238" s="8"/>
      <c r="J238" s="5" t="str">
        <f t="shared" si="13"/>
        <v/>
      </c>
      <c r="K238" s="3"/>
      <c r="L238" s="3"/>
      <c r="N238" s="3" t="str">
        <f t="shared" si="14"/>
        <v/>
      </c>
      <c r="O238" s="6" t="str">
        <f t="shared" si="15"/>
        <v/>
      </c>
      <c r="P238" s="7">
        <f ca="1">SUMIFS($N$2:$N238,$B$2:$B238,"&lt;&gt;"&amp;B238)+SUM($Q$2:$Q238)</f>
        <v>90.195000000000007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16"/>
        <v>229</v>
      </c>
      <c r="B239" s="4"/>
      <c r="I239" s="8"/>
      <c r="J239" s="5" t="str">
        <f t="shared" si="13"/>
        <v/>
      </c>
      <c r="K239" s="3"/>
      <c r="L239" s="3"/>
      <c r="N239" s="3" t="str">
        <f t="shared" si="14"/>
        <v/>
      </c>
      <c r="O239" s="6" t="str">
        <f t="shared" si="15"/>
        <v/>
      </c>
      <c r="P239" s="7">
        <f ca="1">SUMIFS($N$2:$N239,$B$2:$B239,"&lt;&gt;"&amp;B239)+SUM($Q$2:$Q239)</f>
        <v>90.195000000000007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16"/>
        <v>230</v>
      </c>
      <c r="B240" s="4"/>
      <c r="I240" s="8"/>
      <c r="J240" s="5" t="str">
        <f t="shared" si="13"/>
        <v/>
      </c>
      <c r="K240" s="3"/>
      <c r="L240" s="3"/>
      <c r="N240" s="3" t="str">
        <f t="shared" si="14"/>
        <v/>
      </c>
      <c r="O240" s="6" t="str">
        <f t="shared" si="15"/>
        <v/>
      </c>
      <c r="P240" s="7">
        <f ca="1">SUMIFS($N$2:$N240,$B$2:$B240,"&lt;&gt;"&amp;B240)+SUM($Q$2:$Q240)</f>
        <v>90.195000000000007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16"/>
        <v>231</v>
      </c>
      <c r="B241" s="4"/>
      <c r="I241" s="8"/>
      <c r="J241" s="5" t="str">
        <f t="shared" si="13"/>
        <v/>
      </c>
      <c r="K241" s="3"/>
      <c r="L241" s="3"/>
      <c r="N241" s="3" t="str">
        <f t="shared" si="14"/>
        <v/>
      </c>
      <c r="O241" s="6" t="str">
        <f t="shared" si="15"/>
        <v/>
      </c>
      <c r="P241" s="7">
        <f ca="1">SUMIFS($N$2:$N241,$B$2:$B241,"&lt;&gt;"&amp;B241)+SUM($Q$2:$Q241)</f>
        <v>90.195000000000007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16"/>
        <v>232</v>
      </c>
      <c r="B242" s="4"/>
      <c r="I242" s="8"/>
      <c r="J242" s="5" t="str">
        <f t="shared" si="13"/>
        <v/>
      </c>
      <c r="K242" s="3"/>
      <c r="L242" s="3"/>
      <c r="N242" s="3" t="str">
        <f t="shared" si="14"/>
        <v/>
      </c>
      <c r="O242" s="6" t="str">
        <f t="shared" si="15"/>
        <v/>
      </c>
      <c r="P242" s="7">
        <f ca="1">SUMIFS($N$2:$N242,$B$2:$B242,"&lt;&gt;"&amp;B242)+SUM($Q$2:$Q242)</f>
        <v>90.195000000000007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16"/>
        <v>233</v>
      </c>
      <c r="B243" s="4"/>
      <c r="I243" s="8"/>
      <c r="J243" s="5" t="str">
        <f t="shared" si="13"/>
        <v/>
      </c>
      <c r="K243" s="3"/>
      <c r="L243" s="3"/>
      <c r="N243" s="3" t="str">
        <f t="shared" si="14"/>
        <v/>
      </c>
      <c r="O243" s="6" t="str">
        <f t="shared" si="15"/>
        <v/>
      </c>
      <c r="P243" s="7">
        <f ca="1">SUMIFS($N$2:$N243,$B$2:$B243,"&lt;&gt;"&amp;B243)+SUM($Q$2:$Q243)</f>
        <v>90.195000000000007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16"/>
        <v>234</v>
      </c>
      <c r="B244" s="4"/>
      <c r="I244" s="8"/>
      <c r="J244" s="5" t="str">
        <f t="shared" si="13"/>
        <v/>
      </c>
      <c r="K244" s="3"/>
      <c r="L244" s="3"/>
      <c r="N244" s="3" t="str">
        <f t="shared" si="14"/>
        <v/>
      </c>
      <c r="O244" s="6" t="str">
        <f t="shared" si="15"/>
        <v/>
      </c>
      <c r="P244" s="7">
        <f ca="1">SUMIFS($N$2:$N244,$B$2:$B244,"&lt;&gt;"&amp;B244)+SUM($Q$2:$Q244)</f>
        <v>90.195000000000007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16"/>
        <v>235</v>
      </c>
      <c r="B245" s="4"/>
      <c r="I245" s="8"/>
      <c r="J245" s="5" t="str">
        <f t="shared" si="13"/>
        <v/>
      </c>
      <c r="K245" s="3"/>
      <c r="L245" s="3"/>
      <c r="N245" s="3" t="str">
        <f t="shared" si="14"/>
        <v/>
      </c>
      <c r="O245" s="6" t="str">
        <f t="shared" si="15"/>
        <v/>
      </c>
      <c r="P245" s="7">
        <f ca="1">SUMIFS($N$2:$N245,$B$2:$B245,"&lt;&gt;"&amp;B245)+SUM($Q$2:$Q245)</f>
        <v>90.195000000000007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16"/>
        <v>236</v>
      </c>
      <c r="B246" s="4"/>
      <c r="I246" s="8"/>
      <c r="J246" s="5" t="str">
        <f t="shared" si="13"/>
        <v/>
      </c>
      <c r="K246" s="3"/>
      <c r="L246" s="3"/>
      <c r="N246" s="3" t="str">
        <f t="shared" si="14"/>
        <v/>
      </c>
      <c r="O246" s="6" t="str">
        <f t="shared" si="15"/>
        <v/>
      </c>
      <c r="P246" s="7">
        <f ca="1">SUMIFS($N$2:$N246,$B$2:$B246,"&lt;&gt;"&amp;B246)+SUM($Q$2:$Q246)</f>
        <v>90.195000000000007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16"/>
        <v>237</v>
      </c>
      <c r="B247" s="4"/>
      <c r="I247" s="8"/>
      <c r="J247" s="5" t="str">
        <f t="shared" si="13"/>
        <v/>
      </c>
      <c r="K247" s="3"/>
      <c r="L247" s="3"/>
      <c r="N247" s="3" t="str">
        <f t="shared" si="14"/>
        <v/>
      </c>
      <c r="O247" s="6" t="str">
        <f t="shared" si="15"/>
        <v/>
      </c>
      <c r="P247" s="7">
        <f ca="1">SUMIFS($N$2:$N247,$B$2:$B247,"&lt;&gt;"&amp;B247)+SUM($Q$2:$Q247)</f>
        <v>90.195000000000007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16"/>
        <v>238</v>
      </c>
      <c r="B248" s="4"/>
      <c r="I248" s="8"/>
      <c r="J248" s="5" t="str">
        <f t="shared" si="13"/>
        <v/>
      </c>
      <c r="K248" s="3"/>
      <c r="L248" s="3"/>
      <c r="N248" s="3" t="str">
        <f t="shared" si="14"/>
        <v/>
      </c>
      <c r="O248" s="6" t="str">
        <f t="shared" si="15"/>
        <v/>
      </c>
      <c r="P248" s="7">
        <f ca="1">SUMIFS($N$2:$N248,$B$2:$B248,"&lt;&gt;"&amp;B248)+SUM($Q$2:$Q248)</f>
        <v>90.195000000000007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16"/>
        <v>239</v>
      </c>
      <c r="B249" s="4"/>
      <c r="I249" s="8"/>
      <c r="J249" s="5" t="str">
        <f t="shared" si="13"/>
        <v/>
      </c>
      <c r="K249" s="3"/>
      <c r="L249" s="3"/>
      <c r="N249" s="3" t="str">
        <f t="shared" si="14"/>
        <v/>
      </c>
      <c r="O249" s="6" t="str">
        <f t="shared" si="15"/>
        <v/>
      </c>
      <c r="P249" s="7">
        <f ca="1">SUMIFS($N$2:$N249,$B$2:$B249,"&lt;&gt;"&amp;B249)+SUM($Q$2:$Q249)</f>
        <v>90.195000000000007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16"/>
        <v>240</v>
      </c>
      <c r="B250" s="4"/>
      <c r="I250" s="8"/>
      <c r="J250" s="5" t="str">
        <f t="shared" si="13"/>
        <v/>
      </c>
      <c r="K250" s="3"/>
      <c r="L250" s="3"/>
      <c r="N250" s="3" t="str">
        <f t="shared" si="14"/>
        <v/>
      </c>
      <c r="O250" s="6" t="str">
        <f t="shared" si="15"/>
        <v/>
      </c>
      <c r="P250" s="7">
        <f ca="1">SUMIFS($N$2:$N250,$B$2:$B250,"&lt;&gt;"&amp;B250)+SUM($Q$2:$Q250)</f>
        <v>90.195000000000007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16"/>
        <v>241</v>
      </c>
      <c r="B251" s="4"/>
      <c r="I251" s="8"/>
      <c r="J251" s="5" t="str">
        <f t="shared" si="13"/>
        <v/>
      </c>
      <c r="K251" s="3"/>
      <c r="L251" s="3"/>
      <c r="N251" s="3" t="str">
        <f t="shared" si="14"/>
        <v/>
      </c>
      <c r="O251" s="6" t="str">
        <f t="shared" si="15"/>
        <v/>
      </c>
      <c r="P251" s="7">
        <f ca="1">SUMIFS($N$2:$N251,$B$2:$B251,"&lt;&gt;"&amp;B251)+SUM($Q$2:$Q251)</f>
        <v>90.195000000000007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16"/>
        <v>242</v>
      </c>
      <c r="B252" s="4"/>
      <c r="I252" s="8"/>
      <c r="J252" s="5" t="str">
        <f t="shared" si="13"/>
        <v/>
      </c>
      <c r="K252" s="3"/>
      <c r="L252" s="3"/>
      <c r="N252" s="3" t="str">
        <f t="shared" si="14"/>
        <v/>
      </c>
      <c r="O252" s="6" t="str">
        <f t="shared" si="15"/>
        <v/>
      </c>
      <c r="P252" s="7">
        <f ca="1">SUMIFS($N$2:$N252,$B$2:$B252,"&lt;&gt;"&amp;B252)+SUM($Q$2:$Q252)</f>
        <v>90.195000000000007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16"/>
        <v>243</v>
      </c>
      <c r="B253" s="4"/>
      <c r="I253" s="8"/>
      <c r="J253" s="5" t="str">
        <f t="shared" si="13"/>
        <v/>
      </c>
      <c r="K253" s="3"/>
      <c r="L253" s="3"/>
      <c r="N253" s="3" t="str">
        <f t="shared" si="14"/>
        <v/>
      </c>
      <c r="O253" s="6" t="str">
        <f t="shared" si="15"/>
        <v/>
      </c>
      <c r="P253" s="7">
        <f ca="1">SUMIFS($N$2:$N253,$B$2:$B253,"&lt;&gt;"&amp;B253)+SUM($Q$2:$Q253)</f>
        <v>90.195000000000007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16"/>
        <v>244</v>
      </c>
      <c r="B254" s="4"/>
      <c r="I254" s="8"/>
      <c r="J254" s="5" t="str">
        <f t="shared" si="13"/>
        <v/>
      </c>
      <c r="K254" s="3"/>
      <c r="L254" s="3"/>
      <c r="N254" s="3" t="str">
        <f t="shared" si="14"/>
        <v/>
      </c>
      <c r="O254" s="6" t="str">
        <f t="shared" si="15"/>
        <v/>
      </c>
      <c r="P254" s="7">
        <f ca="1">SUMIFS($N$2:$N254,$B$2:$B254,"&lt;&gt;"&amp;B254)+SUM($Q$2:$Q254)</f>
        <v>90.195000000000007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16"/>
        <v>245</v>
      </c>
      <c r="B255" s="4"/>
      <c r="I255" s="8"/>
      <c r="J255" s="5" t="str">
        <f t="shared" si="13"/>
        <v/>
      </c>
      <c r="K255" s="3"/>
      <c r="L255" s="3"/>
      <c r="N255" s="3" t="str">
        <f t="shared" si="14"/>
        <v/>
      </c>
      <c r="O255" s="6" t="str">
        <f t="shared" si="15"/>
        <v/>
      </c>
      <c r="P255" s="7">
        <f ca="1">SUMIFS($N$2:$N255,$B$2:$B255,"&lt;&gt;"&amp;B255)+SUM($Q$2:$Q255)</f>
        <v>90.195000000000007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16"/>
        <v>246</v>
      </c>
      <c r="B256" s="4"/>
      <c r="I256" s="8"/>
      <c r="J256" s="5" t="str">
        <f t="shared" si="13"/>
        <v/>
      </c>
      <c r="K256" s="3"/>
      <c r="L256" s="3"/>
      <c r="N256" s="3" t="str">
        <f t="shared" si="14"/>
        <v/>
      </c>
      <c r="O256" s="6" t="str">
        <f t="shared" si="15"/>
        <v/>
      </c>
      <c r="P256" s="7">
        <f ca="1">SUMIFS($N$2:$N256,$B$2:$B256,"&lt;&gt;"&amp;B256)+SUM($Q$2:$Q256)</f>
        <v>90.195000000000007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16"/>
        <v>247</v>
      </c>
      <c r="B257" s="4"/>
      <c r="I257" s="8"/>
      <c r="J257" s="5" t="str">
        <f t="shared" si="13"/>
        <v/>
      </c>
      <c r="K257" s="3"/>
      <c r="L257" s="3"/>
      <c r="N257" s="3" t="str">
        <f t="shared" si="14"/>
        <v/>
      </c>
      <c r="O257" s="6" t="str">
        <f t="shared" si="15"/>
        <v/>
      </c>
      <c r="P257" s="7">
        <f ca="1">SUMIFS($N$2:$N257,$B$2:$B257,"&lt;&gt;"&amp;B257)+SUM($Q$2:$Q257)</f>
        <v>90.195000000000007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16"/>
        <v>248</v>
      </c>
      <c r="B258" s="4"/>
      <c r="I258" s="8"/>
      <c r="J258" s="5" t="str">
        <f t="shared" ref="J258:J300" si="17">IF(I258="", "", IF(I258&gt;0, I258/100 +1, -100/I258 +1))</f>
        <v/>
      </c>
      <c r="K258" s="3"/>
      <c r="L258" s="3"/>
      <c r="N258" s="3" t="str">
        <f t="shared" ref="N258:N300" si="18">IF(L258 = "", "", IF(M258="", "", IF(M258="Draw", 0, IF(M258="win", L258, -1*K258))))</f>
        <v/>
      </c>
      <c r="O258" s="6" t="str">
        <f t="shared" ref="O258:O300" si="19">IFERROR(K258/VLOOKUP(_xlfn.MINIFS(A:A,B:B,B258,C:C,C258),A:P,16),"")</f>
        <v/>
      </c>
      <c r="P258" s="7">
        <f ca="1">SUMIFS($N$2:$N258,$B$2:$B258,"&lt;&gt;"&amp;B258)+SUM($Q$2:$Q258)</f>
        <v>90.195000000000007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ref="A259:A322" si="20">IF(AND(B259="", D259&lt;&gt;""), A258, A258+1)</f>
        <v>249</v>
      </c>
      <c r="B259" s="4"/>
      <c r="I259" s="8"/>
      <c r="J259" s="5" t="str">
        <f t="shared" si="17"/>
        <v/>
      </c>
      <c r="K259" s="3"/>
      <c r="L259" s="3"/>
      <c r="N259" s="3" t="str">
        <f t="shared" si="18"/>
        <v/>
      </c>
      <c r="O259" s="6" t="str">
        <f t="shared" si="19"/>
        <v/>
      </c>
      <c r="P259" s="7">
        <f ca="1">SUMIFS($N$2:$N259,$B$2:$B259,"&lt;&gt;"&amp;B259)+SUM($Q$2:$Q259)</f>
        <v>90.195000000000007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0"/>
        <v>250</v>
      </c>
      <c r="B260" s="4"/>
      <c r="I260" s="8"/>
      <c r="J260" s="5" t="str">
        <f t="shared" si="17"/>
        <v/>
      </c>
      <c r="K260" s="3"/>
      <c r="L260" s="3"/>
      <c r="N260" s="3" t="str">
        <f t="shared" si="18"/>
        <v/>
      </c>
      <c r="O260" s="6" t="str">
        <f t="shared" si="19"/>
        <v/>
      </c>
      <c r="P260" s="7">
        <f ca="1">SUMIFS($N$2:$N260,$B$2:$B260,"&lt;&gt;"&amp;B260)+SUM($Q$2:$Q260)</f>
        <v>90.195000000000007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0"/>
        <v>251</v>
      </c>
      <c r="B261" s="4"/>
      <c r="I261" s="8"/>
      <c r="J261" s="5" t="str">
        <f t="shared" si="17"/>
        <v/>
      </c>
      <c r="K261" s="3"/>
      <c r="L261" s="3"/>
      <c r="N261" s="3" t="str">
        <f t="shared" si="18"/>
        <v/>
      </c>
      <c r="O261" s="6" t="str">
        <f t="shared" si="19"/>
        <v/>
      </c>
      <c r="P261" s="7">
        <f ca="1">SUMIFS($N$2:$N261,$B$2:$B261,"&lt;&gt;"&amp;B261)+SUM($Q$2:$Q261)</f>
        <v>90.195000000000007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0"/>
        <v>252</v>
      </c>
      <c r="B262" s="4"/>
      <c r="I262" s="8"/>
      <c r="J262" s="5" t="str">
        <f t="shared" si="17"/>
        <v/>
      </c>
      <c r="K262" s="3"/>
      <c r="L262" s="3"/>
      <c r="N262" s="3" t="str">
        <f t="shared" si="18"/>
        <v/>
      </c>
      <c r="O262" s="6" t="str">
        <f t="shared" si="19"/>
        <v/>
      </c>
      <c r="P262" s="7">
        <f ca="1">SUMIFS($N$2:$N262,$B$2:$B262,"&lt;&gt;"&amp;B262)+SUM($Q$2:$Q262)</f>
        <v>90.195000000000007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0"/>
        <v>253</v>
      </c>
      <c r="B263" s="4"/>
      <c r="I263" s="8"/>
      <c r="J263" s="5" t="str">
        <f t="shared" si="17"/>
        <v/>
      </c>
      <c r="K263" s="3"/>
      <c r="L263" s="3"/>
      <c r="N263" s="3" t="str">
        <f t="shared" si="18"/>
        <v/>
      </c>
      <c r="O263" s="6" t="str">
        <f t="shared" si="19"/>
        <v/>
      </c>
      <c r="P263" s="7">
        <f ca="1">SUMIFS($N$2:$N263,$B$2:$B263,"&lt;&gt;"&amp;B263)+SUM($Q$2:$Q263)</f>
        <v>90.195000000000007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0"/>
        <v>254</v>
      </c>
      <c r="B264" s="4"/>
      <c r="I264" s="8"/>
      <c r="J264" s="5" t="str">
        <f t="shared" si="17"/>
        <v/>
      </c>
      <c r="K264" s="3"/>
      <c r="L264" s="3"/>
      <c r="N264" s="3" t="str">
        <f t="shared" si="18"/>
        <v/>
      </c>
      <c r="O264" s="6" t="str">
        <f t="shared" si="19"/>
        <v/>
      </c>
      <c r="P264" s="7">
        <f ca="1">SUMIFS($N$2:$N264,$B$2:$B264,"&lt;&gt;"&amp;B264)+SUM($Q$2:$Q264)</f>
        <v>90.195000000000007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0"/>
        <v>255</v>
      </c>
      <c r="B265" s="4"/>
      <c r="I265" s="8"/>
      <c r="J265" s="5" t="str">
        <f t="shared" si="17"/>
        <v/>
      </c>
      <c r="K265" s="3"/>
      <c r="L265" s="3"/>
      <c r="N265" s="3" t="str">
        <f t="shared" si="18"/>
        <v/>
      </c>
      <c r="O265" s="6" t="str">
        <f t="shared" si="19"/>
        <v/>
      </c>
      <c r="P265" s="7">
        <f ca="1">SUMIFS($N$2:$N265,$B$2:$B265,"&lt;&gt;"&amp;B265)+SUM($Q$2:$Q265)</f>
        <v>90.195000000000007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0"/>
        <v>256</v>
      </c>
      <c r="B266" s="4"/>
      <c r="I266" s="8"/>
      <c r="J266" s="5" t="str">
        <f t="shared" si="17"/>
        <v/>
      </c>
      <c r="K266" s="3"/>
      <c r="L266" s="3"/>
      <c r="N266" s="3" t="str">
        <f t="shared" si="18"/>
        <v/>
      </c>
      <c r="O266" s="6" t="str">
        <f t="shared" si="19"/>
        <v/>
      </c>
      <c r="P266" s="7">
        <f ca="1">SUMIFS($N$2:$N266,$B$2:$B266,"&lt;&gt;"&amp;B266)+SUM($Q$2:$Q266)</f>
        <v>90.195000000000007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0"/>
        <v>257</v>
      </c>
      <c r="B267" s="4"/>
      <c r="I267" s="8"/>
      <c r="J267" s="5" t="str">
        <f t="shared" si="17"/>
        <v/>
      </c>
      <c r="K267" s="3"/>
      <c r="L267" s="3"/>
      <c r="N267" s="3" t="str">
        <f t="shared" si="18"/>
        <v/>
      </c>
      <c r="O267" s="6" t="str">
        <f t="shared" si="19"/>
        <v/>
      </c>
      <c r="P267" s="7">
        <f ca="1">SUMIFS($N$2:$N267,$B$2:$B267,"&lt;&gt;"&amp;B267)+SUM($Q$2:$Q267)</f>
        <v>90.195000000000007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0"/>
        <v>258</v>
      </c>
      <c r="B268" s="4"/>
      <c r="I268" s="8"/>
      <c r="J268" s="5" t="str">
        <f t="shared" si="17"/>
        <v/>
      </c>
      <c r="K268" s="3"/>
      <c r="L268" s="3"/>
      <c r="N268" s="3" t="str">
        <f t="shared" si="18"/>
        <v/>
      </c>
      <c r="O268" s="6" t="str">
        <f t="shared" si="19"/>
        <v/>
      </c>
      <c r="P268" s="7">
        <f ca="1">SUMIFS($N$2:$N268,$B$2:$B268,"&lt;&gt;"&amp;B268)+SUM($Q$2:$Q268)</f>
        <v>90.195000000000007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0"/>
        <v>259</v>
      </c>
      <c r="B269" s="4"/>
      <c r="I269" s="8"/>
      <c r="J269" s="5" t="str">
        <f t="shared" si="17"/>
        <v/>
      </c>
      <c r="K269" s="3"/>
      <c r="L269" s="3"/>
      <c r="N269" s="3" t="str">
        <f t="shared" si="18"/>
        <v/>
      </c>
      <c r="O269" s="6" t="str">
        <f t="shared" si="19"/>
        <v/>
      </c>
      <c r="P269" s="7">
        <f ca="1">SUMIFS($N$2:$N269,$B$2:$B269,"&lt;&gt;"&amp;B269)+SUM($Q$2:$Q269)</f>
        <v>90.195000000000007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0"/>
        <v>260</v>
      </c>
      <c r="B270" s="4"/>
      <c r="I270" s="8"/>
      <c r="J270" s="5" t="str">
        <f t="shared" si="17"/>
        <v/>
      </c>
      <c r="K270" s="3"/>
      <c r="L270" s="3"/>
      <c r="N270" s="3" t="str">
        <f t="shared" si="18"/>
        <v/>
      </c>
      <c r="O270" s="6" t="str">
        <f t="shared" si="19"/>
        <v/>
      </c>
      <c r="P270" s="7">
        <f ca="1">SUMIFS($N$2:$N270,$B$2:$B270,"&lt;&gt;"&amp;B270)+SUM($Q$2:$Q270)</f>
        <v>90.195000000000007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0"/>
        <v>261</v>
      </c>
      <c r="B271" s="4"/>
      <c r="I271" s="8"/>
      <c r="J271" s="5" t="str">
        <f t="shared" si="17"/>
        <v/>
      </c>
      <c r="K271" s="3"/>
      <c r="L271" s="3"/>
      <c r="N271" s="3" t="str">
        <f t="shared" si="18"/>
        <v/>
      </c>
      <c r="O271" s="6" t="str">
        <f t="shared" si="19"/>
        <v/>
      </c>
      <c r="P271" s="7">
        <f ca="1">SUMIFS($N$2:$N271,$B$2:$B271,"&lt;&gt;"&amp;B271)+SUM($Q$2:$Q271)</f>
        <v>90.195000000000007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0"/>
        <v>262</v>
      </c>
      <c r="B272" s="4"/>
      <c r="I272" s="8"/>
      <c r="J272" s="5" t="str">
        <f t="shared" si="17"/>
        <v/>
      </c>
      <c r="K272" s="3"/>
      <c r="L272" s="3"/>
      <c r="N272" s="3" t="str">
        <f t="shared" si="18"/>
        <v/>
      </c>
      <c r="O272" s="6" t="str">
        <f t="shared" si="19"/>
        <v/>
      </c>
      <c r="P272" s="7">
        <f ca="1">SUMIFS($N$2:$N272,$B$2:$B272,"&lt;&gt;"&amp;B272)+SUM($Q$2:$Q272)</f>
        <v>90.195000000000007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0"/>
        <v>263</v>
      </c>
      <c r="B273" s="4"/>
      <c r="I273" s="8"/>
      <c r="J273" s="5" t="str">
        <f t="shared" si="17"/>
        <v/>
      </c>
      <c r="K273" s="3"/>
      <c r="L273" s="3"/>
      <c r="N273" s="3" t="str">
        <f t="shared" si="18"/>
        <v/>
      </c>
      <c r="O273" s="6" t="str">
        <f t="shared" si="19"/>
        <v/>
      </c>
      <c r="P273" s="7">
        <f ca="1">SUMIFS($N$2:$N273,$B$2:$B273,"&lt;&gt;"&amp;B273)+SUM($Q$2:$Q273)</f>
        <v>90.195000000000007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0"/>
        <v>264</v>
      </c>
      <c r="B274" s="4"/>
      <c r="I274" s="8"/>
      <c r="J274" s="5" t="str">
        <f t="shared" si="17"/>
        <v/>
      </c>
      <c r="K274" s="3"/>
      <c r="L274" s="3"/>
      <c r="N274" s="3" t="str">
        <f t="shared" si="18"/>
        <v/>
      </c>
      <c r="O274" s="6" t="str">
        <f t="shared" si="19"/>
        <v/>
      </c>
      <c r="P274" s="7">
        <f ca="1">SUMIFS($N$2:$N274,$B$2:$B274,"&lt;&gt;"&amp;B274)+SUM($Q$2:$Q274)</f>
        <v>90.195000000000007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0"/>
        <v>265</v>
      </c>
      <c r="B275" s="4"/>
      <c r="I275" s="8"/>
      <c r="J275" s="5" t="str">
        <f t="shared" si="17"/>
        <v/>
      </c>
      <c r="K275" s="3"/>
      <c r="L275" s="3"/>
      <c r="N275" s="3" t="str">
        <f t="shared" si="18"/>
        <v/>
      </c>
      <c r="O275" s="6" t="str">
        <f t="shared" si="19"/>
        <v/>
      </c>
      <c r="P275" s="7">
        <f ca="1">SUMIFS($N$2:$N275,$B$2:$B275,"&lt;&gt;"&amp;B275)+SUM($Q$2:$Q275)</f>
        <v>90.195000000000007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0"/>
        <v>266</v>
      </c>
      <c r="B276" s="4"/>
      <c r="I276" s="8"/>
      <c r="J276" s="5" t="str">
        <f t="shared" si="17"/>
        <v/>
      </c>
      <c r="K276" s="3"/>
      <c r="L276" s="3"/>
      <c r="N276" s="3" t="str">
        <f t="shared" si="18"/>
        <v/>
      </c>
      <c r="O276" s="6" t="str">
        <f t="shared" si="19"/>
        <v/>
      </c>
      <c r="P276" s="7">
        <f ca="1">SUMIFS($N$2:$N276,$B$2:$B276,"&lt;&gt;"&amp;B276)+SUM($Q$2:$Q276)</f>
        <v>90.195000000000007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0"/>
        <v>267</v>
      </c>
      <c r="B277" s="4"/>
      <c r="I277" s="8"/>
      <c r="J277" s="5" t="str">
        <f t="shared" si="17"/>
        <v/>
      </c>
      <c r="K277" s="3"/>
      <c r="L277" s="3"/>
      <c r="N277" s="3" t="str">
        <f t="shared" si="18"/>
        <v/>
      </c>
      <c r="O277" s="6" t="str">
        <f t="shared" si="19"/>
        <v/>
      </c>
      <c r="P277" s="7">
        <f ca="1">SUMIFS($N$2:$N277,$B$2:$B277,"&lt;&gt;"&amp;B277)+SUM($Q$2:$Q277)</f>
        <v>90.195000000000007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0"/>
        <v>268</v>
      </c>
      <c r="B278" s="4"/>
      <c r="I278" s="8"/>
      <c r="J278" s="5" t="str">
        <f t="shared" si="17"/>
        <v/>
      </c>
      <c r="K278" s="3"/>
      <c r="L278" s="3"/>
      <c r="N278" s="3" t="str">
        <f t="shared" si="18"/>
        <v/>
      </c>
      <c r="O278" s="6" t="str">
        <f t="shared" si="19"/>
        <v/>
      </c>
      <c r="P278" s="7">
        <f ca="1">SUMIFS($N$2:$N278,$B$2:$B278,"&lt;&gt;"&amp;B278)+SUM($Q$2:$Q278)</f>
        <v>90.195000000000007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0"/>
        <v>269</v>
      </c>
      <c r="B279" s="4"/>
      <c r="I279" s="8"/>
      <c r="J279" s="5" t="str">
        <f t="shared" si="17"/>
        <v/>
      </c>
      <c r="K279" s="3"/>
      <c r="L279" s="3"/>
      <c r="N279" s="3" t="str">
        <f t="shared" si="18"/>
        <v/>
      </c>
      <c r="O279" s="6" t="str">
        <f t="shared" si="19"/>
        <v/>
      </c>
      <c r="P279" s="7">
        <f ca="1">SUMIFS($N$2:$N279,$B$2:$B279,"&lt;&gt;"&amp;B279)+SUM($Q$2:$Q279)</f>
        <v>90.195000000000007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0"/>
        <v>270</v>
      </c>
      <c r="B280" s="4"/>
      <c r="I280" s="8"/>
      <c r="J280" s="5" t="str">
        <f t="shared" si="17"/>
        <v/>
      </c>
      <c r="K280" s="3"/>
      <c r="L280" s="3"/>
      <c r="N280" s="3" t="str">
        <f t="shared" si="18"/>
        <v/>
      </c>
      <c r="O280" s="6" t="str">
        <f t="shared" si="19"/>
        <v/>
      </c>
      <c r="P280" s="7">
        <f ca="1">SUMIFS($N$2:$N280,$B$2:$B280,"&lt;&gt;"&amp;B280)+SUM($Q$2:$Q280)</f>
        <v>90.195000000000007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0"/>
        <v>271</v>
      </c>
      <c r="B281" s="4"/>
      <c r="I281" s="8"/>
      <c r="J281" s="5" t="str">
        <f t="shared" si="17"/>
        <v/>
      </c>
      <c r="K281" s="3"/>
      <c r="L281" s="3"/>
      <c r="N281" s="3" t="str">
        <f t="shared" si="18"/>
        <v/>
      </c>
      <c r="O281" s="6" t="str">
        <f t="shared" si="19"/>
        <v/>
      </c>
      <c r="P281" s="7">
        <f ca="1">SUMIFS($N$2:$N281,$B$2:$B281,"&lt;&gt;"&amp;B281)+SUM($Q$2:$Q281)</f>
        <v>90.195000000000007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0"/>
        <v>272</v>
      </c>
      <c r="B282" s="4"/>
      <c r="I282" s="8"/>
      <c r="J282" s="5" t="str">
        <f t="shared" si="17"/>
        <v/>
      </c>
      <c r="K282" s="3"/>
      <c r="L282" s="3"/>
      <c r="N282" s="3" t="str">
        <f t="shared" si="18"/>
        <v/>
      </c>
      <c r="O282" s="6" t="str">
        <f t="shared" si="19"/>
        <v/>
      </c>
      <c r="P282" s="7">
        <f ca="1">SUMIFS($N$2:$N282,$B$2:$B282,"&lt;&gt;"&amp;B282)+SUM($Q$2:$Q282)</f>
        <v>90.195000000000007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0"/>
        <v>273</v>
      </c>
      <c r="B283" s="4"/>
      <c r="I283" s="8"/>
      <c r="J283" s="5" t="str">
        <f t="shared" si="17"/>
        <v/>
      </c>
      <c r="K283" s="3"/>
      <c r="L283" s="3"/>
      <c r="N283" s="3" t="str">
        <f t="shared" si="18"/>
        <v/>
      </c>
      <c r="O283" s="6" t="str">
        <f t="shared" si="19"/>
        <v/>
      </c>
      <c r="P283" s="7">
        <f ca="1">SUMIFS($N$2:$N283,$B$2:$B283,"&lt;&gt;"&amp;B283)+SUM($Q$2:$Q283)</f>
        <v>90.195000000000007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0"/>
        <v>274</v>
      </c>
      <c r="B284" s="4"/>
      <c r="I284" s="8"/>
      <c r="J284" s="5" t="str">
        <f t="shared" si="17"/>
        <v/>
      </c>
      <c r="K284" s="3"/>
      <c r="L284" s="3"/>
      <c r="N284" s="3" t="str">
        <f t="shared" si="18"/>
        <v/>
      </c>
      <c r="O284" s="6" t="str">
        <f t="shared" si="19"/>
        <v/>
      </c>
      <c r="P284" s="7">
        <f ca="1">SUMIFS($N$2:$N284,$B$2:$B284,"&lt;&gt;"&amp;B284)+SUM($Q$2:$Q284)</f>
        <v>90.195000000000007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0"/>
        <v>275</v>
      </c>
      <c r="B285" s="4"/>
      <c r="I285" s="8"/>
      <c r="J285" s="5" t="str">
        <f t="shared" si="17"/>
        <v/>
      </c>
      <c r="K285" s="3"/>
      <c r="L285" s="3"/>
      <c r="N285" s="3" t="str">
        <f t="shared" si="18"/>
        <v/>
      </c>
      <c r="O285" s="6" t="str">
        <f t="shared" si="19"/>
        <v/>
      </c>
      <c r="P285" s="7">
        <f ca="1">SUMIFS($N$2:$N285,$B$2:$B285,"&lt;&gt;"&amp;B285)+SUM($Q$2:$Q285)</f>
        <v>90.195000000000007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0"/>
        <v>276</v>
      </c>
      <c r="B286" s="4"/>
      <c r="I286" s="8"/>
      <c r="J286" s="5" t="str">
        <f t="shared" si="17"/>
        <v/>
      </c>
      <c r="K286" s="3"/>
      <c r="L286" s="3"/>
      <c r="N286" s="3" t="str">
        <f t="shared" si="18"/>
        <v/>
      </c>
      <c r="O286" s="6" t="str">
        <f t="shared" si="19"/>
        <v/>
      </c>
      <c r="P286" s="7">
        <f ca="1">SUMIFS($N$2:$N286,$B$2:$B286,"&lt;&gt;"&amp;B286)+SUM($Q$2:$Q286)</f>
        <v>90.195000000000007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0"/>
        <v>277</v>
      </c>
      <c r="B287" s="4"/>
      <c r="I287" s="8"/>
      <c r="J287" s="5" t="str">
        <f t="shared" si="17"/>
        <v/>
      </c>
      <c r="K287" s="3"/>
      <c r="L287" s="3"/>
      <c r="N287" s="3" t="str">
        <f t="shared" si="18"/>
        <v/>
      </c>
      <c r="O287" s="6" t="str">
        <f t="shared" si="19"/>
        <v/>
      </c>
      <c r="P287" s="7">
        <f ca="1">SUMIFS($N$2:$N287,$B$2:$B287,"&lt;&gt;"&amp;B287)+SUM($Q$2:$Q287)</f>
        <v>90.195000000000007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0"/>
        <v>278</v>
      </c>
      <c r="B288" s="4"/>
      <c r="I288" s="8"/>
      <c r="J288" s="5" t="str">
        <f t="shared" si="17"/>
        <v/>
      </c>
      <c r="K288" s="3"/>
      <c r="L288" s="3"/>
      <c r="N288" s="3" t="str">
        <f t="shared" si="18"/>
        <v/>
      </c>
      <c r="O288" s="6" t="str">
        <f t="shared" si="19"/>
        <v/>
      </c>
      <c r="P288" s="7">
        <f ca="1">SUMIFS($N$2:$N288,$B$2:$B288,"&lt;&gt;"&amp;B288)+SUM($Q$2:$Q288)</f>
        <v>90.195000000000007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0"/>
        <v>279</v>
      </c>
      <c r="B289" s="4"/>
      <c r="I289" s="8"/>
      <c r="J289" s="5" t="str">
        <f t="shared" si="17"/>
        <v/>
      </c>
      <c r="K289" s="3"/>
      <c r="L289" s="3"/>
      <c r="N289" s="3" t="str">
        <f t="shared" si="18"/>
        <v/>
      </c>
      <c r="O289" s="6" t="str">
        <f t="shared" si="19"/>
        <v/>
      </c>
      <c r="P289" s="7">
        <f ca="1">SUMIFS($N$2:$N289,$B$2:$B289,"&lt;&gt;"&amp;B289)+SUM($Q$2:$Q289)</f>
        <v>90.195000000000007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si="20"/>
        <v>280</v>
      </c>
      <c r="B290" s="4"/>
      <c r="I290" s="8"/>
      <c r="J290" s="5" t="str">
        <f t="shared" si="17"/>
        <v/>
      </c>
      <c r="K290" s="3"/>
      <c r="L290" s="3"/>
      <c r="N290" s="3" t="str">
        <f t="shared" si="18"/>
        <v/>
      </c>
      <c r="O290" s="6" t="str">
        <f t="shared" si="19"/>
        <v/>
      </c>
      <c r="P290" s="7">
        <f ca="1">SUMIFS($N$2:$N290,$B$2:$B290,"&lt;&gt;"&amp;B290)+SUM($Q$2:$Q290)</f>
        <v>90.195000000000007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0"/>
        <v>281</v>
      </c>
      <c r="B291" s="4"/>
      <c r="I291" s="8"/>
      <c r="J291" s="5" t="str">
        <f t="shared" si="17"/>
        <v/>
      </c>
      <c r="K291" s="3"/>
      <c r="L291" s="3"/>
      <c r="N291" s="3" t="str">
        <f t="shared" si="18"/>
        <v/>
      </c>
      <c r="O291" s="6" t="str">
        <f t="shared" si="19"/>
        <v/>
      </c>
      <c r="P291" s="7">
        <f ca="1">SUMIFS($N$2:$N291,$B$2:$B291,"&lt;&gt;"&amp;B291)+SUM($Q$2:$Q291)</f>
        <v>90.195000000000007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0"/>
        <v>282</v>
      </c>
      <c r="B292" s="4"/>
      <c r="I292" s="8"/>
      <c r="J292" s="5" t="str">
        <f t="shared" si="17"/>
        <v/>
      </c>
      <c r="K292" s="3"/>
      <c r="L292" s="3"/>
      <c r="N292" s="3" t="str">
        <f t="shared" si="18"/>
        <v/>
      </c>
      <c r="O292" s="6" t="str">
        <f t="shared" si="19"/>
        <v/>
      </c>
      <c r="P292" s="7">
        <f ca="1">SUMIFS($N$2:$N292,$B$2:$B292,"&lt;&gt;"&amp;B292)+SUM($Q$2:$Q292)</f>
        <v>90.195000000000007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0"/>
        <v>283</v>
      </c>
      <c r="B293" s="4"/>
      <c r="I293" s="8"/>
      <c r="J293" s="5" t="str">
        <f t="shared" si="17"/>
        <v/>
      </c>
      <c r="K293" s="3"/>
      <c r="L293" s="3"/>
      <c r="N293" s="3" t="str">
        <f t="shared" si="18"/>
        <v/>
      </c>
      <c r="O293" s="6" t="str">
        <f t="shared" si="19"/>
        <v/>
      </c>
      <c r="P293" s="7">
        <f ca="1">SUMIFS($N$2:$N293,$B$2:$B293,"&lt;&gt;"&amp;B293)+SUM($Q$2:$Q293)</f>
        <v>90.195000000000007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0"/>
        <v>284</v>
      </c>
      <c r="B294" s="4"/>
      <c r="I294" s="8"/>
      <c r="J294" s="5" t="str">
        <f t="shared" si="17"/>
        <v/>
      </c>
      <c r="K294" s="3"/>
      <c r="L294" s="3"/>
      <c r="N294" s="3" t="str">
        <f t="shared" si="18"/>
        <v/>
      </c>
      <c r="O294" s="6" t="str">
        <f t="shared" si="19"/>
        <v/>
      </c>
      <c r="P294" s="7">
        <f ca="1">SUMIFS($N$2:$N294,$B$2:$B294,"&lt;&gt;"&amp;B294)+SUM($Q$2:$Q294)</f>
        <v>90.195000000000007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0"/>
        <v>285</v>
      </c>
      <c r="B295" s="4"/>
      <c r="I295" s="8"/>
      <c r="J295" s="5" t="str">
        <f t="shared" si="17"/>
        <v/>
      </c>
      <c r="K295" s="3"/>
      <c r="L295" s="3"/>
      <c r="N295" s="3" t="str">
        <f t="shared" si="18"/>
        <v/>
      </c>
      <c r="O295" s="6" t="str">
        <f t="shared" si="19"/>
        <v/>
      </c>
      <c r="P295" s="7">
        <f ca="1">SUMIFS($N$2:$N295,$B$2:$B295,"&lt;&gt;"&amp;B295)+SUM($Q$2:$Q295)</f>
        <v>90.195000000000007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0"/>
        <v>286</v>
      </c>
      <c r="B296" s="4"/>
      <c r="I296" s="8"/>
      <c r="J296" s="5" t="str">
        <f t="shared" si="17"/>
        <v/>
      </c>
      <c r="K296" s="3"/>
      <c r="L296" s="3"/>
      <c r="N296" s="3" t="str">
        <f t="shared" si="18"/>
        <v/>
      </c>
      <c r="O296" s="6" t="str">
        <f t="shared" si="19"/>
        <v/>
      </c>
      <c r="P296" s="7">
        <f ca="1">SUMIFS($N$2:$N296,$B$2:$B296,"&lt;&gt;"&amp;B296)+SUM($Q$2:$Q296)</f>
        <v>90.195000000000007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0"/>
        <v>287</v>
      </c>
      <c r="B297" s="4"/>
      <c r="I297" s="8"/>
      <c r="J297" s="5" t="str">
        <f t="shared" si="17"/>
        <v/>
      </c>
      <c r="K297" s="3"/>
      <c r="L297" s="3"/>
      <c r="N297" s="3" t="str">
        <f t="shared" si="18"/>
        <v/>
      </c>
      <c r="O297" s="6" t="str">
        <f t="shared" si="19"/>
        <v/>
      </c>
      <c r="P297" s="7">
        <f ca="1">SUMIFS($N$2:$N297,$B$2:$B297,"&lt;&gt;"&amp;B297)+SUM($Q$2:$Q297)</f>
        <v>90.195000000000007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0"/>
        <v>288</v>
      </c>
      <c r="B298" s="4"/>
      <c r="I298" s="8"/>
      <c r="J298" s="5" t="str">
        <f t="shared" si="17"/>
        <v/>
      </c>
      <c r="K298" s="3"/>
      <c r="L298" s="3"/>
      <c r="N298" s="3" t="str">
        <f t="shared" si="18"/>
        <v/>
      </c>
      <c r="O298" s="6" t="str">
        <f t="shared" si="19"/>
        <v/>
      </c>
      <c r="P298" s="7">
        <f ca="1">SUMIFS($N$2:$N298,$B$2:$B298,"&lt;&gt;"&amp;B298)+SUM($Q$2:$Q298)</f>
        <v>90.195000000000007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0"/>
        <v>289</v>
      </c>
      <c r="B299" s="4"/>
      <c r="I299" s="8"/>
      <c r="J299" s="5" t="str">
        <f t="shared" si="17"/>
        <v/>
      </c>
      <c r="K299" s="3"/>
      <c r="L299" s="3"/>
      <c r="N299" s="3" t="str">
        <f t="shared" si="18"/>
        <v/>
      </c>
      <c r="O299" s="6" t="str">
        <f t="shared" si="19"/>
        <v/>
      </c>
      <c r="P299" s="7">
        <f ca="1">SUMIFS($N$2:$N299,$B$2:$B299,"&lt;&gt;"&amp;B299)+SUM($Q$2:$Q299)</f>
        <v>90.195000000000007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0"/>
        <v>290</v>
      </c>
      <c r="B300" s="4"/>
      <c r="I300" s="8"/>
      <c r="J300" s="5" t="str">
        <f t="shared" si="17"/>
        <v/>
      </c>
      <c r="K300" s="3"/>
      <c r="L300" s="3"/>
      <c r="N300" s="3" t="str">
        <f t="shared" si="18"/>
        <v/>
      </c>
      <c r="O300" s="6" t="str">
        <f t="shared" si="19"/>
        <v/>
      </c>
      <c r="P300" s="7">
        <f ca="1">SUMIFS($N$2:$N300,$B$2:$B300,"&lt;&gt;"&amp;B300)+SUM($Q$2:$Q300)</f>
        <v>90.195000000000007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0"/>
        <v>291</v>
      </c>
      <c r="J301" s="5"/>
      <c r="N301" s="3"/>
      <c r="P301" s="7">
        <f ca="1">SUMIFS($N$2:$N301,$B$2:$B301,"&lt;&gt;"&amp;B301)+SUM($Q$2:$Q301)</f>
        <v>90.195000000000007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0"/>
        <v>292</v>
      </c>
      <c r="P302" s="7">
        <f ca="1">SUMIFS($N$2:$N302,$B$2:$B302,"&lt;&gt;"&amp;B302)+SUM($Q$2:$Q302)</f>
        <v>90.195000000000007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0"/>
        <v>293</v>
      </c>
      <c r="P303" s="7">
        <f ca="1">SUMIFS($N$2:$N303,$B$2:$B303,"&lt;&gt;"&amp;B303)+SUM($Q$2:$Q303)</f>
        <v>90.195000000000007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0"/>
        <v>294</v>
      </c>
      <c r="P304" s="7">
        <f ca="1">SUMIFS($N$2:$N304,$B$2:$B304,"&lt;&gt;"&amp;B304)+SUM($Q$2:$Q304)</f>
        <v>90.195000000000007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0"/>
        <v>295</v>
      </c>
      <c r="P305" s="7">
        <f ca="1">SUMIFS($N$2:$N305,$B$2:$B305,"&lt;&gt;"&amp;B305)+SUM($Q$2:$Q305)</f>
        <v>90.195000000000007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0"/>
        <v>296</v>
      </c>
      <c r="P306" s="7">
        <f ca="1">SUMIFS($N$2:$N306,$B$2:$B306,"&lt;&gt;"&amp;B306)+SUM($Q$2:$Q306)</f>
        <v>90.195000000000007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0"/>
        <v>297</v>
      </c>
      <c r="P307" s="7">
        <f ca="1">SUMIFS($N$2:$N307,$B$2:$B307,"&lt;&gt;"&amp;B307)+SUM($Q$2:$Q307)</f>
        <v>90.195000000000007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0"/>
        <v>298</v>
      </c>
      <c r="P308" s="7">
        <f ca="1">SUMIFS($N$2:$N308,$B$2:$B308,"&lt;&gt;"&amp;B308)+SUM($Q$2:$Q308)</f>
        <v>90.195000000000007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0"/>
        <v>299</v>
      </c>
      <c r="P309" s="7">
        <f ca="1">SUMIFS($N$2:$N309,$B$2:$B309,"&lt;&gt;"&amp;B309)+SUM($Q$2:$Q309)</f>
        <v>90.195000000000007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0"/>
        <v>300</v>
      </c>
      <c r="P310" s="7">
        <f ca="1">SUMIFS($N$2:$N310,$B$2:$B310,"&lt;&gt;"&amp;B310)+SUM($Q$2:$Q310)</f>
        <v>90.195000000000007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0"/>
        <v>301</v>
      </c>
      <c r="P311" s="7">
        <f ca="1">SUMIFS($N$2:$N311,$B$2:$B311,"&lt;&gt;"&amp;B311)+SUM($Q$2:$Q311)</f>
        <v>90.195000000000007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0"/>
        <v>302</v>
      </c>
      <c r="P312" s="7">
        <f ca="1">SUMIFS($N$2:$N312,$B$2:$B312,"&lt;&gt;"&amp;B312)+SUM($Q$2:$Q312)</f>
        <v>90.195000000000007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0"/>
        <v>303</v>
      </c>
      <c r="P313" s="7">
        <f ca="1">SUMIFS($N$2:$N313,$B$2:$B313,"&lt;&gt;"&amp;B313)+SUM($Q$2:$Q313)</f>
        <v>90.195000000000007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0"/>
        <v>304</v>
      </c>
      <c r="P314" s="7">
        <f ca="1">SUMIFS($N$2:$N314,$B$2:$B314,"&lt;&gt;"&amp;B314)+SUM($Q$2:$Q314)</f>
        <v>90.195000000000007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0"/>
        <v>305</v>
      </c>
      <c r="P315" s="7">
        <f ca="1">SUMIFS($N$2:$N315,$B$2:$B315,"&lt;&gt;"&amp;B315)+SUM($Q$2:$Q315)</f>
        <v>90.195000000000007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0"/>
        <v>306</v>
      </c>
      <c r="P316" s="7">
        <f ca="1">SUMIFS($N$2:$N316,$B$2:$B316,"&lt;&gt;"&amp;B316)+SUM($Q$2:$Q316)</f>
        <v>90.195000000000007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0"/>
        <v>307</v>
      </c>
      <c r="P317" s="7">
        <f ca="1">SUMIFS($N$2:$N317,$B$2:$B317,"&lt;&gt;"&amp;B317)+SUM($Q$2:$Q317)</f>
        <v>90.195000000000007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0"/>
        <v>308</v>
      </c>
      <c r="P318" s="7">
        <f ca="1">SUMIFS($N$2:$N318,$B$2:$B318,"&lt;&gt;"&amp;B318)+SUM($Q$2:$Q318)</f>
        <v>90.195000000000007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0"/>
        <v>309</v>
      </c>
      <c r="P319" s="7">
        <f ca="1">SUMIFS($N$2:$N319,$B$2:$B319,"&lt;&gt;"&amp;B319)+SUM($Q$2:$Q319)</f>
        <v>90.195000000000007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0"/>
        <v>310</v>
      </c>
      <c r="P320" s="7">
        <f ca="1">SUMIFS($N$2:$N320,$B$2:$B320,"&lt;&gt;"&amp;B320)+SUM($Q$2:$Q320)</f>
        <v>90.195000000000007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0"/>
        <v>311</v>
      </c>
      <c r="P321" s="7">
        <f ca="1">SUMIFS($N$2:$N321,$B$2:$B321,"&lt;&gt;"&amp;B321)+SUM($Q$2:$Q321)</f>
        <v>90.195000000000007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0"/>
        <v>312</v>
      </c>
      <c r="P322" s="7">
        <f ca="1">SUMIFS($N$2:$N322,$B$2:$B322,"&lt;&gt;"&amp;B322)+SUM($Q$2:$Q322)</f>
        <v>90.195000000000007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ref="A323:A386" si="21">IF(AND(B323="", D323&lt;&gt;""), A322, A322+1)</f>
        <v>313</v>
      </c>
      <c r="P323" s="7">
        <f ca="1">SUMIFS($N$2:$N323,$B$2:$B323,"&lt;&gt;"&amp;B323)+SUM($Q$2:$Q323)</f>
        <v>90.195000000000007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1"/>
        <v>314</v>
      </c>
      <c r="P324" s="7">
        <f ca="1">SUMIFS($N$2:$N324,$B$2:$B324,"&lt;&gt;"&amp;B324)+SUM($Q$2:$Q324)</f>
        <v>90.195000000000007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1"/>
        <v>315</v>
      </c>
      <c r="P325" s="7">
        <f ca="1">SUMIFS($N$2:$N325,$B$2:$B325,"&lt;&gt;"&amp;B325)+SUM($Q$2:$Q325)</f>
        <v>90.195000000000007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1"/>
        <v>316</v>
      </c>
      <c r="P326" s="7">
        <f ca="1">SUMIFS($N$2:$N326,$B$2:$B326,"&lt;&gt;"&amp;B326)+SUM($Q$2:$Q326)</f>
        <v>90.195000000000007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1"/>
        <v>317</v>
      </c>
      <c r="P327" s="7">
        <f ca="1">SUMIFS($N$2:$N327,$B$2:$B327,"&lt;&gt;"&amp;B327)+SUM($Q$2:$Q327)</f>
        <v>90.195000000000007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1"/>
        <v>318</v>
      </c>
      <c r="P328" s="7">
        <f ca="1">SUMIFS($N$2:$N328,$B$2:$B328,"&lt;&gt;"&amp;B328)+SUM($Q$2:$Q328)</f>
        <v>90.195000000000007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1"/>
        <v>319</v>
      </c>
      <c r="P329" s="7">
        <f ca="1">SUMIFS($N$2:$N329,$B$2:$B329,"&lt;&gt;"&amp;B329)+SUM($Q$2:$Q329)</f>
        <v>90.195000000000007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1"/>
        <v>320</v>
      </c>
      <c r="P330" s="7">
        <f ca="1">SUMIFS($N$2:$N330,$B$2:$B330,"&lt;&gt;"&amp;B330)+SUM($Q$2:$Q330)</f>
        <v>90.195000000000007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1"/>
        <v>321</v>
      </c>
      <c r="P331" s="7">
        <f ca="1">SUMIFS($N$2:$N331,$B$2:$B331,"&lt;&gt;"&amp;B331)+SUM($Q$2:$Q331)</f>
        <v>90.195000000000007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1"/>
        <v>322</v>
      </c>
      <c r="P332" s="7">
        <f ca="1">SUMIFS($N$2:$N332,$B$2:$B332,"&lt;&gt;"&amp;B332)+SUM($Q$2:$Q332)</f>
        <v>90.195000000000007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1"/>
        <v>323</v>
      </c>
      <c r="P333" s="7">
        <f ca="1">SUMIFS($N$2:$N333,$B$2:$B333,"&lt;&gt;"&amp;B333)+SUM($Q$2:$Q333)</f>
        <v>90.195000000000007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1"/>
        <v>324</v>
      </c>
      <c r="P334" s="7">
        <f ca="1">SUMIFS($N$2:$N334,$B$2:$B334,"&lt;&gt;"&amp;B334)+SUM($Q$2:$Q334)</f>
        <v>90.195000000000007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1"/>
        <v>325</v>
      </c>
      <c r="P335" s="7">
        <f ca="1">SUMIFS($N$2:$N335,$B$2:$B335,"&lt;&gt;"&amp;B335)+SUM($Q$2:$Q335)</f>
        <v>90.195000000000007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1"/>
        <v>326</v>
      </c>
      <c r="P336" s="7">
        <f ca="1">SUMIFS($N$2:$N336,$B$2:$B336,"&lt;&gt;"&amp;B336)+SUM($Q$2:$Q336)</f>
        <v>90.195000000000007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1"/>
        <v>327</v>
      </c>
      <c r="P337" s="7">
        <f ca="1">SUMIFS($N$2:$N337,$B$2:$B337,"&lt;&gt;"&amp;B337)+SUM($Q$2:$Q337)</f>
        <v>90.195000000000007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1"/>
        <v>328</v>
      </c>
      <c r="P338" s="7">
        <f ca="1">SUMIFS($N$2:$N338,$B$2:$B338,"&lt;&gt;"&amp;B338)+SUM($Q$2:$Q338)</f>
        <v>90.195000000000007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1"/>
        <v>329</v>
      </c>
      <c r="P339" s="7">
        <f ca="1">SUMIFS($N$2:$N339,$B$2:$B339,"&lt;&gt;"&amp;B339)+SUM($Q$2:$Q339)</f>
        <v>90.195000000000007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1"/>
        <v>330</v>
      </c>
      <c r="P340" s="7">
        <f ca="1">SUMIFS($N$2:$N340,$B$2:$B340,"&lt;&gt;"&amp;B340)+SUM($Q$2:$Q340)</f>
        <v>90.195000000000007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1"/>
        <v>331</v>
      </c>
      <c r="P341" s="7">
        <f ca="1">SUMIFS($N$2:$N341,$B$2:$B341,"&lt;&gt;"&amp;B341)+SUM($Q$2:$Q341)</f>
        <v>90.195000000000007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1"/>
        <v>332</v>
      </c>
      <c r="P342" s="7">
        <f ca="1">SUMIFS($N$2:$N342,$B$2:$B342,"&lt;&gt;"&amp;B342)+SUM($Q$2:$Q342)</f>
        <v>90.195000000000007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1"/>
        <v>333</v>
      </c>
      <c r="P343" s="7">
        <f ca="1">SUMIFS($N$2:$N343,$B$2:$B343,"&lt;&gt;"&amp;B343)+SUM($Q$2:$Q343)</f>
        <v>90.195000000000007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1"/>
        <v>334</v>
      </c>
      <c r="P344" s="7">
        <f ca="1">SUMIFS($N$2:$N344,$B$2:$B344,"&lt;&gt;"&amp;B344)+SUM($Q$2:$Q344)</f>
        <v>90.195000000000007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1"/>
        <v>335</v>
      </c>
      <c r="P345" s="7">
        <f ca="1">SUMIFS($N$2:$N345,$B$2:$B345,"&lt;&gt;"&amp;B345)+SUM($Q$2:$Q345)</f>
        <v>90.195000000000007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1"/>
        <v>336</v>
      </c>
      <c r="P346" s="7">
        <f ca="1">SUMIFS($N$2:$N346,$B$2:$B346,"&lt;&gt;"&amp;B346)+SUM($Q$2:$Q346)</f>
        <v>90.195000000000007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1"/>
        <v>337</v>
      </c>
      <c r="P347" s="7">
        <f ca="1">SUMIFS($N$2:$N347,$B$2:$B347,"&lt;&gt;"&amp;B347)+SUM($Q$2:$Q347)</f>
        <v>90.195000000000007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1"/>
        <v>338</v>
      </c>
      <c r="P348" s="7">
        <f ca="1">SUMIFS($N$2:$N348,$B$2:$B348,"&lt;&gt;"&amp;B348)+SUM($Q$2:$Q348)</f>
        <v>90.195000000000007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1"/>
        <v>339</v>
      </c>
      <c r="P349" s="7">
        <f ca="1">SUMIFS($N$2:$N349,$B$2:$B349,"&lt;&gt;"&amp;B349)+SUM($Q$2:$Q349)</f>
        <v>90.195000000000007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1"/>
        <v>340</v>
      </c>
      <c r="P350" s="7">
        <f ca="1">SUMIFS($N$2:$N350,$B$2:$B350,"&lt;&gt;"&amp;B350)+SUM($Q$2:$Q350)</f>
        <v>90.195000000000007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1"/>
        <v>341</v>
      </c>
      <c r="P351" s="7">
        <f ca="1">SUMIFS($N$2:$N351,$B$2:$B351,"&lt;&gt;"&amp;B351)+SUM($Q$2:$Q351)</f>
        <v>90.195000000000007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1"/>
        <v>342</v>
      </c>
      <c r="P352" s="7">
        <f ca="1">SUMIFS($N$2:$N352,$B$2:$B352,"&lt;&gt;"&amp;B352)+SUM($Q$2:$Q352)</f>
        <v>90.195000000000007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1"/>
        <v>343</v>
      </c>
      <c r="P353" s="7">
        <f ca="1">SUMIFS($N$2:$N353,$B$2:$B353,"&lt;&gt;"&amp;B353)+SUM($Q$2:$Q353)</f>
        <v>90.195000000000007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si="21"/>
        <v>344</v>
      </c>
      <c r="P354" s="7">
        <f ca="1">SUMIFS($N$2:$N354,$B$2:$B354,"&lt;&gt;"&amp;B354)+SUM($Q$2:$Q354)</f>
        <v>90.195000000000007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21"/>
        <v>345</v>
      </c>
      <c r="P355" s="7">
        <f ca="1">SUMIFS($N$2:$N355,$B$2:$B355,"&lt;&gt;"&amp;B355)+SUM($Q$2:$Q355)</f>
        <v>90.195000000000007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21"/>
        <v>346</v>
      </c>
      <c r="P356" s="7">
        <f ca="1">SUMIFS($N$2:$N356,$B$2:$B356,"&lt;&gt;"&amp;B356)+SUM($Q$2:$Q356)</f>
        <v>90.195000000000007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21"/>
        <v>347</v>
      </c>
      <c r="P357" s="7">
        <f ca="1">SUMIFS($N$2:$N357,$B$2:$B357,"&lt;&gt;"&amp;B357)+SUM($Q$2:$Q357)</f>
        <v>90.195000000000007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21"/>
        <v>348</v>
      </c>
      <c r="P358" s="7">
        <f ca="1">SUMIFS($N$2:$N358,$B$2:$B358,"&lt;&gt;"&amp;B358)+SUM($Q$2:$Q358)</f>
        <v>90.195000000000007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21"/>
        <v>349</v>
      </c>
      <c r="P359" s="7">
        <f ca="1">SUMIFS($N$2:$N359,$B$2:$B359,"&lt;&gt;"&amp;B359)+SUM($Q$2:$Q359)</f>
        <v>90.195000000000007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21"/>
        <v>350</v>
      </c>
      <c r="P360" s="7">
        <f ca="1">SUMIFS($N$2:$N360,$B$2:$B360,"&lt;&gt;"&amp;B360)+SUM($Q$2:$Q360)</f>
        <v>90.195000000000007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21"/>
        <v>351</v>
      </c>
      <c r="P361" s="7">
        <f ca="1">SUMIFS($N$2:$N361,$B$2:$B361,"&lt;&gt;"&amp;B361)+SUM($Q$2:$Q361)</f>
        <v>90.195000000000007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21"/>
        <v>352</v>
      </c>
      <c r="P362" s="7">
        <f ca="1">SUMIFS($N$2:$N362,$B$2:$B362,"&lt;&gt;"&amp;B362)+SUM($Q$2:$Q362)</f>
        <v>90.195000000000007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21"/>
        <v>353</v>
      </c>
      <c r="P363" s="7">
        <f ca="1">SUMIFS($N$2:$N363,$B$2:$B363,"&lt;&gt;"&amp;B363)+SUM($Q$2:$Q363)</f>
        <v>90.195000000000007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21"/>
        <v>354</v>
      </c>
      <c r="P364" s="7">
        <f ca="1">SUMIFS($N$2:$N364,$B$2:$B364,"&lt;&gt;"&amp;B364)+SUM($Q$2:$Q364)</f>
        <v>90.195000000000007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21"/>
        <v>355</v>
      </c>
      <c r="P365" s="7">
        <f ca="1">SUMIFS($N$2:$N365,$B$2:$B365,"&lt;&gt;"&amp;B365)+SUM($Q$2:$Q365)</f>
        <v>90.195000000000007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21"/>
        <v>356</v>
      </c>
      <c r="P366" s="7">
        <f ca="1">SUMIFS($N$2:$N366,$B$2:$B366,"&lt;&gt;"&amp;B366)+SUM($Q$2:$Q366)</f>
        <v>90.195000000000007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21"/>
        <v>357</v>
      </c>
      <c r="P367" s="7">
        <f ca="1">SUMIFS($N$2:$N367,$B$2:$B367,"&lt;&gt;"&amp;B367)+SUM($Q$2:$Q367)</f>
        <v>90.195000000000007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21"/>
        <v>358</v>
      </c>
      <c r="P368" s="7">
        <f ca="1">SUMIFS($N$2:$N368,$B$2:$B368,"&lt;&gt;"&amp;B368)+SUM($Q$2:$Q368)</f>
        <v>90.195000000000007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21"/>
        <v>359</v>
      </c>
      <c r="P369" s="7">
        <f ca="1">SUMIFS($N$2:$N369,$B$2:$B369,"&lt;&gt;"&amp;B369)+SUM($Q$2:$Q369)</f>
        <v>90.195000000000007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21"/>
        <v>360</v>
      </c>
      <c r="P370" s="7">
        <f ca="1">SUMIFS($N$2:$N370,$B$2:$B370,"&lt;&gt;"&amp;B370)+SUM($Q$2:$Q370)</f>
        <v>90.195000000000007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21"/>
        <v>361</v>
      </c>
      <c r="P371" s="7">
        <f ca="1">SUMIFS($N$2:$N371,$B$2:$B371,"&lt;&gt;"&amp;B371)+SUM($Q$2:$Q371)</f>
        <v>90.195000000000007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21"/>
        <v>362</v>
      </c>
      <c r="P372" s="7">
        <f ca="1">SUMIFS($N$2:$N372,$B$2:$B372,"&lt;&gt;"&amp;B372)+SUM($Q$2:$Q372)</f>
        <v>90.195000000000007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21"/>
        <v>363</v>
      </c>
      <c r="P373" s="7">
        <f ca="1">SUMIFS($N$2:$N373,$B$2:$B373,"&lt;&gt;"&amp;B373)+SUM($Q$2:$Q373)</f>
        <v>90.195000000000007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21"/>
        <v>364</v>
      </c>
      <c r="P374" s="7">
        <f ca="1">SUMIFS($N$2:$N374,$B$2:$B374,"&lt;&gt;"&amp;B374)+SUM($Q$2:$Q374)</f>
        <v>90.195000000000007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21"/>
        <v>365</v>
      </c>
      <c r="P375" s="7">
        <f ca="1">SUMIFS($N$2:$N375,$B$2:$B375,"&lt;&gt;"&amp;B375)+SUM($Q$2:$Q375)</f>
        <v>90.195000000000007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21"/>
        <v>366</v>
      </c>
      <c r="P376" s="7">
        <f ca="1">SUMIFS($N$2:$N376,$B$2:$B376,"&lt;&gt;"&amp;B376)+SUM($Q$2:$Q376)</f>
        <v>90.195000000000007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21"/>
        <v>367</v>
      </c>
      <c r="P377" s="7">
        <f ca="1">SUMIFS($N$2:$N377,$B$2:$B377,"&lt;&gt;"&amp;B377)+SUM($Q$2:$Q377)</f>
        <v>90.195000000000007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21"/>
        <v>368</v>
      </c>
      <c r="P378" s="7">
        <f ca="1">SUMIFS($N$2:$N378,$B$2:$B378,"&lt;&gt;"&amp;B378)+SUM($Q$2:$Q378)</f>
        <v>90.195000000000007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21"/>
        <v>369</v>
      </c>
      <c r="P379" s="7">
        <f ca="1">SUMIFS($N$2:$N379,$B$2:$B379,"&lt;&gt;"&amp;B379)+SUM($Q$2:$Q379)</f>
        <v>90.195000000000007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21"/>
        <v>370</v>
      </c>
      <c r="P380" s="7">
        <f ca="1">SUMIFS($N$2:$N380,$B$2:$B380,"&lt;&gt;"&amp;B380)+SUM($Q$2:$Q380)</f>
        <v>90.195000000000007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21"/>
        <v>371</v>
      </c>
      <c r="P381" s="7">
        <f ca="1">SUMIFS($N$2:$N381,$B$2:$B381,"&lt;&gt;"&amp;B381)+SUM($Q$2:$Q381)</f>
        <v>90.195000000000007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21"/>
        <v>372</v>
      </c>
      <c r="P382" s="7">
        <f ca="1">SUMIFS($N$2:$N382,$B$2:$B382,"&lt;&gt;"&amp;B382)+SUM($Q$2:$Q382)</f>
        <v>90.195000000000007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21"/>
        <v>373</v>
      </c>
      <c r="P383" s="7">
        <f ca="1">SUMIFS($N$2:$N383,$B$2:$B383,"&lt;&gt;"&amp;B383)+SUM($Q$2:$Q383)</f>
        <v>90.195000000000007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21"/>
        <v>374</v>
      </c>
      <c r="P384" s="7">
        <f ca="1">SUMIFS($N$2:$N384,$B$2:$B384,"&lt;&gt;"&amp;B384)+SUM($Q$2:$Q384)</f>
        <v>90.195000000000007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21"/>
        <v>375</v>
      </c>
      <c r="P385" s="7">
        <f ca="1">SUMIFS($N$2:$N385,$B$2:$B385,"&lt;&gt;"&amp;B385)+SUM($Q$2:$Q385)</f>
        <v>90.195000000000007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21"/>
        <v>376</v>
      </c>
      <c r="P386" s="7">
        <f ca="1">SUMIFS($N$2:$N386,$B$2:$B386,"&lt;&gt;"&amp;B386)+SUM($Q$2:$Q386)</f>
        <v>90.195000000000007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ref="A387:A450" si="22">IF(AND(B387="", D387&lt;&gt;""), A386, A386+1)</f>
        <v>377</v>
      </c>
      <c r="P387" s="7">
        <f ca="1">SUMIFS($N$2:$N387,$B$2:$B387,"&lt;&gt;"&amp;B387)+SUM($Q$2:$Q387)</f>
        <v>90.195000000000007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22"/>
        <v>378</v>
      </c>
      <c r="P388" s="7">
        <f ca="1">SUMIFS($N$2:$N388,$B$2:$B388,"&lt;&gt;"&amp;B388)+SUM($Q$2:$Q388)</f>
        <v>90.195000000000007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22"/>
        <v>379</v>
      </c>
      <c r="P389" s="7">
        <f ca="1">SUMIFS($N$2:$N389,$B$2:$B389,"&lt;&gt;"&amp;B389)+SUM($Q$2:$Q389)</f>
        <v>90.195000000000007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22"/>
        <v>380</v>
      </c>
      <c r="P390" s="7">
        <f ca="1">SUMIFS($N$2:$N390,$B$2:$B390,"&lt;&gt;"&amp;B390)+SUM($Q$2:$Q390)</f>
        <v>90.195000000000007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22"/>
        <v>381</v>
      </c>
      <c r="P391" s="7">
        <f ca="1">SUMIFS($N$2:$N391,$B$2:$B391,"&lt;&gt;"&amp;B391)+SUM($Q$2:$Q391)</f>
        <v>90.195000000000007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22"/>
        <v>382</v>
      </c>
      <c r="P392" s="7">
        <f ca="1">SUMIFS($N$2:$N392,$B$2:$B392,"&lt;&gt;"&amp;B392)+SUM($Q$2:$Q392)</f>
        <v>90.195000000000007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22"/>
        <v>383</v>
      </c>
      <c r="P393" s="7">
        <f ca="1">SUMIFS($N$2:$N393,$B$2:$B393,"&lt;&gt;"&amp;B393)+SUM($Q$2:$Q393)</f>
        <v>90.195000000000007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22"/>
        <v>384</v>
      </c>
      <c r="P394" s="7">
        <f ca="1">SUMIFS($N$2:$N394,$B$2:$B394,"&lt;&gt;"&amp;B394)+SUM($Q$2:$Q394)</f>
        <v>90.195000000000007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22"/>
        <v>385</v>
      </c>
      <c r="P395" s="7">
        <f ca="1">SUMIFS($N$2:$N395,$B$2:$B395,"&lt;&gt;"&amp;B395)+SUM($Q$2:$Q395)</f>
        <v>90.195000000000007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22"/>
        <v>386</v>
      </c>
      <c r="P396" s="7">
        <f ca="1">SUMIFS($N$2:$N396,$B$2:$B396,"&lt;&gt;"&amp;B396)+SUM($Q$2:$Q396)</f>
        <v>90.195000000000007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22"/>
        <v>387</v>
      </c>
      <c r="P397" s="7">
        <f ca="1">SUMIFS($N$2:$N397,$B$2:$B397,"&lt;&gt;"&amp;B397)+SUM($Q$2:$Q397)</f>
        <v>90.195000000000007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22"/>
        <v>388</v>
      </c>
      <c r="P398" s="7">
        <f ca="1">SUMIFS($N$2:$N398,$B$2:$B398,"&lt;&gt;"&amp;B398)+SUM($Q$2:$Q398)</f>
        <v>90.195000000000007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22"/>
        <v>389</v>
      </c>
      <c r="P399" s="7">
        <f ca="1">SUMIFS($N$2:$N399,$B$2:$B399,"&lt;&gt;"&amp;B399)+SUM($Q$2:$Q399)</f>
        <v>90.195000000000007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22"/>
        <v>390</v>
      </c>
      <c r="P400" s="7">
        <f ca="1">SUMIFS($N$2:$N400,$B$2:$B400,"&lt;&gt;"&amp;B400)+SUM($Q$2:$Q400)</f>
        <v>90.195000000000007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22"/>
        <v>391</v>
      </c>
      <c r="P401" s="7">
        <f ca="1">SUMIFS($N$2:$N401,$B$2:$B401,"&lt;&gt;"&amp;B401)+SUM($Q$2:$Q401)</f>
        <v>90.195000000000007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22"/>
        <v>392</v>
      </c>
      <c r="P402" s="7">
        <f ca="1">SUMIFS($N$2:$N402,$B$2:$B402,"&lt;&gt;"&amp;B402)+SUM($Q$2:$Q402)</f>
        <v>90.195000000000007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22"/>
        <v>393</v>
      </c>
      <c r="P403" s="7">
        <f ca="1">SUMIFS($N$2:$N403,$B$2:$B403,"&lt;&gt;"&amp;B403)+SUM($Q$2:$Q403)</f>
        <v>90.195000000000007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22"/>
        <v>394</v>
      </c>
      <c r="P404" s="7">
        <f ca="1">SUMIFS($N$2:$N404,$B$2:$B404,"&lt;&gt;"&amp;B404)+SUM($Q$2:$Q404)</f>
        <v>90.195000000000007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22"/>
        <v>395</v>
      </c>
      <c r="P405" s="7">
        <f ca="1">SUMIFS($N$2:$N405,$B$2:$B405,"&lt;&gt;"&amp;B405)+SUM($Q$2:$Q405)</f>
        <v>90.195000000000007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22"/>
        <v>396</v>
      </c>
      <c r="P406" s="7">
        <f ca="1">SUMIFS($N$2:$N406,$B$2:$B406,"&lt;&gt;"&amp;B406)+SUM($Q$2:$Q406)</f>
        <v>90.195000000000007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22"/>
        <v>397</v>
      </c>
      <c r="P407" s="7">
        <f ca="1">SUMIFS($N$2:$N407,$B$2:$B407,"&lt;&gt;"&amp;B407)+SUM($Q$2:$Q407)</f>
        <v>90.195000000000007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22"/>
        <v>398</v>
      </c>
      <c r="P408" s="7">
        <f ca="1">SUMIFS($N$2:$N408,$B$2:$B408,"&lt;&gt;"&amp;B408)+SUM($Q$2:$Q408)</f>
        <v>90.195000000000007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22"/>
        <v>399</v>
      </c>
      <c r="P409" s="7">
        <f ca="1">SUMIFS($N$2:$N409,$B$2:$B409,"&lt;&gt;"&amp;B409)+SUM($Q$2:$Q409)</f>
        <v>90.195000000000007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22"/>
        <v>400</v>
      </c>
      <c r="P410" s="7">
        <f ca="1">SUMIFS($N$2:$N410,$B$2:$B410,"&lt;&gt;"&amp;B410)+SUM($Q$2:$Q410)</f>
        <v>90.195000000000007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22"/>
        <v>401</v>
      </c>
      <c r="P411" s="7">
        <f ca="1">SUMIFS($N$2:$N411,$B$2:$B411,"&lt;&gt;"&amp;B411)+SUM($Q$2:$Q411)</f>
        <v>90.195000000000007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22"/>
        <v>402</v>
      </c>
      <c r="P412" s="7">
        <f ca="1">SUMIFS($N$2:$N412,$B$2:$B412,"&lt;&gt;"&amp;B412)+SUM($Q$2:$Q412)</f>
        <v>90.195000000000007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22"/>
        <v>403</v>
      </c>
      <c r="P413" s="7">
        <f ca="1">SUMIFS($N$2:$N413,$B$2:$B413,"&lt;&gt;"&amp;B413)+SUM($Q$2:$Q413)</f>
        <v>90.195000000000007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22"/>
        <v>404</v>
      </c>
      <c r="P414" s="7">
        <f ca="1">SUMIFS($N$2:$N414,$B$2:$B414,"&lt;&gt;"&amp;B414)+SUM($Q$2:$Q414)</f>
        <v>90.195000000000007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22"/>
        <v>405</v>
      </c>
      <c r="P415" s="7">
        <f ca="1">SUMIFS($N$2:$N415,$B$2:$B415,"&lt;&gt;"&amp;B415)+SUM($Q$2:$Q415)</f>
        <v>90.195000000000007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22"/>
        <v>406</v>
      </c>
      <c r="P416" s="7">
        <f ca="1">SUMIFS($N$2:$N416,$B$2:$B416,"&lt;&gt;"&amp;B416)+SUM($Q$2:$Q416)</f>
        <v>90.195000000000007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22"/>
        <v>407</v>
      </c>
      <c r="P417" s="7">
        <f ca="1">SUMIFS($N$2:$N417,$B$2:$B417,"&lt;&gt;"&amp;B417)+SUM($Q$2:$Q417)</f>
        <v>90.195000000000007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si="22"/>
        <v>408</v>
      </c>
      <c r="P418" s="7">
        <f ca="1">SUMIFS($N$2:$N418,$B$2:$B418,"&lt;&gt;"&amp;B418)+SUM($Q$2:$Q418)</f>
        <v>90.195000000000007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22"/>
        <v>409</v>
      </c>
      <c r="P419" s="7">
        <f ca="1">SUMIFS($N$2:$N419,$B$2:$B419,"&lt;&gt;"&amp;B419)+SUM($Q$2:$Q419)</f>
        <v>90.195000000000007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22"/>
        <v>410</v>
      </c>
      <c r="P420" s="7">
        <f ca="1">SUMIFS($N$2:$N420,$B$2:$B420,"&lt;&gt;"&amp;B420)+SUM($Q$2:$Q420)</f>
        <v>90.195000000000007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22"/>
        <v>411</v>
      </c>
      <c r="P421" s="7">
        <f ca="1">SUMIFS($N$2:$N421,$B$2:$B421,"&lt;&gt;"&amp;B421)+SUM($Q$2:$Q421)</f>
        <v>90.195000000000007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22"/>
        <v>412</v>
      </c>
      <c r="P422" s="7">
        <f ca="1">SUMIFS($N$2:$N422,$B$2:$B422,"&lt;&gt;"&amp;B422)+SUM($Q$2:$Q422)</f>
        <v>90.195000000000007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22"/>
        <v>413</v>
      </c>
      <c r="P423" s="7">
        <f ca="1">SUMIFS($N$2:$N423,$B$2:$B423,"&lt;&gt;"&amp;B423)+SUM($Q$2:$Q423)</f>
        <v>90.195000000000007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22"/>
        <v>414</v>
      </c>
      <c r="P424" s="7">
        <f ca="1">SUMIFS($N$2:$N424,$B$2:$B424,"&lt;&gt;"&amp;B424)+SUM($Q$2:$Q424)</f>
        <v>90.195000000000007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22"/>
        <v>415</v>
      </c>
      <c r="P425" s="7">
        <f ca="1">SUMIFS($N$2:$N425,$B$2:$B425,"&lt;&gt;"&amp;B425)+SUM($Q$2:$Q425)</f>
        <v>90.195000000000007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22"/>
        <v>416</v>
      </c>
      <c r="P426" s="7">
        <f ca="1">SUMIFS($N$2:$N426,$B$2:$B426,"&lt;&gt;"&amp;B426)+SUM($Q$2:$Q426)</f>
        <v>90.195000000000007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22"/>
        <v>417</v>
      </c>
      <c r="P427" s="7">
        <f ca="1">SUMIFS($N$2:$N427,$B$2:$B427,"&lt;&gt;"&amp;B427)+SUM($Q$2:$Q427)</f>
        <v>90.195000000000007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22"/>
        <v>418</v>
      </c>
      <c r="P428" s="7">
        <f ca="1">SUMIFS($N$2:$N428,$B$2:$B428,"&lt;&gt;"&amp;B428)+SUM($Q$2:$Q428)</f>
        <v>90.195000000000007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22"/>
        <v>419</v>
      </c>
      <c r="P429" s="7">
        <f ca="1">SUMIFS($N$2:$N429,$B$2:$B429,"&lt;&gt;"&amp;B429)+SUM($Q$2:$Q429)</f>
        <v>90.195000000000007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22"/>
        <v>420</v>
      </c>
      <c r="P430" s="7">
        <f ca="1">SUMIFS($N$2:$N430,$B$2:$B430,"&lt;&gt;"&amp;B430)+SUM($Q$2:$Q430)</f>
        <v>90.195000000000007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22"/>
        <v>421</v>
      </c>
      <c r="P431" s="7">
        <f ca="1">SUMIFS($N$2:$N431,$B$2:$B431,"&lt;&gt;"&amp;B431)+SUM($Q$2:$Q431)</f>
        <v>90.195000000000007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22"/>
        <v>422</v>
      </c>
      <c r="P432" s="7">
        <f ca="1">SUMIFS($N$2:$N432,$B$2:$B432,"&lt;&gt;"&amp;B432)+SUM($Q$2:$Q432)</f>
        <v>90.195000000000007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22"/>
        <v>423</v>
      </c>
      <c r="P433" s="7">
        <f ca="1">SUMIFS($N$2:$N433,$B$2:$B433,"&lt;&gt;"&amp;B433)+SUM($Q$2:$Q433)</f>
        <v>90.195000000000007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22"/>
        <v>424</v>
      </c>
      <c r="P434" s="7">
        <f ca="1">SUMIFS($N$2:$N434,$B$2:$B434,"&lt;&gt;"&amp;B434)+SUM($Q$2:$Q434)</f>
        <v>90.195000000000007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22"/>
        <v>425</v>
      </c>
      <c r="P435" s="7">
        <f ca="1">SUMIFS($N$2:$N435,$B$2:$B435,"&lt;&gt;"&amp;B435)+SUM($Q$2:$Q435)</f>
        <v>90.195000000000007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22"/>
        <v>426</v>
      </c>
      <c r="P436" s="7">
        <f ca="1">SUMIFS($N$2:$N436,$B$2:$B436,"&lt;&gt;"&amp;B436)+SUM($Q$2:$Q436)</f>
        <v>90.195000000000007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22"/>
        <v>427</v>
      </c>
      <c r="P437" s="7">
        <f ca="1">SUMIFS($N$2:$N437,$B$2:$B437,"&lt;&gt;"&amp;B437)+SUM($Q$2:$Q437)</f>
        <v>90.195000000000007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22"/>
        <v>428</v>
      </c>
      <c r="P438" s="7">
        <f ca="1">SUMIFS($N$2:$N438,$B$2:$B438,"&lt;&gt;"&amp;B438)+SUM($Q$2:$Q438)</f>
        <v>90.195000000000007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22"/>
        <v>429</v>
      </c>
      <c r="P439" s="7">
        <f ca="1">SUMIFS($N$2:$N439,$B$2:$B439,"&lt;&gt;"&amp;B439)+SUM($Q$2:$Q439)</f>
        <v>90.195000000000007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22"/>
        <v>430</v>
      </c>
      <c r="P440" s="7">
        <f ca="1">SUMIFS($N$2:$N440,$B$2:$B440,"&lt;&gt;"&amp;B440)+SUM($Q$2:$Q440)</f>
        <v>90.195000000000007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22"/>
        <v>431</v>
      </c>
      <c r="P441" s="7">
        <f ca="1">SUMIFS($N$2:$N441,$B$2:$B441,"&lt;&gt;"&amp;B441)+SUM($Q$2:$Q441)</f>
        <v>90.195000000000007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22"/>
        <v>432</v>
      </c>
      <c r="P442" s="7">
        <f ca="1">SUMIFS($N$2:$N442,$B$2:$B442,"&lt;&gt;"&amp;B442)+SUM($Q$2:$Q442)</f>
        <v>90.195000000000007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22"/>
        <v>433</v>
      </c>
      <c r="P443" s="7">
        <f ca="1">SUMIFS($N$2:$N443,$B$2:$B443,"&lt;&gt;"&amp;B443)+SUM($Q$2:$Q443)</f>
        <v>90.195000000000007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22"/>
        <v>434</v>
      </c>
      <c r="P444" s="7">
        <f ca="1">SUMIFS($N$2:$N444,$B$2:$B444,"&lt;&gt;"&amp;B444)+SUM($Q$2:$Q444)</f>
        <v>90.195000000000007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22"/>
        <v>435</v>
      </c>
      <c r="P445" s="7">
        <f ca="1">SUMIFS($N$2:$N445,$B$2:$B445,"&lt;&gt;"&amp;B445)+SUM($Q$2:$Q445)</f>
        <v>90.195000000000007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22"/>
        <v>436</v>
      </c>
      <c r="P446" s="7">
        <f ca="1">SUMIFS($N$2:$N446,$B$2:$B446,"&lt;&gt;"&amp;B446)+SUM($Q$2:$Q446)</f>
        <v>90.195000000000007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22"/>
        <v>437</v>
      </c>
      <c r="P447" s="7">
        <f ca="1">SUMIFS($N$2:$N447,$B$2:$B447,"&lt;&gt;"&amp;B447)+SUM($Q$2:$Q447)</f>
        <v>90.195000000000007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22"/>
        <v>438</v>
      </c>
      <c r="P448" s="7">
        <f ca="1">SUMIFS($N$2:$N448,$B$2:$B448,"&lt;&gt;"&amp;B448)+SUM($Q$2:$Q448)</f>
        <v>90.195000000000007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22"/>
        <v>439</v>
      </c>
      <c r="P449" s="7">
        <f ca="1">SUMIFS($N$2:$N449,$B$2:$B449,"&lt;&gt;"&amp;B449)+SUM($Q$2:$Q449)</f>
        <v>90.195000000000007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22"/>
        <v>440</v>
      </c>
      <c r="P450" s="7">
        <f ca="1">SUMIFS($N$2:$N450,$B$2:$B450,"&lt;&gt;"&amp;B450)+SUM($Q$2:$Q450)</f>
        <v>90.195000000000007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ref="A451:A514" si="23">IF(AND(B451="", D451&lt;&gt;""), A450, A450+1)</f>
        <v>441</v>
      </c>
      <c r="P451" s="7">
        <f ca="1">SUMIFS($N$2:$N451,$B$2:$B451,"&lt;&gt;"&amp;B451)+SUM($Q$2:$Q451)</f>
        <v>90.195000000000007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23"/>
        <v>442</v>
      </c>
      <c r="P452" s="7">
        <f ca="1">SUMIFS($N$2:$N452,$B$2:$B452,"&lt;&gt;"&amp;B452)+SUM($Q$2:$Q452)</f>
        <v>90.195000000000007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23"/>
        <v>443</v>
      </c>
      <c r="P453" s="7">
        <f ca="1">SUMIFS($N$2:$N453,$B$2:$B453,"&lt;&gt;"&amp;B453)+SUM($Q$2:$Q453)</f>
        <v>90.195000000000007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23"/>
        <v>444</v>
      </c>
      <c r="P454" s="7">
        <f ca="1">SUMIFS($N$2:$N454,$B$2:$B454,"&lt;&gt;"&amp;B454)+SUM($Q$2:$Q454)</f>
        <v>90.195000000000007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23"/>
        <v>445</v>
      </c>
      <c r="P455" s="7">
        <f ca="1">SUMIFS($N$2:$N455,$B$2:$B455,"&lt;&gt;"&amp;B455)+SUM($Q$2:$Q455)</f>
        <v>90.195000000000007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23"/>
        <v>446</v>
      </c>
      <c r="P456" s="7">
        <f ca="1">SUMIFS($N$2:$N456,$B$2:$B456,"&lt;&gt;"&amp;B456)+SUM($Q$2:$Q456)</f>
        <v>90.195000000000007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23"/>
        <v>447</v>
      </c>
      <c r="P457" s="7">
        <f ca="1">SUMIFS($N$2:$N457,$B$2:$B457,"&lt;&gt;"&amp;B457)+SUM($Q$2:$Q457)</f>
        <v>90.195000000000007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23"/>
        <v>448</v>
      </c>
      <c r="P458" s="7">
        <f ca="1">SUMIFS($N$2:$N458,$B$2:$B458,"&lt;&gt;"&amp;B458)+SUM($Q$2:$Q458)</f>
        <v>90.195000000000007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23"/>
        <v>449</v>
      </c>
      <c r="P459" s="7">
        <f ca="1">SUMIFS($N$2:$N459,$B$2:$B459,"&lt;&gt;"&amp;B459)+SUM($Q$2:$Q459)</f>
        <v>90.195000000000007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23"/>
        <v>450</v>
      </c>
      <c r="P460" s="7">
        <f ca="1">SUMIFS($N$2:$N460,$B$2:$B460,"&lt;&gt;"&amp;B460)+SUM($Q$2:$Q460)</f>
        <v>90.195000000000007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23"/>
        <v>451</v>
      </c>
      <c r="P461" s="7">
        <f ca="1">SUMIFS($N$2:$N461,$B$2:$B461,"&lt;&gt;"&amp;B461)+SUM($Q$2:$Q461)</f>
        <v>90.195000000000007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23"/>
        <v>452</v>
      </c>
      <c r="P462" s="7">
        <f ca="1">SUMIFS($N$2:$N462,$B$2:$B462,"&lt;&gt;"&amp;B462)+SUM($Q$2:$Q462)</f>
        <v>90.195000000000007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23"/>
        <v>453</v>
      </c>
      <c r="P463" s="7">
        <f ca="1">SUMIFS($N$2:$N463,$B$2:$B463,"&lt;&gt;"&amp;B463)+SUM($Q$2:$Q463)</f>
        <v>90.195000000000007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23"/>
        <v>454</v>
      </c>
      <c r="P464" s="7">
        <f ca="1">SUMIFS($N$2:$N464,$B$2:$B464,"&lt;&gt;"&amp;B464)+SUM($Q$2:$Q464)</f>
        <v>90.195000000000007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23"/>
        <v>455</v>
      </c>
      <c r="P465" s="7">
        <f ca="1">SUMIFS($N$2:$N465,$B$2:$B465,"&lt;&gt;"&amp;B465)+SUM($Q$2:$Q465)</f>
        <v>90.195000000000007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23"/>
        <v>456</v>
      </c>
      <c r="P466" s="7">
        <f ca="1">SUMIFS($N$2:$N466,$B$2:$B466,"&lt;&gt;"&amp;B466)+SUM($Q$2:$Q466)</f>
        <v>90.195000000000007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23"/>
        <v>457</v>
      </c>
      <c r="P467" s="7">
        <f ca="1">SUMIFS($N$2:$N467,$B$2:$B467,"&lt;&gt;"&amp;B467)+SUM($Q$2:$Q467)</f>
        <v>90.195000000000007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23"/>
        <v>458</v>
      </c>
      <c r="P468" s="7">
        <f ca="1">SUMIFS($N$2:$N468,$B$2:$B468,"&lt;&gt;"&amp;B468)+SUM($Q$2:$Q468)</f>
        <v>90.195000000000007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23"/>
        <v>459</v>
      </c>
      <c r="P469" s="7">
        <f ca="1">SUMIFS($N$2:$N469,$B$2:$B469,"&lt;&gt;"&amp;B469)+SUM($Q$2:$Q469)</f>
        <v>90.195000000000007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23"/>
        <v>460</v>
      </c>
      <c r="P470" s="7">
        <f ca="1">SUMIFS($N$2:$N470,$B$2:$B470,"&lt;&gt;"&amp;B470)+SUM($Q$2:$Q470)</f>
        <v>90.195000000000007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23"/>
        <v>461</v>
      </c>
      <c r="P471" s="7">
        <f ca="1">SUMIFS($N$2:$N471,$B$2:$B471,"&lt;&gt;"&amp;B471)+SUM($Q$2:$Q471)</f>
        <v>90.195000000000007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23"/>
        <v>462</v>
      </c>
      <c r="P472" s="7">
        <f ca="1">SUMIFS($N$2:$N472,$B$2:$B472,"&lt;&gt;"&amp;B472)+SUM($Q$2:$Q472)</f>
        <v>90.195000000000007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23"/>
        <v>463</v>
      </c>
      <c r="P473" s="7">
        <f ca="1">SUMIFS($N$2:$N473,$B$2:$B473,"&lt;&gt;"&amp;B473)+SUM($Q$2:$Q473)</f>
        <v>90.195000000000007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23"/>
        <v>464</v>
      </c>
      <c r="P474" s="7">
        <f ca="1">SUMIFS($N$2:$N474,$B$2:$B474,"&lt;&gt;"&amp;B474)+SUM($Q$2:$Q474)</f>
        <v>90.195000000000007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23"/>
        <v>465</v>
      </c>
      <c r="P475" s="7">
        <f ca="1">SUMIFS($N$2:$N475,$B$2:$B475,"&lt;&gt;"&amp;B475)+SUM($Q$2:$Q475)</f>
        <v>90.195000000000007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23"/>
        <v>466</v>
      </c>
      <c r="P476" s="7">
        <f ca="1">SUMIFS($N$2:$N476,$B$2:$B476,"&lt;&gt;"&amp;B476)+SUM($Q$2:$Q476)</f>
        <v>90.195000000000007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23"/>
        <v>467</v>
      </c>
      <c r="P477" s="7">
        <f ca="1">SUMIFS($N$2:$N477,$B$2:$B477,"&lt;&gt;"&amp;B477)+SUM($Q$2:$Q477)</f>
        <v>90.195000000000007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23"/>
        <v>468</v>
      </c>
      <c r="P478" s="7">
        <f ca="1">SUMIFS($N$2:$N478,$B$2:$B478,"&lt;&gt;"&amp;B478)+SUM($Q$2:$Q478)</f>
        <v>90.195000000000007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23"/>
        <v>469</v>
      </c>
      <c r="P479" s="7">
        <f ca="1">SUMIFS($N$2:$N479,$B$2:$B479,"&lt;&gt;"&amp;B479)+SUM($Q$2:$Q479)</f>
        <v>90.195000000000007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23"/>
        <v>470</v>
      </c>
      <c r="P480" s="7">
        <f ca="1">SUMIFS($N$2:$N480,$B$2:$B480,"&lt;&gt;"&amp;B480)+SUM($Q$2:$Q480)</f>
        <v>90.195000000000007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23"/>
        <v>471</v>
      </c>
      <c r="P481" s="7">
        <f ca="1">SUMIFS($N$2:$N481,$B$2:$B481,"&lt;&gt;"&amp;B481)+SUM($Q$2:$Q481)</f>
        <v>90.195000000000007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si="23"/>
        <v>472</v>
      </c>
      <c r="P482" s="7">
        <f ca="1">SUMIFS($N$2:$N482,$B$2:$B482,"&lt;&gt;"&amp;B482)+SUM($Q$2:$Q482)</f>
        <v>90.195000000000007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23"/>
        <v>473</v>
      </c>
      <c r="P483" s="7">
        <f ca="1">SUMIFS($N$2:$N483,$B$2:$B483,"&lt;&gt;"&amp;B483)+SUM($Q$2:$Q483)</f>
        <v>90.195000000000007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23"/>
        <v>474</v>
      </c>
      <c r="P484" s="7">
        <f ca="1">SUMIFS($N$2:$N484,$B$2:$B484,"&lt;&gt;"&amp;B484)+SUM($Q$2:$Q484)</f>
        <v>90.195000000000007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23"/>
        <v>475</v>
      </c>
      <c r="P485" s="7">
        <f ca="1">SUMIFS($N$2:$N485,$B$2:$B485,"&lt;&gt;"&amp;B485)+SUM($Q$2:$Q485)</f>
        <v>90.195000000000007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23"/>
        <v>476</v>
      </c>
      <c r="P486" s="7">
        <f ca="1">SUMIFS($N$2:$N486,$B$2:$B486,"&lt;&gt;"&amp;B486)+SUM($Q$2:$Q486)</f>
        <v>90.195000000000007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23"/>
        <v>477</v>
      </c>
      <c r="P487" s="7">
        <f ca="1">SUMIFS($N$2:$N487,$B$2:$B487,"&lt;&gt;"&amp;B487)+SUM($Q$2:$Q487)</f>
        <v>90.195000000000007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23"/>
        <v>478</v>
      </c>
      <c r="P488" s="7">
        <f ca="1">SUMIFS($N$2:$N488,$B$2:$B488,"&lt;&gt;"&amp;B488)+SUM($Q$2:$Q488)</f>
        <v>90.195000000000007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23"/>
        <v>479</v>
      </c>
      <c r="P489" s="7">
        <f ca="1">SUMIFS($N$2:$N489,$B$2:$B489,"&lt;&gt;"&amp;B489)+SUM($Q$2:$Q489)</f>
        <v>90.195000000000007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23"/>
        <v>480</v>
      </c>
      <c r="P490" s="7">
        <f ca="1">SUMIFS($N$2:$N490,$B$2:$B490,"&lt;&gt;"&amp;B490)+SUM($Q$2:$Q490)</f>
        <v>90.195000000000007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23"/>
        <v>481</v>
      </c>
      <c r="P491" s="7">
        <f ca="1">SUMIFS($N$2:$N491,$B$2:$B491,"&lt;&gt;"&amp;B491)+SUM($Q$2:$Q491)</f>
        <v>90.195000000000007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23"/>
        <v>482</v>
      </c>
      <c r="P492" s="7">
        <f ca="1">SUMIFS($N$2:$N492,$B$2:$B492,"&lt;&gt;"&amp;B492)+SUM($Q$2:$Q492)</f>
        <v>90.195000000000007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23"/>
        <v>483</v>
      </c>
      <c r="P493" s="7">
        <f ca="1">SUMIFS($N$2:$N493,$B$2:$B493,"&lt;&gt;"&amp;B493)+SUM($Q$2:$Q493)</f>
        <v>90.195000000000007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23"/>
        <v>484</v>
      </c>
      <c r="P494" s="7">
        <f ca="1">SUMIFS($N$2:$N494,$B$2:$B494,"&lt;&gt;"&amp;B494)+SUM($Q$2:$Q494)</f>
        <v>90.195000000000007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23"/>
        <v>485</v>
      </c>
      <c r="P495" s="7">
        <f ca="1">SUMIFS($N$2:$N495,$B$2:$B495,"&lt;&gt;"&amp;B495)+SUM($Q$2:$Q495)</f>
        <v>90.195000000000007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23"/>
        <v>486</v>
      </c>
      <c r="P496" s="7">
        <f ca="1">SUMIFS($N$2:$N496,$B$2:$B496,"&lt;&gt;"&amp;B496)+SUM($Q$2:$Q496)</f>
        <v>90.195000000000007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23"/>
        <v>487</v>
      </c>
      <c r="P497" s="7">
        <f ca="1">SUMIFS($N$2:$N497,$B$2:$B497,"&lt;&gt;"&amp;B497)+SUM($Q$2:$Q497)</f>
        <v>90.195000000000007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23"/>
        <v>488</v>
      </c>
      <c r="P498" s="7">
        <f ca="1">SUMIFS($N$2:$N498,$B$2:$B498,"&lt;&gt;"&amp;B498)+SUM($Q$2:$Q498)</f>
        <v>90.195000000000007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23"/>
        <v>489</v>
      </c>
      <c r="P499" s="7">
        <f ca="1">SUMIFS($N$2:$N499,$B$2:$B499,"&lt;&gt;"&amp;B499)+SUM($Q$2:$Q499)</f>
        <v>90.195000000000007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23"/>
        <v>490</v>
      </c>
      <c r="P500" s="7">
        <f ca="1">SUMIFS($N$2:$N500,$B$2:$B500,"&lt;&gt;"&amp;B500)+SUM($Q$2:$Q500)</f>
        <v>90.195000000000007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23"/>
        <v>491</v>
      </c>
      <c r="P501" s="7">
        <f ca="1">SUMIFS($N$2:$N501,$B$2:$B501,"&lt;&gt;"&amp;B501)+SUM($Q$2:$Q501)</f>
        <v>90.195000000000007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23"/>
        <v>492</v>
      </c>
      <c r="P502" s="7">
        <f ca="1">SUMIFS($N$2:$N502,$B$2:$B502,"&lt;&gt;"&amp;B502)+SUM($Q$2:$Q502)</f>
        <v>90.195000000000007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23"/>
        <v>493</v>
      </c>
      <c r="P503" s="7">
        <f ca="1">SUMIFS($N$2:$N503,$B$2:$B503,"&lt;&gt;"&amp;B503)+SUM($Q$2:$Q503)</f>
        <v>90.195000000000007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23"/>
        <v>494</v>
      </c>
      <c r="P504" s="7">
        <f ca="1">SUMIFS($N$2:$N504,$B$2:$B504,"&lt;&gt;"&amp;B504)+SUM($Q$2:$Q504)</f>
        <v>90.195000000000007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23"/>
        <v>495</v>
      </c>
      <c r="P505" s="7">
        <f ca="1">SUMIFS($N$2:$N505,$B$2:$B505,"&lt;&gt;"&amp;B505)+SUM($Q$2:$Q505)</f>
        <v>90.195000000000007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23"/>
        <v>496</v>
      </c>
      <c r="P506" s="7">
        <f ca="1">SUMIFS($N$2:$N506,$B$2:$B506,"&lt;&gt;"&amp;B506)+SUM($Q$2:$Q506)</f>
        <v>90.195000000000007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23"/>
        <v>497</v>
      </c>
      <c r="P507" s="7">
        <f ca="1">SUMIFS($N$2:$N507,$B$2:$B507,"&lt;&gt;"&amp;B507)+SUM($Q$2:$Q507)</f>
        <v>90.195000000000007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23"/>
        <v>498</v>
      </c>
      <c r="P508" s="7">
        <f ca="1">SUMIFS($N$2:$N508,$B$2:$B508,"&lt;&gt;"&amp;B508)+SUM($Q$2:$Q508)</f>
        <v>90.195000000000007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23"/>
        <v>499</v>
      </c>
      <c r="P509" s="7">
        <f ca="1">SUMIFS($N$2:$N509,$B$2:$B509,"&lt;&gt;"&amp;B509)+SUM($Q$2:$Q509)</f>
        <v>90.195000000000007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23"/>
        <v>500</v>
      </c>
      <c r="P510" s="7">
        <f ca="1">SUMIFS($N$2:$N510,$B$2:$B510,"&lt;&gt;"&amp;B510)+SUM($Q$2:$Q510)</f>
        <v>90.195000000000007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23"/>
        <v>501</v>
      </c>
      <c r="P511" s="7">
        <f ca="1">SUMIFS($N$2:$N511,$B$2:$B511,"&lt;&gt;"&amp;B511)+SUM($Q$2:$Q511)</f>
        <v>90.195000000000007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23"/>
        <v>502</v>
      </c>
      <c r="P512" s="7">
        <f ca="1">SUMIFS($N$2:$N512,$B$2:$B512,"&lt;&gt;"&amp;B512)+SUM($Q$2:$Q512)</f>
        <v>90.195000000000007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23"/>
        <v>503</v>
      </c>
      <c r="P513" s="7">
        <f ca="1">SUMIFS($N$2:$N513,$B$2:$B513,"&lt;&gt;"&amp;B513)+SUM($Q$2:$Q513)</f>
        <v>90.195000000000007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23"/>
        <v>504</v>
      </c>
      <c r="P514" s="7">
        <f ca="1">SUMIFS($N$2:$N514,$B$2:$B514,"&lt;&gt;"&amp;B514)+SUM($Q$2:$Q514)</f>
        <v>90.195000000000007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ref="A515:A578" si="24">IF(AND(B515="", D515&lt;&gt;""), A514, A514+1)</f>
        <v>505</v>
      </c>
      <c r="P515" s="7">
        <f ca="1">SUMIFS($N$2:$N515,$B$2:$B515,"&lt;&gt;"&amp;B515)+SUM($Q$2:$Q515)</f>
        <v>90.195000000000007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24"/>
        <v>506</v>
      </c>
      <c r="P516" s="7">
        <f ca="1">SUMIFS($N$2:$N516,$B$2:$B516,"&lt;&gt;"&amp;B516)+SUM($Q$2:$Q516)</f>
        <v>90.195000000000007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24"/>
        <v>507</v>
      </c>
      <c r="P517" s="7">
        <f ca="1">SUMIFS($N$2:$N517,$B$2:$B517,"&lt;&gt;"&amp;B517)+SUM($Q$2:$Q517)</f>
        <v>90.195000000000007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24"/>
        <v>508</v>
      </c>
      <c r="P518" s="7">
        <f ca="1">SUMIFS($N$2:$N518,$B$2:$B518,"&lt;&gt;"&amp;B518)+SUM($Q$2:$Q518)</f>
        <v>90.195000000000007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24"/>
        <v>509</v>
      </c>
      <c r="P519" s="7">
        <f ca="1">SUMIFS($N$2:$N519,$B$2:$B519,"&lt;&gt;"&amp;B519)+SUM($Q$2:$Q519)</f>
        <v>90.195000000000007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24"/>
        <v>510</v>
      </c>
      <c r="P520" s="7">
        <f ca="1">SUMIFS($N$2:$N520,$B$2:$B520,"&lt;&gt;"&amp;B520)+SUM($Q$2:$Q520)</f>
        <v>90.195000000000007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24"/>
        <v>511</v>
      </c>
      <c r="P521" s="7">
        <f ca="1">SUMIFS($N$2:$N521,$B$2:$B521,"&lt;&gt;"&amp;B521)+SUM($Q$2:$Q521)</f>
        <v>90.195000000000007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24"/>
        <v>512</v>
      </c>
      <c r="P522" s="7">
        <f ca="1">SUMIFS($N$2:$N522,$B$2:$B522,"&lt;&gt;"&amp;B522)+SUM($Q$2:$Q522)</f>
        <v>90.195000000000007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24"/>
        <v>513</v>
      </c>
      <c r="P523" s="7">
        <f ca="1">SUMIFS($N$2:$N523,$B$2:$B523,"&lt;&gt;"&amp;B523)+SUM($Q$2:$Q523)</f>
        <v>90.195000000000007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24"/>
        <v>514</v>
      </c>
      <c r="P524" s="7">
        <f ca="1">SUMIFS($N$2:$N524,$B$2:$B524,"&lt;&gt;"&amp;B524)+SUM($Q$2:$Q524)</f>
        <v>90.195000000000007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24"/>
        <v>515</v>
      </c>
      <c r="P525" s="7">
        <f ca="1">SUMIFS($N$2:$N525,$B$2:$B525,"&lt;&gt;"&amp;B525)+SUM($Q$2:$Q525)</f>
        <v>90.195000000000007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24"/>
        <v>516</v>
      </c>
      <c r="P526" s="7">
        <f ca="1">SUMIFS($N$2:$N526,$B$2:$B526,"&lt;&gt;"&amp;B526)+SUM($Q$2:$Q526)</f>
        <v>90.195000000000007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24"/>
        <v>517</v>
      </c>
      <c r="P527" s="7">
        <f ca="1">SUMIFS($N$2:$N527,$B$2:$B527,"&lt;&gt;"&amp;B527)+SUM($Q$2:$Q527)</f>
        <v>90.195000000000007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24"/>
        <v>518</v>
      </c>
      <c r="P528" s="7">
        <f ca="1">SUMIFS($N$2:$N528,$B$2:$B528,"&lt;&gt;"&amp;B528)+SUM($Q$2:$Q528)</f>
        <v>90.195000000000007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24"/>
        <v>519</v>
      </c>
      <c r="P529" s="7">
        <f ca="1">SUMIFS($N$2:$N529,$B$2:$B529,"&lt;&gt;"&amp;B529)+SUM($Q$2:$Q529)</f>
        <v>90.195000000000007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24"/>
        <v>520</v>
      </c>
      <c r="P530" s="7">
        <f ca="1">SUMIFS($N$2:$N530,$B$2:$B530,"&lt;&gt;"&amp;B530)+SUM($Q$2:$Q530)</f>
        <v>90.195000000000007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24"/>
        <v>521</v>
      </c>
      <c r="P531" s="7">
        <f ca="1">SUMIFS($N$2:$N531,$B$2:$B531,"&lt;&gt;"&amp;B531)+SUM($Q$2:$Q531)</f>
        <v>90.195000000000007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24"/>
        <v>522</v>
      </c>
      <c r="P532" s="7">
        <f ca="1">SUMIFS($N$2:$N532,$B$2:$B532,"&lt;&gt;"&amp;B532)+SUM($Q$2:$Q532)</f>
        <v>90.195000000000007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24"/>
        <v>523</v>
      </c>
      <c r="P533" s="7">
        <f ca="1">SUMIFS($N$2:$N533,$B$2:$B533,"&lt;&gt;"&amp;B533)+SUM($Q$2:$Q533)</f>
        <v>90.195000000000007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24"/>
        <v>524</v>
      </c>
      <c r="P534" s="7">
        <f ca="1">SUMIFS($N$2:$N534,$B$2:$B534,"&lt;&gt;"&amp;B534)+SUM($Q$2:$Q534)</f>
        <v>90.195000000000007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24"/>
        <v>525</v>
      </c>
      <c r="P535" s="7">
        <f ca="1">SUMIFS($N$2:$N535,$B$2:$B535,"&lt;&gt;"&amp;B535)+SUM($Q$2:$Q535)</f>
        <v>90.195000000000007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24"/>
        <v>526</v>
      </c>
      <c r="P536" s="7">
        <f ca="1">SUMIFS($N$2:$N536,$B$2:$B536,"&lt;&gt;"&amp;B536)+SUM($Q$2:$Q536)</f>
        <v>90.195000000000007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24"/>
        <v>527</v>
      </c>
      <c r="P537" s="7">
        <f ca="1">SUMIFS($N$2:$N537,$B$2:$B537,"&lt;&gt;"&amp;B537)+SUM($Q$2:$Q537)</f>
        <v>90.195000000000007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24"/>
        <v>528</v>
      </c>
      <c r="P538" s="7">
        <f ca="1">SUMIFS($N$2:$N538,$B$2:$B538,"&lt;&gt;"&amp;B538)+SUM($Q$2:$Q538)</f>
        <v>90.195000000000007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24"/>
        <v>529</v>
      </c>
      <c r="P539" s="7">
        <f ca="1">SUMIFS($N$2:$N539,$B$2:$B539,"&lt;&gt;"&amp;B539)+SUM($Q$2:$Q539)</f>
        <v>90.195000000000007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24"/>
        <v>530</v>
      </c>
      <c r="P540" s="7">
        <f ca="1">SUMIFS($N$2:$N540,$B$2:$B540,"&lt;&gt;"&amp;B540)+SUM($Q$2:$Q540)</f>
        <v>90.195000000000007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24"/>
        <v>531</v>
      </c>
      <c r="P541" s="7">
        <f ca="1">SUMIFS($N$2:$N541,$B$2:$B541,"&lt;&gt;"&amp;B541)+SUM($Q$2:$Q541)</f>
        <v>90.195000000000007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24"/>
        <v>532</v>
      </c>
      <c r="P542" s="7">
        <f ca="1">SUMIFS($N$2:$N542,$B$2:$B542,"&lt;&gt;"&amp;B542)+SUM($Q$2:$Q542)</f>
        <v>90.195000000000007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24"/>
        <v>533</v>
      </c>
      <c r="P543" s="7">
        <f ca="1">SUMIFS($N$2:$N543,$B$2:$B543,"&lt;&gt;"&amp;B543)+SUM($Q$2:$Q543)</f>
        <v>90.195000000000007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24"/>
        <v>534</v>
      </c>
      <c r="P544" s="7">
        <f ca="1">SUMIFS($N$2:$N544,$B$2:$B544,"&lt;&gt;"&amp;B544)+SUM($Q$2:$Q544)</f>
        <v>90.195000000000007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24"/>
        <v>535</v>
      </c>
      <c r="P545" s="7">
        <f ca="1">SUMIFS($N$2:$N545,$B$2:$B545,"&lt;&gt;"&amp;B545)+SUM($Q$2:$Q545)</f>
        <v>90.195000000000007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si="24"/>
        <v>536</v>
      </c>
      <c r="P546" s="7">
        <f ca="1">SUMIFS($N$2:$N546,$B$2:$B546,"&lt;&gt;"&amp;B546)+SUM($Q$2:$Q546)</f>
        <v>90.195000000000007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24"/>
        <v>537</v>
      </c>
      <c r="P547" s="7">
        <f ca="1">SUMIFS($N$2:$N547,$B$2:$B547,"&lt;&gt;"&amp;B547)+SUM($Q$2:$Q547)</f>
        <v>90.195000000000007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24"/>
        <v>538</v>
      </c>
      <c r="P548" s="7">
        <f ca="1">SUMIFS($N$2:$N548,$B$2:$B548,"&lt;&gt;"&amp;B548)+SUM($Q$2:$Q548)</f>
        <v>90.195000000000007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24"/>
        <v>539</v>
      </c>
      <c r="P549" s="7">
        <f ca="1">SUMIFS($N$2:$N549,$B$2:$B549,"&lt;&gt;"&amp;B549)+SUM($Q$2:$Q549)</f>
        <v>90.195000000000007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24"/>
        <v>540</v>
      </c>
      <c r="P550" s="7">
        <f ca="1">SUMIFS($N$2:$N550,$B$2:$B550,"&lt;&gt;"&amp;B550)+SUM($Q$2:$Q550)</f>
        <v>90.195000000000007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24"/>
        <v>541</v>
      </c>
      <c r="P551" s="7">
        <f ca="1">SUMIFS($N$2:$N551,$B$2:$B551,"&lt;&gt;"&amp;B551)+SUM($Q$2:$Q551)</f>
        <v>90.195000000000007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24"/>
        <v>542</v>
      </c>
      <c r="P552" s="7">
        <f ca="1">SUMIFS($N$2:$N552,$B$2:$B552,"&lt;&gt;"&amp;B552)+SUM($Q$2:$Q552)</f>
        <v>90.195000000000007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24"/>
        <v>543</v>
      </c>
      <c r="P553" s="7">
        <f ca="1">SUMIFS($N$2:$N553,$B$2:$B553,"&lt;&gt;"&amp;B553)+SUM($Q$2:$Q553)</f>
        <v>90.195000000000007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24"/>
        <v>544</v>
      </c>
      <c r="P554" s="7">
        <f ca="1">SUMIFS($N$2:$N554,$B$2:$B554,"&lt;&gt;"&amp;B554)+SUM($Q$2:$Q554)</f>
        <v>90.195000000000007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24"/>
        <v>545</v>
      </c>
      <c r="P555" s="7">
        <f ca="1">SUMIFS($N$2:$N555,$B$2:$B555,"&lt;&gt;"&amp;B555)+SUM($Q$2:$Q555)</f>
        <v>90.195000000000007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24"/>
        <v>546</v>
      </c>
      <c r="P556" s="7">
        <f ca="1">SUMIFS($N$2:$N556,$B$2:$B556,"&lt;&gt;"&amp;B556)+SUM($Q$2:$Q556)</f>
        <v>90.195000000000007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24"/>
        <v>547</v>
      </c>
      <c r="P557" s="7">
        <f ca="1">SUMIFS($N$2:$N557,$B$2:$B557,"&lt;&gt;"&amp;B557)+SUM($Q$2:$Q557)</f>
        <v>90.195000000000007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24"/>
        <v>548</v>
      </c>
      <c r="P558" s="7">
        <f ca="1">SUMIFS($N$2:$N558,$B$2:$B558,"&lt;&gt;"&amp;B558)+SUM($Q$2:$Q558)</f>
        <v>90.195000000000007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24"/>
        <v>549</v>
      </c>
      <c r="P559" s="7">
        <f ca="1">SUMIFS($N$2:$N559,$B$2:$B559,"&lt;&gt;"&amp;B559)+SUM($Q$2:$Q559)</f>
        <v>90.195000000000007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24"/>
        <v>550</v>
      </c>
      <c r="P560" s="7">
        <f ca="1">SUMIFS($N$2:$N560,$B$2:$B560,"&lt;&gt;"&amp;B560)+SUM($Q$2:$Q560)</f>
        <v>90.195000000000007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24"/>
        <v>551</v>
      </c>
      <c r="P561" s="7">
        <f ca="1">SUMIFS($N$2:$N561,$B$2:$B561,"&lt;&gt;"&amp;B561)+SUM($Q$2:$Q561)</f>
        <v>90.195000000000007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24"/>
        <v>552</v>
      </c>
      <c r="P562" s="7">
        <f ca="1">SUMIFS($N$2:$N562,$B$2:$B562,"&lt;&gt;"&amp;B562)+SUM($Q$2:$Q562)</f>
        <v>90.195000000000007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24"/>
        <v>553</v>
      </c>
      <c r="P563" s="7">
        <f ca="1">SUMIFS($N$2:$N563,$B$2:$B563,"&lt;&gt;"&amp;B563)+SUM($Q$2:$Q563)</f>
        <v>90.195000000000007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24"/>
        <v>554</v>
      </c>
      <c r="P564" s="7">
        <f ca="1">SUMIFS($N$2:$N564,$B$2:$B564,"&lt;&gt;"&amp;B564)+SUM($Q$2:$Q564)</f>
        <v>90.195000000000007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24"/>
        <v>555</v>
      </c>
      <c r="P565" s="7">
        <f ca="1">SUMIFS($N$2:$N565,$B$2:$B565,"&lt;&gt;"&amp;B565)+SUM($Q$2:$Q565)</f>
        <v>90.195000000000007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24"/>
        <v>556</v>
      </c>
      <c r="P566" s="7">
        <f ca="1">SUMIFS($N$2:$N566,$B$2:$B566,"&lt;&gt;"&amp;B566)+SUM($Q$2:$Q566)</f>
        <v>90.195000000000007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24"/>
        <v>557</v>
      </c>
      <c r="P567" s="7">
        <f ca="1">SUMIFS($N$2:$N567,$B$2:$B567,"&lt;&gt;"&amp;B567)+SUM($Q$2:$Q567)</f>
        <v>90.195000000000007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24"/>
        <v>558</v>
      </c>
      <c r="P568" s="7">
        <f ca="1">SUMIFS($N$2:$N568,$B$2:$B568,"&lt;&gt;"&amp;B568)+SUM($Q$2:$Q568)</f>
        <v>90.195000000000007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24"/>
        <v>559</v>
      </c>
      <c r="P569" s="7">
        <f ca="1">SUMIFS($N$2:$N569,$B$2:$B569,"&lt;&gt;"&amp;B569)+SUM($Q$2:$Q569)</f>
        <v>90.195000000000007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24"/>
        <v>560</v>
      </c>
      <c r="P570" s="7">
        <f ca="1">SUMIFS($N$2:$N570,$B$2:$B570,"&lt;&gt;"&amp;B570)+SUM($Q$2:$Q570)</f>
        <v>90.195000000000007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24"/>
        <v>561</v>
      </c>
      <c r="P571" s="7">
        <f ca="1">SUMIFS($N$2:$N571,$B$2:$B571,"&lt;&gt;"&amp;B571)+SUM($Q$2:$Q571)</f>
        <v>90.195000000000007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24"/>
        <v>562</v>
      </c>
      <c r="P572" s="7">
        <f ca="1">SUMIFS($N$2:$N572,$B$2:$B572,"&lt;&gt;"&amp;B572)+SUM($Q$2:$Q572)</f>
        <v>90.195000000000007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24"/>
        <v>563</v>
      </c>
      <c r="P573" s="7">
        <f ca="1">SUMIFS($N$2:$N573,$B$2:$B573,"&lt;&gt;"&amp;B573)+SUM($Q$2:$Q573)</f>
        <v>90.195000000000007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24"/>
        <v>564</v>
      </c>
      <c r="P574" s="7">
        <f ca="1">SUMIFS($N$2:$N574,$B$2:$B574,"&lt;&gt;"&amp;B574)+SUM($Q$2:$Q574)</f>
        <v>90.195000000000007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24"/>
        <v>565</v>
      </c>
      <c r="P575" s="7">
        <f ca="1">SUMIFS($N$2:$N575,$B$2:$B575,"&lt;&gt;"&amp;B575)+SUM($Q$2:$Q575)</f>
        <v>90.195000000000007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24"/>
        <v>566</v>
      </c>
      <c r="P576" s="7">
        <f ca="1">SUMIFS($N$2:$N576,$B$2:$B576,"&lt;&gt;"&amp;B576)+SUM($Q$2:$Q576)</f>
        <v>90.195000000000007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24"/>
        <v>567</v>
      </c>
      <c r="P577" s="7">
        <f ca="1">SUMIFS($N$2:$N577,$B$2:$B577,"&lt;&gt;"&amp;B577)+SUM($Q$2:$Q577)</f>
        <v>90.195000000000007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24"/>
        <v>568</v>
      </c>
      <c r="P578" s="7">
        <f ca="1">SUMIFS($N$2:$N578,$B$2:$B578,"&lt;&gt;"&amp;B578)+SUM($Q$2:$Q578)</f>
        <v>90.195000000000007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ref="A579:A642" si="25">IF(AND(B579="", D579&lt;&gt;""), A578, A578+1)</f>
        <v>569</v>
      </c>
      <c r="P579" s="7">
        <f ca="1">SUMIFS($N$2:$N579,$B$2:$B579,"&lt;&gt;"&amp;B579)+SUM($Q$2:$Q579)</f>
        <v>90.195000000000007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25"/>
        <v>570</v>
      </c>
      <c r="P580" s="7">
        <f ca="1">SUMIFS($N$2:$N580,$B$2:$B580,"&lt;&gt;"&amp;B580)+SUM($Q$2:$Q580)</f>
        <v>90.195000000000007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25"/>
        <v>571</v>
      </c>
      <c r="P581" s="7">
        <f ca="1">SUMIFS($N$2:$N581,$B$2:$B581,"&lt;&gt;"&amp;B581)+SUM($Q$2:$Q581)</f>
        <v>90.195000000000007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25"/>
        <v>572</v>
      </c>
      <c r="P582" s="7">
        <f ca="1">SUMIFS($N$2:$N582,$B$2:$B582,"&lt;&gt;"&amp;B582)+SUM($Q$2:$Q582)</f>
        <v>90.195000000000007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25"/>
        <v>573</v>
      </c>
      <c r="P583" s="7">
        <f ca="1">SUMIFS($N$2:$N583,$B$2:$B583,"&lt;&gt;"&amp;B583)+SUM($Q$2:$Q583)</f>
        <v>90.195000000000007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25"/>
        <v>574</v>
      </c>
      <c r="P584" s="7">
        <f ca="1">SUMIFS($N$2:$N584,$B$2:$B584,"&lt;&gt;"&amp;B584)+SUM($Q$2:$Q584)</f>
        <v>90.195000000000007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25"/>
        <v>575</v>
      </c>
      <c r="P585" s="7">
        <f ca="1">SUMIFS($N$2:$N585,$B$2:$B585,"&lt;&gt;"&amp;B585)+SUM($Q$2:$Q585)</f>
        <v>90.195000000000007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25"/>
        <v>576</v>
      </c>
      <c r="P586" s="7">
        <f ca="1">SUMIFS($N$2:$N586,$B$2:$B586,"&lt;&gt;"&amp;B586)+SUM($Q$2:$Q586)</f>
        <v>90.195000000000007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25"/>
        <v>577</v>
      </c>
      <c r="P587" s="7">
        <f ca="1">SUMIFS($N$2:$N587,$B$2:$B587,"&lt;&gt;"&amp;B587)+SUM($Q$2:$Q587)</f>
        <v>90.195000000000007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25"/>
        <v>578</v>
      </c>
      <c r="P588" s="7">
        <f ca="1">SUMIFS($N$2:$N588,$B$2:$B588,"&lt;&gt;"&amp;B588)+SUM($Q$2:$Q588)</f>
        <v>90.195000000000007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25"/>
        <v>579</v>
      </c>
      <c r="P589" s="7">
        <f ca="1">SUMIFS($N$2:$N589,$B$2:$B589,"&lt;&gt;"&amp;B589)+SUM($Q$2:$Q589)</f>
        <v>90.195000000000007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25"/>
        <v>580</v>
      </c>
      <c r="P590" s="7">
        <f ca="1">SUMIFS($N$2:$N590,$B$2:$B590,"&lt;&gt;"&amp;B590)+SUM($Q$2:$Q590)</f>
        <v>90.195000000000007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25"/>
        <v>581</v>
      </c>
      <c r="P591" s="7">
        <f ca="1">SUMIFS($N$2:$N591,$B$2:$B591,"&lt;&gt;"&amp;B591)+SUM($Q$2:$Q591)</f>
        <v>90.195000000000007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25"/>
        <v>582</v>
      </c>
      <c r="P592" s="7">
        <f ca="1">SUMIFS($N$2:$N592,$B$2:$B592,"&lt;&gt;"&amp;B592)+SUM($Q$2:$Q592)</f>
        <v>90.195000000000007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25"/>
        <v>583</v>
      </c>
      <c r="P593" s="7">
        <f ca="1">SUMIFS($N$2:$N593,$B$2:$B593,"&lt;&gt;"&amp;B593)+SUM($Q$2:$Q593)</f>
        <v>90.195000000000007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25"/>
        <v>584</v>
      </c>
      <c r="P594" s="7">
        <f ca="1">SUMIFS($N$2:$N594,$B$2:$B594,"&lt;&gt;"&amp;B594)+SUM($Q$2:$Q594)</f>
        <v>90.195000000000007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25"/>
        <v>585</v>
      </c>
      <c r="P595" s="7">
        <f ca="1">SUMIFS($N$2:$N595,$B$2:$B595,"&lt;&gt;"&amp;B595)+SUM($Q$2:$Q595)</f>
        <v>90.195000000000007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25"/>
        <v>586</v>
      </c>
      <c r="P596" s="7">
        <f ca="1">SUMIFS($N$2:$N596,$B$2:$B596,"&lt;&gt;"&amp;B596)+SUM($Q$2:$Q596)</f>
        <v>90.195000000000007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25"/>
        <v>587</v>
      </c>
      <c r="P597" s="7">
        <f ca="1">SUMIFS($N$2:$N597,$B$2:$B597,"&lt;&gt;"&amp;B597)+SUM($Q$2:$Q597)</f>
        <v>90.195000000000007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25"/>
        <v>588</v>
      </c>
      <c r="P598" s="7">
        <f ca="1">SUMIFS($N$2:$N598,$B$2:$B598,"&lt;&gt;"&amp;B598)+SUM($Q$2:$Q598)</f>
        <v>90.195000000000007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25"/>
        <v>589</v>
      </c>
      <c r="P599" s="7">
        <f ca="1">SUMIFS($N$2:$N599,$B$2:$B599,"&lt;&gt;"&amp;B599)+SUM($Q$2:$Q599)</f>
        <v>90.195000000000007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25"/>
        <v>590</v>
      </c>
      <c r="P600" s="7">
        <f ca="1">SUMIFS($N$2:$N600,$B$2:$B600,"&lt;&gt;"&amp;B600)+SUM($Q$2:$Q600)</f>
        <v>90.195000000000007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25"/>
        <v>591</v>
      </c>
      <c r="P601" s="7">
        <f ca="1">SUMIFS($N$2:$N601,$B$2:$B601,"&lt;&gt;"&amp;B601)+SUM($Q$2:$Q601)</f>
        <v>90.195000000000007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25"/>
        <v>592</v>
      </c>
      <c r="P602" s="7">
        <f ca="1">SUMIFS($N$2:$N602,$B$2:$B602,"&lt;&gt;"&amp;B602)+SUM($Q$2:$Q602)</f>
        <v>90.195000000000007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25"/>
        <v>593</v>
      </c>
      <c r="P603" s="7">
        <f ca="1">SUMIFS($N$2:$N603,$B$2:$B603,"&lt;&gt;"&amp;B603)+SUM($Q$2:$Q603)</f>
        <v>90.195000000000007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25"/>
        <v>594</v>
      </c>
      <c r="P604" s="7">
        <f ca="1">SUMIFS($N$2:$N604,$B$2:$B604,"&lt;&gt;"&amp;B604)+SUM($Q$2:$Q604)</f>
        <v>90.195000000000007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25"/>
        <v>595</v>
      </c>
      <c r="P605" s="7">
        <f ca="1">SUMIFS($N$2:$N605,$B$2:$B605,"&lt;&gt;"&amp;B605)+SUM($Q$2:$Q605)</f>
        <v>90.195000000000007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25"/>
        <v>596</v>
      </c>
      <c r="P606" s="7">
        <f ca="1">SUMIFS($N$2:$N606,$B$2:$B606,"&lt;&gt;"&amp;B606)+SUM($Q$2:$Q606)</f>
        <v>90.195000000000007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25"/>
        <v>597</v>
      </c>
      <c r="P607" s="7">
        <f ca="1">SUMIFS($N$2:$N607,$B$2:$B607,"&lt;&gt;"&amp;B607)+SUM($Q$2:$Q607)</f>
        <v>90.195000000000007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25"/>
        <v>598</v>
      </c>
      <c r="P608" s="7">
        <f ca="1">SUMIFS($N$2:$N608,$B$2:$B608,"&lt;&gt;"&amp;B608)+SUM($Q$2:$Q608)</f>
        <v>90.195000000000007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25"/>
        <v>599</v>
      </c>
      <c r="P609" s="7">
        <f ca="1">SUMIFS($N$2:$N609,$B$2:$B609,"&lt;&gt;"&amp;B609)+SUM($Q$2:$Q609)</f>
        <v>90.195000000000007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si="25"/>
        <v>600</v>
      </c>
      <c r="P610" s="7">
        <f ca="1">SUMIFS($N$2:$N610,$B$2:$B610,"&lt;&gt;"&amp;B610)+SUM($Q$2:$Q610)</f>
        <v>90.195000000000007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25"/>
        <v>601</v>
      </c>
      <c r="P611" s="7">
        <f ca="1">SUMIFS($N$2:$N611,$B$2:$B611,"&lt;&gt;"&amp;B611)+SUM($Q$2:$Q611)</f>
        <v>90.195000000000007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25"/>
        <v>602</v>
      </c>
      <c r="P612" s="7">
        <f ca="1">SUMIFS($N$2:$N612,$B$2:$B612,"&lt;&gt;"&amp;B612)+SUM($Q$2:$Q612)</f>
        <v>90.195000000000007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25"/>
        <v>603</v>
      </c>
      <c r="P613" s="7">
        <f ca="1">SUMIFS($N$2:$N613,$B$2:$B613,"&lt;&gt;"&amp;B613)+SUM($Q$2:$Q613)</f>
        <v>90.195000000000007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25"/>
        <v>604</v>
      </c>
      <c r="P614" s="7">
        <f ca="1">SUMIFS($N$2:$N614,$B$2:$B614,"&lt;&gt;"&amp;B614)+SUM($Q$2:$Q614)</f>
        <v>90.195000000000007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25"/>
        <v>605</v>
      </c>
      <c r="P615" s="7">
        <f ca="1">SUMIFS($N$2:$N615,$B$2:$B615,"&lt;&gt;"&amp;B615)+SUM($Q$2:$Q615)</f>
        <v>90.195000000000007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25"/>
        <v>606</v>
      </c>
      <c r="P616" s="7">
        <f ca="1">SUMIFS($N$2:$N616,$B$2:$B616,"&lt;&gt;"&amp;B616)+SUM($Q$2:$Q616)</f>
        <v>90.195000000000007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25"/>
        <v>607</v>
      </c>
      <c r="P617" s="7">
        <f ca="1">SUMIFS($N$2:$N617,$B$2:$B617,"&lt;&gt;"&amp;B617)+SUM($Q$2:$Q617)</f>
        <v>90.195000000000007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25"/>
        <v>608</v>
      </c>
      <c r="P618" s="7">
        <f ca="1">SUMIFS($N$2:$N618,$B$2:$B618,"&lt;&gt;"&amp;B618)+SUM($Q$2:$Q618)</f>
        <v>90.195000000000007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25"/>
        <v>609</v>
      </c>
      <c r="P619" s="7">
        <f ca="1">SUMIFS($N$2:$N619,$B$2:$B619,"&lt;&gt;"&amp;B619)+SUM($Q$2:$Q619)</f>
        <v>90.195000000000007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25"/>
        <v>610</v>
      </c>
      <c r="P620" s="7">
        <f ca="1">SUMIFS($N$2:$N620,$B$2:$B620,"&lt;&gt;"&amp;B620)+SUM($Q$2:$Q620)</f>
        <v>90.195000000000007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25"/>
        <v>611</v>
      </c>
      <c r="P621" s="7">
        <f ca="1">SUMIFS($N$2:$N621,$B$2:$B621,"&lt;&gt;"&amp;B621)+SUM($Q$2:$Q621)</f>
        <v>90.195000000000007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25"/>
        <v>612</v>
      </c>
      <c r="P622" s="7">
        <f ca="1">SUMIFS($N$2:$N622,$B$2:$B622,"&lt;&gt;"&amp;B622)+SUM($Q$2:$Q622)</f>
        <v>90.195000000000007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25"/>
        <v>613</v>
      </c>
      <c r="P623" s="7">
        <f ca="1">SUMIFS($N$2:$N623,$B$2:$B623,"&lt;&gt;"&amp;B623)+SUM($Q$2:$Q623)</f>
        <v>90.195000000000007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25"/>
        <v>614</v>
      </c>
      <c r="P624" s="7">
        <f ca="1">SUMIFS($N$2:$N624,$B$2:$B624,"&lt;&gt;"&amp;B624)+SUM($Q$2:$Q624)</f>
        <v>90.195000000000007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25"/>
        <v>615</v>
      </c>
      <c r="P625" s="7">
        <f ca="1">SUMIFS($N$2:$N625,$B$2:$B625,"&lt;&gt;"&amp;B625)+SUM($Q$2:$Q625)</f>
        <v>90.195000000000007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25"/>
        <v>616</v>
      </c>
      <c r="P626" s="7">
        <f ca="1">SUMIFS($N$2:$N626,$B$2:$B626,"&lt;&gt;"&amp;B626)+SUM($Q$2:$Q626)</f>
        <v>90.195000000000007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25"/>
        <v>617</v>
      </c>
      <c r="P627" s="7">
        <f ca="1">SUMIFS($N$2:$N627,$B$2:$B627,"&lt;&gt;"&amp;B627)+SUM($Q$2:$Q627)</f>
        <v>90.195000000000007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25"/>
        <v>618</v>
      </c>
      <c r="P628" s="7">
        <f ca="1">SUMIFS($N$2:$N628,$B$2:$B628,"&lt;&gt;"&amp;B628)+SUM($Q$2:$Q628)</f>
        <v>90.195000000000007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25"/>
        <v>619</v>
      </c>
      <c r="P629" s="7">
        <f ca="1">SUMIFS($N$2:$N629,$B$2:$B629,"&lt;&gt;"&amp;B629)+SUM($Q$2:$Q629)</f>
        <v>90.195000000000007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25"/>
        <v>620</v>
      </c>
      <c r="P630" s="7">
        <f ca="1">SUMIFS($N$2:$N630,$B$2:$B630,"&lt;&gt;"&amp;B630)+SUM($Q$2:$Q630)</f>
        <v>90.195000000000007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25"/>
        <v>621</v>
      </c>
      <c r="P631" s="7">
        <f ca="1">SUMIFS($N$2:$N631,$B$2:$B631,"&lt;&gt;"&amp;B631)+SUM($Q$2:$Q631)</f>
        <v>90.195000000000007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25"/>
        <v>622</v>
      </c>
      <c r="P632" s="7">
        <f ca="1">SUMIFS($N$2:$N632,$B$2:$B632,"&lt;&gt;"&amp;B632)+SUM($Q$2:$Q632)</f>
        <v>90.195000000000007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25"/>
        <v>623</v>
      </c>
      <c r="P633" s="7">
        <f ca="1">SUMIFS($N$2:$N633,$B$2:$B633,"&lt;&gt;"&amp;B633)+SUM($Q$2:$Q633)</f>
        <v>90.195000000000007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25"/>
        <v>624</v>
      </c>
      <c r="P634" s="7">
        <f ca="1">SUMIFS($N$2:$N634,$B$2:$B634,"&lt;&gt;"&amp;B634)+SUM($Q$2:$Q634)</f>
        <v>90.195000000000007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25"/>
        <v>625</v>
      </c>
      <c r="P635" s="7">
        <f ca="1">SUMIFS($N$2:$N635,$B$2:$B635,"&lt;&gt;"&amp;B635)+SUM($Q$2:$Q635)</f>
        <v>90.195000000000007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25"/>
        <v>626</v>
      </c>
      <c r="P636" s="7">
        <f ca="1">SUMIFS($N$2:$N636,$B$2:$B636,"&lt;&gt;"&amp;B636)+SUM($Q$2:$Q636)</f>
        <v>90.195000000000007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25"/>
        <v>627</v>
      </c>
      <c r="P637" s="7">
        <f ca="1">SUMIFS($N$2:$N637,$B$2:$B637,"&lt;&gt;"&amp;B637)+SUM($Q$2:$Q637)</f>
        <v>90.195000000000007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25"/>
        <v>628</v>
      </c>
      <c r="P638" s="7">
        <f ca="1">SUMIFS($N$2:$N638,$B$2:$B638,"&lt;&gt;"&amp;B638)+SUM($Q$2:$Q638)</f>
        <v>90.195000000000007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25"/>
        <v>629</v>
      </c>
      <c r="P639" s="7">
        <f ca="1">SUMIFS($N$2:$N639,$B$2:$B639,"&lt;&gt;"&amp;B639)+SUM($Q$2:$Q639)</f>
        <v>90.195000000000007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25"/>
        <v>630</v>
      </c>
      <c r="P640" s="7">
        <f ca="1">SUMIFS($N$2:$N640,$B$2:$B640,"&lt;&gt;"&amp;B640)+SUM($Q$2:$Q640)</f>
        <v>90.195000000000007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25"/>
        <v>631</v>
      </c>
      <c r="P641" s="7">
        <f ca="1">SUMIFS($N$2:$N641,$B$2:$B641,"&lt;&gt;"&amp;B641)+SUM($Q$2:$Q641)</f>
        <v>90.195000000000007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25"/>
        <v>632</v>
      </c>
      <c r="P642" s="7">
        <f ca="1">SUMIFS($N$2:$N642,$B$2:$B642,"&lt;&gt;"&amp;B642)+SUM($Q$2:$Q642)</f>
        <v>90.195000000000007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ref="A643:A706" si="26">IF(AND(B643="", D643&lt;&gt;""), A642, A642+1)</f>
        <v>633</v>
      </c>
      <c r="P643" s="7">
        <f ca="1">SUMIFS($N$2:$N643,$B$2:$B643,"&lt;&gt;"&amp;B643)+SUM($Q$2:$Q643)</f>
        <v>90.195000000000007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26"/>
        <v>634</v>
      </c>
      <c r="P644" s="7">
        <f ca="1">SUMIFS($N$2:$N644,$B$2:$B644,"&lt;&gt;"&amp;B644)+SUM($Q$2:$Q644)</f>
        <v>90.195000000000007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26"/>
        <v>635</v>
      </c>
      <c r="P645" s="7">
        <f ca="1">SUMIFS($N$2:$N645,$B$2:$B645,"&lt;&gt;"&amp;B645)+SUM($Q$2:$Q645)</f>
        <v>90.195000000000007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26"/>
        <v>636</v>
      </c>
      <c r="P646" s="7">
        <f ca="1">SUMIFS($N$2:$N646,$B$2:$B646,"&lt;&gt;"&amp;B646)+SUM($Q$2:$Q646)</f>
        <v>90.195000000000007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26"/>
        <v>637</v>
      </c>
      <c r="P647" s="7">
        <f ca="1">SUMIFS($N$2:$N647,$B$2:$B647,"&lt;&gt;"&amp;B647)+SUM($Q$2:$Q647)</f>
        <v>90.195000000000007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26"/>
        <v>638</v>
      </c>
      <c r="P648" s="7">
        <f ca="1">SUMIFS($N$2:$N648,$B$2:$B648,"&lt;&gt;"&amp;B648)+SUM($Q$2:$Q648)</f>
        <v>90.195000000000007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26"/>
        <v>639</v>
      </c>
      <c r="P649" s="7">
        <f ca="1">SUMIFS($N$2:$N649,$B$2:$B649,"&lt;&gt;"&amp;B649)+SUM($Q$2:$Q649)</f>
        <v>90.195000000000007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26"/>
        <v>640</v>
      </c>
      <c r="P650" s="7">
        <f ca="1">SUMIFS($N$2:$N650,$B$2:$B650,"&lt;&gt;"&amp;B650)+SUM($Q$2:$Q650)</f>
        <v>90.195000000000007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26"/>
        <v>641</v>
      </c>
      <c r="P651" s="7">
        <f ca="1">SUMIFS($N$2:$N651,$B$2:$B651,"&lt;&gt;"&amp;B651)+SUM($Q$2:$Q651)</f>
        <v>90.195000000000007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26"/>
        <v>642</v>
      </c>
      <c r="P652" s="7">
        <f ca="1">SUMIFS($N$2:$N652,$B$2:$B652,"&lt;&gt;"&amp;B652)+SUM($Q$2:$Q652)</f>
        <v>90.195000000000007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26"/>
        <v>643</v>
      </c>
      <c r="P653" s="7">
        <f ca="1">SUMIFS($N$2:$N653,$B$2:$B653,"&lt;&gt;"&amp;B653)+SUM($Q$2:$Q653)</f>
        <v>90.195000000000007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26"/>
        <v>644</v>
      </c>
      <c r="P654" s="7">
        <f ca="1">SUMIFS($N$2:$N654,$B$2:$B654,"&lt;&gt;"&amp;B654)+SUM($Q$2:$Q654)</f>
        <v>90.195000000000007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26"/>
        <v>645</v>
      </c>
      <c r="P655" s="7">
        <f ca="1">SUMIFS($N$2:$N655,$B$2:$B655,"&lt;&gt;"&amp;B655)+SUM($Q$2:$Q655)</f>
        <v>90.195000000000007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26"/>
        <v>646</v>
      </c>
      <c r="P656" s="7">
        <f ca="1">SUMIFS($N$2:$N656,$B$2:$B656,"&lt;&gt;"&amp;B656)+SUM($Q$2:$Q656)</f>
        <v>90.195000000000007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26"/>
        <v>647</v>
      </c>
      <c r="P657" s="7">
        <f ca="1">SUMIFS($N$2:$N657,$B$2:$B657,"&lt;&gt;"&amp;B657)+SUM($Q$2:$Q657)</f>
        <v>90.195000000000007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26"/>
        <v>648</v>
      </c>
      <c r="P658" s="7">
        <f ca="1">SUMIFS($N$2:$N658,$B$2:$B658,"&lt;&gt;"&amp;B658)+SUM($Q$2:$Q658)</f>
        <v>90.195000000000007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26"/>
        <v>649</v>
      </c>
      <c r="P659" s="7">
        <f ca="1">SUMIFS($N$2:$N659,$B$2:$B659,"&lt;&gt;"&amp;B659)+SUM($Q$2:$Q659)</f>
        <v>90.195000000000007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26"/>
        <v>650</v>
      </c>
      <c r="P660" s="7">
        <f ca="1">SUMIFS($N$2:$N660,$B$2:$B660,"&lt;&gt;"&amp;B660)+SUM($Q$2:$Q660)</f>
        <v>90.195000000000007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26"/>
        <v>651</v>
      </c>
      <c r="P661" s="7">
        <f ca="1">SUMIFS($N$2:$N661,$B$2:$B661,"&lt;&gt;"&amp;B661)+SUM($Q$2:$Q661)</f>
        <v>90.195000000000007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26"/>
        <v>652</v>
      </c>
      <c r="P662" s="7">
        <f ca="1">SUMIFS($N$2:$N662,$B$2:$B662,"&lt;&gt;"&amp;B662)+SUM($Q$2:$Q662)</f>
        <v>90.195000000000007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26"/>
        <v>653</v>
      </c>
      <c r="P663" s="7">
        <f ca="1">SUMIFS($N$2:$N663,$B$2:$B663,"&lt;&gt;"&amp;B663)+SUM($Q$2:$Q663)</f>
        <v>90.195000000000007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26"/>
        <v>654</v>
      </c>
      <c r="P664" s="7">
        <f ca="1">SUMIFS($N$2:$N664,$B$2:$B664,"&lt;&gt;"&amp;B664)+SUM($Q$2:$Q664)</f>
        <v>90.195000000000007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26"/>
        <v>655</v>
      </c>
      <c r="P665" s="7">
        <f ca="1">SUMIFS($N$2:$N665,$B$2:$B665,"&lt;&gt;"&amp;B665)+SUM($Q$2:$Q665)</f>
        <v>90.195000000000007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26"/>
        <v>656</v>
      </c>
      <c r="P666" s="7">
        <f ca="1">SUMIFS($N$2:$N666,$B$2:$B666,"&lt;&gt;"&amp;B666)+SUM($Q$2:$Q666)</f>
        <v>90.195000000000007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26"/>
        <v>657</v>
      </c>
      <c r="P667" s="7">
        <f ca="1">SUMIFS($N$2:$N667,$B$2:$B667,"&lt;&gt;"&amp;B667)+SUM($Q$2:$Q667)</f>
        <v>90.195000000000007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26"/>
        <v>658</v>
      </c>
      <c r="P668" s="7">
        <f ca="1">SUMIFS($N$2:$N668,$B$2:$B668,"&lt;&gt;"&amp;B668)+SUM($Q$2:$Q668)</f>
        <v>90.195000000000007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26"/>
        <v>659</v>
      </c>
      <c r="P669" s="7">
        <f ca="1">SUMIFS($N$2:$N669,$B$2:$B669,"&lt;&gt;"&amp;B669)+SUM($Q$2:$Q669)</f>
        <v>90.195000000000007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26"/>
        <v>660</v>
      </c>
      <c r="P670" s="7">
        <f ca="1">SUMIFS($N$2:$N670,$B$2:$B670,"&lt;&gt;"&amp;B670)+SUM($Q$2:$Q670)</f>
        <v>90.195000000000007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26"/>
        <v>661</v>
      </c>
      <c r="P671" s="7">
        <f ca="1">SUMIFS($N$2:$N671,$B$2:$B671,"&lt;&gt;"&amp;B671)+SUM($Q$2:$Q671)</f>
        <v>90.195000000000007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26"/>
        <v>662</v>
      </c>
      <c r="P672" s="7">
        <f ca="1">SUMIFS($N$2:$N672,$B$2:$B672,"&lt;&gt;"&amp;B672)+SUM($Q$2:$Q672)</f>
        <v>90.195000000000007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26"/>
        <v>663</v>
      </c>
      <c r="P673" s="7">
        <f ca="1">SUMIFS($N$2:$N673,$B$2:$B673,"&lt;&gt;"&amp;B673)+SUM($Q$2:$Q673)</f>
        <v>90.195000000000007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si="26"/>
        <v>664</v>
      </c>
      <c r="P674" s="7">
        <f ca="1">SUMIFS($N$2:$N674,$B$2:$B674,"&lt;&gt;"&amp;B674)+SUM($Q$2:$Q674)</f>
        <v>90.195000000000007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26"/>
        <v>665</v>
      </c>
      <c r="P675" s="7">
        <f ca="1">SUMIFS($N$2:$N675,$B$2:$B675,"&lt;&gt;"&amp;B675)+SUM($Q$2:$Q675)</f>
        <v>90.195000000000007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26"/>
        <v>666</v>
      </c>
      <c r="P676" s="7">
        <f ca="1">SUMIFS($N$2:$N676,$B$2:$B676,"&lt;&gt;"&amp;B676)+SUM($Q$2:$Q676)</f>
        <v>90.195000000000007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26"/>
        <v>667</v>
      </c>
      <c r="P677" s="7">
        <f ca="1">SUMIFS($N$2:$N677,$B$2:$B677,"&lt;&gt;"&amp;B677)+SUM($Q$2:$Q677)</f>
        <v>90.195000000000007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26"/>
        <v>668</v>
      </c>
      <c r="P678" s="7">
        <f ca="1">SUMIFS($N$2:$N678,$B$2:$B678,"&lt;&gt;"&amp;B678)+SUM($Q$2:$Q678)</f>
        <v>90.195000000000007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26"/>
        <v>669</v>
      </c>
      <c r="P679" s="7">
        <f ca="1">SUMIFS($N$2:$N679,$B$2:$B679,"&lt;&gt;"&amp;B679)+SUM($Q$2:$Q679)</f>
        <v>90.195000000000007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26"/>
        <v>670</v>
      </c>
      <c r="P680" s="7">
        <f ca="1">SUMIFS($N$2:$N680,$B$2:$B680,"&lt;&gt;"&amp;B680)+SUM($Q$2:$Q680)</f>
        <v>90.195000000000007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26"/>
        <v>671</v>
      </c>
      <c r="P681" s="7">
        <f ca="1">SUMIFS($N$2:$N681,$B$2:$B681,"&lt;&gt;"&amp;B681)+SUM($Q$2:$Q681)</f>
        <v>90.195000000000007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26"/>
        <v>672</v>
      </c>
      <c r="P682" s="7">
        <f ca="1">SUMIFS($N$2:$N682,$B$2:$B682,"&lt;&gt;"&amp;B682)+SUM($Q$2:$Q682)</f>
        <v>90.195000000000007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26"/>
        <v>673</v>
      </c>
      <c r="P683" s="7">
        <f ca="1">SUMIFS($N$2:$N683,$B$2:$B683,"&lt;&gt;"&amp;B683)+SUM($Q$2:$Q683)</f>
        <v>90.195000000000007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26"/>
        <v>674</v>
      </c>
      <c r="P684" s="7">
        <f ca="1">SUMIFS($N$2:$N684,$B$2:$B684,"&lt;&gt;"&amp;B684)+SUM($Q$2:$Q684)</f>
        <v>90.195000000000007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26"/>
        <v>675</v>
      </c>
      <c r="P685" s="7">
        <f ca="1">SUMIFS($N$2:$N685,$B$2:$B685,"&lt;&gt;"&amp;B685)+SUM($Q$2:$Q685)</f>
        <v>90.195000000000007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26"/>
        <v>676</v>
      </c>
      <c r="P686" s="7">
        <f ca="1">SUMIFS($N$2:$N686,$B$2:$B686,"&lt;&gt;"&amp;B686)+SUM($Q$2:$Q686)</f>
        <v>90.195000000000007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26"/>
        <v>677</v>
      </c>
      <c r="P687" s="7">
        <f ca="1">SUMIFS($N$2:$N687,$B$2:$B687,"&lt;&gt;"&amp;B687)+SUM($Q$2:$Q687)</f>
        <v>90.195000000000007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26"/>
        <v>678</v>
      </c>
      <c r="P688" s="7">
        <f ca="1">SUMIFS($N$2:$N688,$B$2:$B688,"&lt;&gt;"&amp;B688)+SUM($Q$2:$Q688)</f>
        <v>90.195000000000007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26"/>
        <v>679</v>
      </c>
      <c r="P689" s="7">
        <f ca="1">SUMIFS($N$2:$N689,$B$2:$B689,"&lt;&gt;"&amp;B689)+SUM($Q$2:$Q689)</f>
        <v>90.195000000000007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26"/>
        <v>680</v>
      </c>
      <c r="P690" s="7">
        <f ca="1">SUMIFS($N$2:$N690,$B$2:$B690,"&lt;&gt;"&amp;B690)+SUM($Q$2:$Q690)</f>
        <v>90.195000000000007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26"/>
        <v>681</v>
      </c>
      <c r="P691" s="7">
        <f ca="1">SUMIFS($N$2:$N691,$B$2:$B691,"&lt;&gt;"&amp;B691)+SUM($Q$2:$Q691)</f>
        <v>90.195000000000007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26"/>
        <v>682</v>
      </c>
      <c r="P692" s="7">
        <f ca="1">SUMIFS($N$2:$N692,$B$2:$B692,"&lt;&gt;"&amp;B692)+SUM($Q$2:$Q692)</f>
        <v>90.195000000000007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26"/>
        <v>683</v>
      </c>
      <c r="P693" s="7">
        <f ca="1">SUMIFS($N$2:$N693,$B$2:$B693,"&lt;&gt;"&amp;B693)+SUM($Q$2:$Q693)</f>
        <v>90.195000000000007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26"/>
        <v>684</v>
      </c>
      <c r="P694" s="7">
        <f ca="1">SUMIFS($N$2:$N694,$B$2:$B694,"&lt;&gt;"&amp;B694)+SUM($Q$2:$Q694)</f>
        <v>90.195000000000007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26"/>
        <v>685</v>
      </c>
      <c r="P695" s="7">
        <f ca="1">SUMIFS($N$2:$N695,$B$2:$B695,"&lt;&gt;"&amp;B695)+SUM($Q$2:$Q695)</f>
        <v>90.195000000000007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26"/>
        <v>686</v>
      </c>
      <c r="P696" s="7">
        <f ca="1">SUMIFS($N$2:$N696,$B$2:$B696,"&lt;&gt;"&amp;B696)+SUM($Q$2:$Q696)</f>
        <v>90.195000000000007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26"/>
        <v>687</v>
      </c>
      <c r="P697" s="7">
        <f ca="1">SUMIFS($N$2:$N697,$B$2:$B697,"&lt;&gt;"&amp;B697)+SUM($Q$2:$Q697)</f>
        <v>90.195000000000007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26"/>
        <v>688</v>
      </c>
      <c r="P698" s="7">
        <f ca="1">SUMIFS($N$2:$N698,$B$2:$B698,"&lt;&gt;"&amp;B698)+SUM($Q$2:$Q698)</f>
        <v>90.195000000000007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26"/>
        <v>689</v>
      </c>
      <c r="P699" s="7">
        <f ca="1">SUMIFS($N$2:$N699,$B$2:$B699,"&lt;&gt;"&amp;B699)+SUM($Q$2:$Q699)</f>
        <v>90.195000000000007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26"/>
        <v>690</v>
      </c>
      <c r="P700" s="7">
        <f ca="1">SUMIFS($N$2:$N700,$B$2:$B700,"&lt;&gt;"&amp;B700)+SUM($Q$2:$Q700)</f>
        <v>90.195000000000007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26"/>
        <v>691</v>
      </c>
      <c r="P701" s="7">
        <f ca="1">SUMIFS($N$2:$N701,$B$2:$B701,"&lt;&gt;"&amp;B701)+SUM($Q$2:$Q701)</f>
        <v>90.195000000000007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26"/>
        <v>692</v>
      </c>
      <c r="P702" s="7">
        <f ca="1">SUMIFS($N$2:$N702,$B$2:$B702,"&lt;&gt;"&amp;B702)+SUM($Q$2:$Q702)</f>
        <v>90.195000000000007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26"/>
        <v>693</v>
      </c>
      <c r="P703" s="7">
        <f ca="1">SUMIFS($N$2:$N703,$B$2:$B703,"&lt;&gt;"&amp;B703)+SUM($Q$2:$Q703)</f>
        <v>90.195000000000007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26"/>
        <v>694</v>
      </c>
      <c r="P704" s="7">
        <f ca="1">SUMIFS($N$2:$N704,$B$2:$B704,"&lt;&gt;"&amp;B704)+SUM($Q$2:$Q704)</f>
        <v>90.195000000000007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26"/>
        <v>695</v>
      </c>
      <c r="P705" s="7">
        <f ca="1">SUMIFS($N$2:$N705,$B$2:$B705,"&lt;&gt;"&amp;B705)+SUM($Q$2:$Q705)</f>
        <v>90.195000000000007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26"/>
        <v>696</v>
      </c>
      <c r="P706" s="7">
        <f ca="1">SUMIFS($N$2:$N706,$B$2:$B706,"&lt;&gt;"&amp;B706)+SUM($Q$2:$Q706)</f>
        <v>90.195000000000007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ref="A707:A770" si="27">IF(AND(B707="", D707&lt;&gt;""), A706, A706+1)</f>
        <v>697</v>
      </c>
      <c r="P707" s="7">
        <f ca="1">SUMIFS($N$2:$N707,$B$2:$B707,"&lt;&gt;"&amp;B707)+SUM($Q$2:$Q707)</f>
        <v>90.195000000000007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27"/>
        <v>698</v>
      </c>
      <c r="P708" s="7">
        <f ca="1">SUMIFS($N$2:$N708,$B$2:$B708,"&lt;&gt;"&amp;B708)+SUM($Q$2:$Q708)</f>
        <v>90.195000000000007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27"/>
        <v>699</v>
      </c>
      <c r="P709" s="7">
        <f ca="1">SUMIFS($N$2:$N709,$B$2:$B709,"&lt;&gt;"&amp;B709)+SUM($Q$2:$Q709)</f>
        <v>90.195000000000007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27"/>
        <v>700</v>
      </c>
      <c r="P710" s="7">
        <f ca="1">SUMIFS($N$2:$N710,$B$2:$B710,"&lt;&gt;"&amp;B710)+SUM($Q$2:$Q710)</f>
        <v>90.195000000000007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27"/>
        <v>701</v>
      </c>
      <c r="P711" s="7">
        <f ca="1">SUMIFS($N$2:$N711,$B$2:$B711,"&lt;&gt;"&amp;B711)+SUM($Q$2:$Q711)</f>
        <v>90.195000000000007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27"/>
        <v>702</v>
      </c>
      <c r="P712" s="7">
        <f ca="1">SUMIFS($N$2:$N712,$B$2:$B712,"&lt;&gt;"&amp;B712)+SUM($Q$2:$Q712)</f>
        <v>90.195000000000007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27"/>
        <v>703</v>
      </c>
      <c r="P713" s="7">
        <f ca="1">SUMIFS($N$2:$N713,$B$2:$B713,"&lt;&gt;"&amp;B713)+SUM($Q$2:$Q713)</f>
        <v>90.195000000000007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27"/>
        <v>704</v>
      </c>
      <c r="P714" s="7">
        <f ca="1">SUMIFS($N$2:$N714,$B$2:$B714,"&lt;&gt;"&amp;B714)+SUM($Q$2:$Q714)</f>
        <v>90.195000000000007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27"/>
        <v>705</v>
      </c>
      <c r="P715" s="7">
        <f ca="1">SUMIFS($N$2:$N715,$B$2:$B715,"&lt;&gt;"&amp;B715)+SUM($Q$2:$Q715)</f>
        <v>90.195000000000007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27"/>
        <v>706</v>
      </c>
      <c r="P716" s="7">
        <f ca="1">SUMIFS($N$2:$N716,$B$2:$B716,"&lt;&gt;"&amp;B716)+SUM($Q$2:$Q716)</f>
        <v>90.195000000000007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27"/>
        <v>707</v>
      </c>
      <c r="P717" s="7">
        <f ca="1">SUMIFS($N$2:$N717,$B$2:$B717,"&lt;&gt;"&amp;B717)+SUM($Q$2:$Q717)</f>
        <v>90.195000000000007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27"/>
        <v>708</v>
      </c>
      <c r="P718" s="7">
        <f ca="1">SUMIFS($N$2:$N718,$B$2:$B718,"&lt;&gt;"&amp;B718)+SUM($Q$2:$Q718)</f>
        <v>90.195000000000007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27"/>
        <v>709</v>
      </c>
      <c r="P719" s="7">
        <f ca="1">SUMIFS($N$2:$N719,$B$2:$B719,"&lt;&gt;"&amp;B719)+SUM($Q$2:$Q719)</f>
        <v>90.195000000000007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27"/>
        <v>710</v>
      </c>
      <c r="P720" s="7">
        <f ca="1">SUMIFS($N$2:$N720,$B$2:$B720,"&lt;&gt;"&amp;B720)+SUM($Q$2:$Q720)</f>
        <v>90.195000000000007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27"/>
        <v>711</v>
      </c>
      <c r="P721" s="7">
        <f ca="1">SUMIFS($N$2:$N721,$B$2:$B721,"&lt;&gt;"&amp;B721)+SUM($Q$2:$Q721)</f>
        <v>90.195000000000007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27"/>
        <v>712</v>
      </c>
      <c r="P722" s="7">
        <f ca="1">SUMIFS($N$2:$N722,$B$2:$B722,"&lt;&gt;"&amp;B722)+SUM($Q$2:$Q722)</f>
        <v>90.195000000000007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27"/>
        <v>713</v>
      </c>
      <c r="P723" s="7">
        <f ca="1">SUMIFS($N$2:$N723,$B$2:$B723,"&lt;&gt;"&amp;B723)+SUM($Q$2:$Q723)</f>
        <v>90.195000000000007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27"/>
        <v>714</v>
      </c>
      <c r="P724" s="7">
        <f ca="1">SUMIFS($N$2:$N724,$B$2:$B724,"&lt;&gt;"&amp;B724)+SUM($Q$2:$Q724)</f>
        <v>90.195000000000007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27"/>
        <v>715</v>
      </c>
      <c r="P725" s="7">
        <f ca="1">SUMIFS($N$2:$N725,$B$2:$B725,"&lt;&gt;"&amp;B725)+SUM($Q$2:$Q725)</f>
        <v>90.195000000000007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27"/>
        <v>716</v>
      </c>
      <c r="P726" s="7">
        <f ca="1">SUMIFS($N$2:$N726,$B$2:$B726,"&lt;&gt;"&amp;B726)+SUM($Q$2:$Q726)</f>
        <v>90.195000000000007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27"/>
        <v>717</v>
      </c>
      <c r="P727" s="7">
        <f ca="1">SUMIFS($N$2:$N727,$B$2:$B727,"&lt;&gt;"&amp;B727)+SUM($Q$2:$Q727)</f>
        <v>90.195000000000007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27"/>
        <v>718</v>
      </c>
      <c r="P728" s="7">
        <f ca="1">SUMIFS($N$2:$N728,$B$2:$B728,"&lt;&gt;"&amp;B728)+SUM($Q$2:$Q728)</f>
        <v>90.195000000000007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27"/>
        <v>719</v>
      </c>
      <c r="P729" s="7">
        <f ca="1">SUMIFS($N$2:$N729,$B$2:$B729,"&lt;&gt;"&amp;B729)+SUM($Q$2:$Q729)</f>
        <v>90.195000000000007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27"/>
        <v>720</v>
      </c>
      <c r="P730" s="7">
        <f ca="1">SUMIFS($N$2:$N730,$B$2:$B730,"&lt;&gt;"&amp;B730)+SUM($Q$2:$Q730)</f>
        <v>90.195000000000007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27"/>
        <v>721</v>
      </c>
      <c r="P731" s="7">
        <f ca="1">SUMIFS($N$2:$N731,$B$2:$B731,"&lt;&gt;"&amp;B731)+SUM($Q$2:$Q731)</f>
        <v>90.195000000000007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27"/>
        <v>722</v>
      </c>
      <c r="P732" s="7">
        <f ca="1">SUMIFS($N$2:$N732,$B$2:$B732,"&lt;&gt;"&amp;B732)+SUM($Q$2:$Q732)</f>
        <v>90.195000000000007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27"/>
        <v>723</v>
      </c>
      <c r="P733" s="7">
        <f ca="1">SUMIFS($N$2:$N733,$B$2:$B733,"&lt;&gt;"&amp;B733)+SUM($Q$2:$Q733)</f>
        <v>90.195000000000007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27"/>
        <v>724</v>
      </c>
      <c r="P734" s="7">
        <f ca="1">SUMIFS($N$2:$N734,$B$2:$B734,"&lt;&gt;"&amp;B734)+SUM($Q$2:$Q734)</f>
        <v>90.195000000000007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27"/>
        <v>725</v>
      </c>
      <c r="P735" s="7">
        <f ca="1">SUMIFS($N$2:$N735,$B$2:$B735,"&lt;&gt;"&amp;B735)+SUM($Q$2:$Q735)</f>
        <v>90.195000000000007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27"/>
        <v>726</v>
      </c>
      <c r="P736" s="7">
        <f ca="1">SUMIFS($N$2:$N736,$B$2:$B736,"&lt;&gt;"&amp;B736)+SUM($Q$2:$Q736)</f>
        <v>90.195000000000007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27"/>
        <v>727</v>
      </c>
      <c r="P737" s="7">
        <f ca="1">SUMIFS($N$2:$N737,$B$2:$B737,"&lt;&gt;"&amp;B737)+SUM($Q$2:$Q737)</f>
        <v>90.195000000000007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si="27"/>
        <v>728</v>
      </c>
      <c r="P738" s="7">
        <f ca="1">SUMIFS($N$2:$N738,$B$2:$B738,"&lt;&gt;"&amp;B738)+SUM($Q$2:$Q738)</f>
        <v>90.195000000000007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27"/>
        <v>729</v>
      </c>
      <c r="P739" s="7">
        <f ca="1">SUMIFS($N$2:$N739,$B$2:$B739,"&lt;&gt;"&amp;B739)+SUM($Q$2:$Q739)</f>
        <v>90.195000000000007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27"/>
        <v>730</v>
      </c>
      <c r="P740" s="7">
        <f ca="1">SUMIFS($N$2:$N740,$B$2:$B740,"&lt;&gt;"&amp;B740)+SUM($Q$2:$Q740)</f>
        <v>90.195000000000007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27"/>
        <v>731</v>
      </c>
      <c r="P741" s="7">
        <f ca="1">SUMIFS($N$2:$N741,$B$2:$B741,"&lt;&gt;"&amp;B741)+SUM($Q$2:$Q741)</f>
        <v>90.195000000000007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27"/>
        <v>732</v>
      </c>
      <c r="P742" s="7">
        <f ca="1">SUMIFS($N$2:$N742,$B$2:$B742,"&lt;&gt;"&amp;B742)+SUM($Q$2:$Q742)</f>
        <v>90.195000000000007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27"/>
        <v>733</v>
      </c>
      <c r="P743" s="7">
        <f ca="1">SUMIFS($N$2:$N743,$B$2:$B743,"&lt;&gt;"&amp;B743)+SUM($Q$2:$Q743)</f>
        <v>90.195000000000007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27"/>
        <v>734</v>
      </c>
      <c r="P744" s="7">
        <f ca="1">SUMIFS($N$2:$N744,$B$2:$B744,"&lt;&gt;"&amp;B744)+SUM($Q$2:$Q744)</f>
        <v>90.195000000000007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27"/>
        <v>735</v>
      </c>
      <c r="P745" s="7">
        <f ca="1">SUMIFS($N$2:$N745,$B$2:$B745,"&lt;&gt;"&amp;B745)+SUM($Q$2:$Q745)</f>
        <v>90.195000000000007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27"/>
        <v>736</v>
      </c>
      <c r="P746" s="7">
        <f ca="1">SUMIFS($N$2:$N746,$B$2:$B746,"&lt;&gt;"&amp;B746)+SUM($Q$2:$Q746)</f>
        <v>90.195000000000007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27"/>
        <v>737</v>
      </c>
      <c r="P747" s="7">
        <f ca="1">SUMIFS($N$2:$N747,$B$2:$B747,"&lt;&gt;"&amp;B747)+SUM($Q$2:$Q747)</f>
        <v>90.195000000000007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27"/>
        <v>738</v>
      </c>
      <c r="P748" s="7">
        <f ca="1">SUMIFS($N$2:$N748,$B$2:$B748,"&lt;&gt;"&amp;B748)+SUM($Q$2:$Q748)</f>
        <v>90.195000000000007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27"/>
        <v>739</v>
      </c>
      <c r="P749" s="7">
        <f ca="1">SUMIFS($N$2:$N749,$B$2:$B749,"&lt;&gt;"&amp;B749)+SUM($Q$2:$Q749)</f>
        <v>90.195000000000007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27"/>
        <v>740</v>
      </c>
      <c r="P750" s="7">
        <f ca="1">SUMIFS($N$2:$N750,$B$2:$B750,"&lt;&gt;"&amp;B750)+SUM($Q$2:$Q750)</f>
        <v>90.195000000000007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27"/>
        <v>741</v>
      </c>
      <c r="P751" s="7">
        <f ca="1">SUMIFS($N$2:$N751,$B$2:$B751,"&lt;&gt;"&amp;B751)+SUM($Q$2:$Q751)</f>
        <v>90.195000000000007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27"/>
        <v>742</v>
      </c>
      <c r="P752" s="7">
        <f ca="1">SUMIFS($N$2:$N752,$B$2:$B752,"&lt;&gt;"&amp;B752)+SUM($Q$2:$Q752)</f>
        <v>90.195000000000007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27"/>
        <v>743</v>
      </c>
      <c r="P753" s="7">
        <f ca="1">SUMIFS($N$2:$N753,$B$2:$B753,"&lt;&gt;"&amp;B753)+SUM($Q$2:$Q753)</f>
        <v>90.195000000000007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27"/>
        <v>744</v>
      </c>
      <c r="P754" s="7">
        <f ca="1">SUMIFS($N$2:$N754,$B$2:$B754,"&lt;&gt;"&amp;B754)+SUM($Q$2:$Q754)</f>
        <v>90.195000000000007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27"/>
        <v>745</v>
      </c>
      <c r="P755" s="7">
        <f ca="1">SUMIFS($N$2:$N755,$B$2:$B755,"&lt;&gt;"&amp;B755)+SUM($Q$2:$Q755)</f>
        <v>90.195000000000007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27"/>
        <v>746</v>
      </c>
      <c r="P756" s="7">
        <f ca="1">SUMIFS($N$2:$N756,$B$2:$B756,"&lt;&gt;"&amp;B756)+SUM($Q$2:$Q756)</f>
        <v>90.195000000000007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27"/>
        <v>747</v>
      </c>
      <c r="P757" s="7">
        <f ca="1">SUMIFS($N$2:$N757,$B$2:$B757,"&lt;&gt;"&amp;B757)+SUM($Q$2:$Q757)</f>
        <v>90.195000000000007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27"/>
        <v>748</v>
      </c>
      <c r="P758" s="7">
        <f ca="1">SUMIFS($N$2:$N758,$B$2:$B758,"&lt;&gt;"&amp;B758)+SUM($Q$2:$Q758)</f>
        <v>90.195000000000007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27"/>
        <v>749</v>
      </c>
      <c r="P759" s="7">
        <f ca="1">SUMIFS($N$2:$N759,$B$2:$B759,"&lt;&gt;"&amp;B759)+SUM($Q$2:$Q759)</f>
        <v>90.195000000000007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27"/>
        <v>750</v>
      </c>
      <c r="P760" s="7">
        <f ca="1">SUMIFS($N$2:$N760,$B$2:$B760,"&lt;&gt;"&amp;B760)+SUM($Q$2:$Q760)</f>
        <v>90.195000000000007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27"/>
        <v>751</v>
      </c>
      <c r="P761" s="7">
        <f ca="1">SUMIFS($N$2:$N761,$B$2:$B761,"&lt;&gt;"&amp;B761)+SUM($Q$2:$Q761)</f>
        <v>90.195000000000007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27"/>
        <v>752</v>
      </c>
      <c r="P762" s="7">
        <f ca="1">SUMIFS($N$2:$N762,$B$2:$B762,"&lt;&gt;"&amp;B762)+SUM($Q$2:$Q762)</f>
        <v>90.195000000000007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27"/>
        <v>753</v>
      </c>
      <c r="P763" s="7">
        <f ca="1">SUMIFS($N$2:$N763,$B$2:$B763,"&lt;&gt;"&amp;B763)+SUM($Q$2:$Q763)</f>
        <v>90.195000000000007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27"/>
        <v>754</v>
      </c>
      <c r="P764" s="7">
        <f ca="1">SUMIFS($N$2:$N764,$B$2:$B764,"&lt;&gt;"&amp;B764)+SUM($Q$2:$Q764)</f>
        <v>90.195000000000007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27"/>
        <v>755</v>
      </c>
      <c r="P765" s="7">
        <f ca="1">SUMIFS($N$2:$N765,$B$2:$B765,"&lt;&gt;"&amp;B765)+SUM($Q$2:$Q765)</f>
        <v>90.195000000000007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27"/>
        <v>756</v>
      </c>
      <c r="P766" s="7">
        <f ca="1">SUMIFS($N$2:$N766,$B$2:$B766,"&lt;&gt;"&amp;B766)+SUM($Q$2:$Q766)</f>
        <v>90.195000000000007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27"/>
        <v>757</v>
      </c>
      <c r="P767" s="7">
        <f ca="1">SUMIFS($N$2:$N767,$B$2:$B767,"&lt;&gt;"&amp;B767)+SUM($Q$2:$Q767)</f>
        <v>90.195000000000007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27"/>
        <v>758</v>
      </c>
      <c r="P768" s="7">
        <f ca="1">SUMIFS($N$2:$N768,$B$2:$B768,"&lt;&gt;"&amp;B768)+SUM($Q$2:$Q768)</f>
        <v>90.195000000000007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27"/>
        <v>759</v>
      </c>
      <c r="P769" s="7">
        <f ca="1">SUMIFS($N$2:$N769,$B$2:$B769,"&lt;&gt;"&amp;B769)+SUM($Q$2:$Q769)</f>
        <v>90.195000000000007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27"/>
        <v>760</v>
      </c>
      <c r="P770" s="7">
        <f ca="1">SUMIFS($N$2:$N770,$B$2:$B770,"&lt;&gt;"&amp;B770)+SUM($Q$2:$Q770)</f>
        <v>90.195000000000007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ref="A771:A834" si="28">IF(AND(B771="", D771&lt;&gt;""), A770, A770+1)</f>
        <v>761</v>
      </c>
      <c r="P771" s="7">
        <f ca="1">SUMIFS($N$2:$N771,$B$2:$B771,"&lt;&gt;"&amp;B771)+SUM($Q$2:$Q771)</f>
        <v>90.195000000000007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28"/>
        <v>762</v>
      </c>
      <c r="P772" s="7">
        <f ca="1">SUMIFS($N$2:$N772,$B$2:$B772,"&lt;&gt;"&amp;B772)+SUM($Q$2:$Q772)</f>
        <v>90.195000000000007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28"/>
        <v>763</v>
      </c>
      <c r="P773" s="7">
        <f ca="1">SUMIFS($N$2:$N773,$B$2:$B773,"&lt;&gt;"&amp;B773)+SUM($Q$2:$Q773)</f>
        <v>90.195000000000007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28"/>
        <v>764</v>
      </c>
      <c r="P774" s="7">
        <f ca="1">SUMIFS($N$2:$N774,$B$2:$B774,"&lt;&gt;"&amp;B774)+SUM($Q$2:$Q774)</f>
        <v>90.195000000000007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28"/>
        <v>765</v>
      </c>
      <c r="P775" s="7">
        <f ca="1">SUMIFS($N$2:$N775,$B$2:$B775,"&lt;&gt;"&amp;B775)+SUM($Q$2:$Q775)</f>
        <v>90.195000000000007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28"/>
        <v>766</v>
      </c>
      <c r="P776" s="7">
        <f ca="1">SUMIFS($N$2:$N776,$B$2:$B776,"&lt;&gt;"&amp;B776)+SUM($Q$2:$Q776)</f>
        <v>90.195000000000007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28"/>
        <v>767</v>
      </c>
      <c r="P777" s="7">
        <f ca="1">SUMIFS($N$2:$N777,$B$2:$B777,"&lt;&gt;"&amp;B777)+SUM($Q$2:$Q777)</f>
        <v>90.195000000000007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28"/>
        <v>768</v>
      </c>
      <c r="P778" s="7">
        <f ca="1">SUMIFS($N$2:$N778,$B$2:$B778,"&lt;&gt;"&amp;B778)+SUM($Q$2:$Q778)</f>
        <v>90.195000000000007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28"/>
        <v>769</v>
      </c>
      <c r="P779" s="7">
        <f ca="1">SUMIFS($N$2:$N779,$B$2:$B779,"&lt;&gt;"&amp;B779)+SUM($Q$2:$Q779)</f>
        <v>90.195000000000007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28"/>
        <v>770</v>
      </c>
      <c r="P780" s="7">
        <f ca="1">SUMIFS($N$2:$N780,$B$2:$B780,"&lt;&gt;"&amp;B780)+SUM($Q$2:$Q780)</f>
        <v>90.195000000000007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28"/>
        <v>771</v>
      </c>
      <c r="P781" s="7">
        <f ca="1">SUMIFS($N$2:$N781,$B$2:$B781,"&lt;&gt;"&amp;B781)+SUM($Q$2:$Q781)</f>
        <v>90.195000000000007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28"/>
        <v>772</v>
      </c>
      <c r="P782" s="7">
        <f ca="1">SUMIFS($N$2:$N782,$B$2:$B782,"&lt;&gt;"&amp;B782)+SUM($Q$2:$Q782)</f>
        <v>90.195000000000007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28"/>
        <v>773</v>
      </c>
      <c r="P783" s="7">
        <f ca="1">SUMIFS($N$2:$N783,$B$2:$B783,"&lt;&gt;"&amp;B783)+SUM($Q$2:$Q783)</f>
        <v>90.195000000000007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28"/>
        <v>774</v>
      </c>
      <c r="P784" s="7">
        <f ca="1">SUMIFS($N$2:$N784,$B$2:$B784,"&lt;&gt;"&amp;B784)+SUM($Q$2:$Q784)</f>
        <v>90.195000000000007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28"/>
        <v>775</v>
      </c>
      <c r="P785" s="7">
        <f ca="1">SUMIFS($N$2:$N785,$B$2:$B785,"&lt;&gt;"&amp;B785)+SUM($Q$2:$Q785)</f>
        <v>90.195000000000007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28"/>
        <v>776</v>
      </c>
      <c r="P786" s="7">
        <f ca="1">SUMIFS($N$2:$N786,$B$2:$B786,"&lt;&gt;"&amp;B786)+SUM($Q$2:$Q786)</f>
        <v>90.195000000000007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28"/>
        <v>777</v>
      </c>
      <c r="P787" s="7">
        <f ca="1">SUMIFS($N$2:$N787,$B$2:$B787,"&lt;&gt;"&amp;B787)+SUM($Q$2:$Q787)</f>
        <v>90.195000000000007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28"/>
        <v>778</v>
      </c>
      <c r="P788" s="7">
        <f ca="1">SUMIFS($N$2:$N788,$B$2:$B788,"&lt;&gt;"&amp;B788)+SUM($Q$2:$Q788)</f>
        <v>90.195000000000007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28"/>
        <v>779</v>
      </c>
      <c r="P789" s="7">
        <f ca="1">SUMIFS($N$2:$N789,$B$2:$B789,"&lt;&gt;"&amp;B789)+SUM($Q$2:$Q789)</f>
        <v>90.195000000000007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28"/>
        <v>780</v>
      </c>
      <c r="P790" s="7">
        <f ca="1">SUMIFS($N$2:$N790,$B$2:$B790,"&lt;&gt;"&amp;B790)+SUM($Q$2:$Q790)</f>
        <v>90.195000000000007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28"/>
        <v>781</v>
      </c>
      <c r="P791" s="7">
        <f ca="1">SUMIFS($N$2:$N791,$B$2:$B791,"&lt;&gt;"&amp;B791)+SUM($Q$2:$Q791)</f>
        <v>90.195000000000007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28"/>
        <v>782</v>
      </c>
      <c r="P792" s="7">
        <f ca="1">SUMIFS($N$2:$N792,$B$2:$B792,"&lt;&gt;"&amp;B792)+SUM($Q$2:$Q792)</f>
        <v>90.195000000000007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28"/>
        <v>783</v>
      </c>
      <c r="P793" s="7">
        <f ca="1">SUMIFS($N$2:$N793,$B$2:$B793,"&lt;&gt;"&amp;B793)+SUM($Q$2:$Q793)</f>
        <v>90.195000000000007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28"/>
        <v>784</v>
      </c>
      <c r="P794" s="7">
        <f ca="1">SUMIFS($N$2:$N794,$B$2:$B794,"&lt;&gt;"&amp;B794)+SUM($Q$2:$Q794)</f>
        <v>90.195000000000007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28"/>
        <v>785</v>
      </c>
      <c r="P795" s="7">
        <f ca="1">SUMIFS($N$2:$N795,$B$2:$B795,"&lt;&gt;"&amp;B795)+SUM($Q$2:$Q795)</f>
        <v>90.195000000000007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28"/>
        <v>786</v>
      </c>
      <c r="P796" s="7">
        <f ca="1">SUMIFS($N$2:$N796,$B$2:$B796,"&lt;&gt;"&amp;B796)+SUM($Q$2:$Q796)</f>
        <v>90.195000000000007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28"/>
        <v>787</v>
      </c>
      <c r="P797" s="7">
        <f ca="1">SUMIFS($N$2:$N797,$B$2:$B797,"&lt;&gt;"&amp;B797)+SUM($Q$2:$Q797)</f>
        <v>90.195000000000007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28"/>
        <v>788</v>
      </c>
      <c r="P798" s="7">
        <f ca="1">SUMIFS($N$2:$N798,$B$2:$B798,"&lt;&gt;"&amp;B798)+SUM($Q$2:$Q798)</f>
        <v>90.195000000000007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28"/>
        <v>789</v>
      </c>
      <c r="P799" s="7">
        <f ca="1">SUMIFS($N$2:$N799,$B$2:$B799,"&lt;&gt;"&amp;B799)+SUM($Q$2:$Q799)</f>
        <v>90.195000000000007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28"/>
        <v>790</v>
      </c>
      <c r="P800" s="7">
        <f ca="1">SUMIFS($N$2:$N800,$B$2:$B800,"&lt;&gt;"&amp;B800)+SUM($Q$2:$Q800)</f>
        <v>90.195000000000007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28"/>
        <v>791</v>
      </c>
      <c r="P801" s="7">
        <f ca="1">SUMIFS($N$2:$N801,$B$2:$B801,"&lt;&gt;"&amp;B801)+SUM($Q$2:$Q801)</f>
        <v>90.195000000000007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si="28"/>
        <v>792</v>
      </c>
      <c r="P802" s="7">
        <f ca="1">SUMIFS($N$2:$N802,$B$2:$B802,"&lt;&gt;"&amp;B802)+SUM($Q$2:$Q802)</f>
        <v>90.195000000000007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28"/>
        <v>793</v>
      </c>
      <c r="P803" s="7">
        <f ca="1">SUMIFS($N$2:$N803,$B$2:$B803,"&lt;&gt;"&amp;B803)+SUM($Q$2:$Q803)</f>
        <v>90.195000000000007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28"/>
        <v>794</v>
      </c>
      <c r="P804" s="7">
        <f ca="1">SUMIFS($N$2:$N804,$B$2:$B804,"&lt;&gt;"&amp;B804)+SUM($Q$2:$Q804)</f>
        <v>90.195000000000007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28"/>
        <v>795</v>
      </c>
      <c r="P805" s="7">
        <f ca="1">SUMIFS($N$2:$N805,$B$2:$B805,"&lt;&gt;"&amp;B805)+SUM($Q$2:$Q805)</f>
        <v>90.195000000000007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28"/>
        <v>796</v>
      </c>
      <c r="P806" s="7">
        <f ca="1">SUMIFS($N$2:$N806,$B$2:$B806,"&lt;&gt;"&amp;B806)+SUM($Q$2:$Q806)</f>
        <v>90.195000000000007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28"/>
        <v>797</v>
      </c>
      <c r="P807" s="7">
        <f ca="1">SUMIFS($N$2:$N807,$B$2:$B807,"&lt;&gt;"&amp;B807)+SUM($Q$2:$Q807)</f>
        <v>90.195000000000007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28"/>
        <v>798</v>
      </c>
      <c r="P808" s="7">
        <f ca="1">SUMIFS($N$2:$N808,$B$2:$B808,"&lt;&gt;"&amp;B808)+SUM($Q$2:$Q808)</f>
        <v>90.195000000000007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28"/>
        <v>799</v>
      </c>
      <c r="P809" s="7">
        <f ca="1">SUMIFS($N$2:$N809,$B$2:$B809,"&lt;&gt;"&amp;B809)+SUM($Q$2:$Q809)</f>
        <v>90.195000000000007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28"/>
        <v>800</v>
      </c>
      <c r="P810" s="7">
        <f ca="1">SUMIFS($N$2:$N810,$B$2:$B810,"&lt;&gt;"&amp;B810)+SUM($Q$2:$Q810)</f>
        <v>90.195000000000007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28"/>
        <v>801</v>
      </c>
      <c r="P811" s="7">
        <f ca="1">SUMIFS($N$2:$N811,$B$2:$B811,"&lt;&gt;"&amp;B811)+SUM($Q$2:$Q811)</f>
        <v>90.195000000000007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28"/>
        <v>802</v>
      </c>
      <c r="P812" s="7">
        <f ca="1">SUMIFS($N$2:$N812,$B$2:$B812,"&lt;&gt;"&amp;B812)+SUM($Q$2:$Q812)</f>
        <v>90.195000000000007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28"/>
        <v>803</v>
      </c>
      <c r="P813" s="7">
        <f ca="1">SUMIFS($N$2:$N813,$B$2:$B813,"&lt;&gt;"&amp;B813)+SUM($Q$2:$Q813)</f>
        <v>90.195000000000007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28"/>
        <v>804</v>
      </c>
      <c r="P814" s="7">
        <f ca="1">SUMIFS($N$2:$N814,$B$2:$B814,"&lt;&gt;"&amp;B814)+SUM($Q$2:$Q814)</f>
        <v>90.195000000000007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28"/>
        <v>805</v>
      </c>
      <c r="P815" s="7">
        <f ca="1">SUMIFS($N$2:$N815,$B$2:$B815,"&lt;&gt;"&amp;B815)+SUM($Q$2:$Q815)</f>
        <v>90.195000000000007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28"/>
        <v>806</v>
      </c>
      <c r="P816" s="7">
        <f ca="1">SUMIFS($N$2:$N816,$B$2:$B816,"&lt;&gt;"&amp;B816)+SUM($Q$2:$Q816)</f>
        <v>90.195000000000007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28"/>
        <v>807</v>
      </c>
      <c r="P817" s="7">
        <f ca="1">SUMIFS($N$2:$N817,$B$2:$B817,"&lt;&gt;"&amp;B817)+SUM($Q$2:$Q817)</f>
        <v>90.195000000000007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28"/>
        <v>808</v>
      </c>
      <c r="P818" s="7">
        <f ca="1">SUMIFS($N$2:$N818,$B$2:$B818,"&lt;&gt;"&amp;B818)+SUM($Q$2:$Q818)</f>
        <v>90.195000000000007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28"/>
        <v>809</v>
      </c>
      <c r="P819" s="7">
        <f ca="1">SUMIFS($N$2:$N819,$B$2:$B819,"&lt;&gt;"&amp;B819)+SUM($Q$2:$Q819)</f>
        <v>90.195000000000007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28"/>
        <v>810</v>
      </c>
      <c r="P820" s="7">
        <f ca="1">SUMIFS($N$2:$N820,$B$2:$B820,"&lt;&gt;"&amp;B820)+SUM($Q$2:$Q820)</f>
        <v>90.195000000000007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28"/>
        <v>811</v>
      </c>
      <c r="P821" s="7">
        <f ca="1">SUMIFS($N$2:$N821,$B$2:$B821,"&lt;&gt;"&amp;B821)+SUM($Q$2:$Q821)</f>
        <v>90.195000000000007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28"/>
        <v>812</v>
      </c>
      <c r="P822" s="7">
        <f ca="1">SUMIFS($N$2:$N822,$B$2:$B822,"&lt;&gt;"&amp;B822)+SUM($Q$2:$Q822)</f>
        <v>90.195000000000007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28"/>
        <v>813</v>
      </c>
      <c r="P823" s="7">
        <f ca="1">SUMIFS($N$2:$N823,$B$2:$B823,"&lt;&gt;"&amp;B823)+SUM($Q$2:$Q823)</f>
        <v>90.195000000000007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28"/>
        <v>814</v>
      </c>
      <c r="P824" s="7">
        <f ca="1">SUMIFS($N$2:$N824,$B$2:$B824,"&lt;&gt;"&amp;B824)+SUM($Q$2:$Q824)</f>
        <v>90.195000000000007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28"/>
        <v>815</v>
      </c>
      <c r="P825" s="7">
        <f ca="1">SUMIFS($N$2:$N825,$B$2:$B825,"&lt;&gt;"&amp;B825)+SUM($Q$2:$Q825)</f>
        <v>90.195000000000007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28"/>
        <v>816</v>
      </c>
      <c r="P826" s="7">
        <f ca="1">SUMIFS($N$2:$N826,$B$2:$B826,"&lt;&gt;"&amp;B826)+SUM($Q$2:$Q826)</f>
        <v>90.195000000000007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28"/>
        <v>817</v>
      </c>
      <c r="P827" s="7">
        <f ca="1">SUMIFS($N$2:$N827,$B$2:$B827,"&lt;&gt;"&amp;B827)+SUM($Q$2:$Q827)</f>
        <v>90.195000000000007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28"/>
        <v>818</v>
      </c>
      <c r="P828" s="7">
        <f ca="1">SUMIFS($N$2:$N828,$B$2:$B828,"&lt;&gt;"&amp;B828)+SUM($Q$2:$Q828)</f>
        <v>90.195000000000007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28"/>
        <v>819</v>
      </c>
      <c r="P829" s="7">
        <f ca="1">SUMIFS($N$2:$N829,$B$2:$B829,"&lt;&gt;"&amp;B829)+SUM($Q$2:$Q829)</f>
        <v>90.195000000000007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28"/>
        <v>820</v>
      </c>
      <c r="P830" s="7">
        <f ca="1">SUMIFS($N$2:$N830,$B$2:$B830,"&lt;&gt;"&amp;B830)+SUM($Q$2:$Q830)</f>
        <v>90.195000000000007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28"/>
        <v>821</v>
      </c>
      <c r="P831" s="7">
        <f ca="1">SUMIFS($N$2:$N831,$B$2:$B831,"&lt;&gt;"&amp;B831)+SUM($Q$2:$Q831)</f>
        <v>90.195000000000007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28"/>
        <v>822</v>
      </c>
      <c r="P832" s="7">
        <f ca="1">SUMIFS($N$2:$N832,$B$2:$B832,"&lt;&gt;"&amp;B832)+SUM($Q$2:$Q832)</f>
        <v>90.195000000000007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28"/>
        <v>823</v>
      </c>
      <c r="P833" s="7">
        <f ca="1">SUMIFS($N$2:$N833,$B$2:$B833,"&lt;&gt;"&amp;B833)+SUM($Q$2:$Q833)</f>
        <v>90.195000000000007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28"/>
        <v>824</v>
      </c>
      <c r="P834" s="7">
        <f ca="1">SUMIFS($N$2:$N834,$B$2:$B834,"&lt;&gt;"&amp;B834)+SUM($Q$2:$Q834)</f>
        <v>90.195000000000007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ref="A835:A898" si="29">IF(AND(B835="", D835&lt;&gt;""), A834, A834+1)</f>
        <v>825</v>
      </c>
      <c r="P835" s="7">
        <f ca="1">SUMIFS($N$2:$N835,$B$2:$B835,"&lt;&gt;"&amp;B835)+SUM($Q$2:$Q835)</f>
        <v>90.195000000000007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29"/>
        <v>826</v>
      </c>
      <c r="P836" s="7">
        <f ca="1">SUMIFS($N$2:$N836,$B$2:$B836,"&lt;&gt;"&amp;B836)+SUM($Q$2:$Q836)</f>
        <v>90.195000000000007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29"/>
        <v>827</v>
      </c>
      <c r="P837" s="7">
        <f ca="1">SUMIFS($N$2:$N837,$B$2:$B837,"&lt;&gt;"&amp;B837)+SUM($Q$2:$Q837)</f>
        <v>90.195000000000007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29"/>
        <v>828</v>
      </c>
      <c r="P838" s="7">
        <f ca="1">SUMIFS($N$2:$N838,$B$2:$B838,"&lt;&gt;"&amp;B838)+SUM($Q$2:$Q838)</f>
        <v>90.195000000000007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29"/>
        <v>829</v>
      </c>
      <c r="P839" s="7">
        <f ca="1">SUMIFS($N$2:$N839,$B$2:$B839,"&lt;&gt;"&amp;B839)+SUM($Q$2:$Q839)</f>
        <v>90.195000000000007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29"/>
        <v>830</v>
      </c>
      <c r="P840" s="7">
        <f ca="1">SUMIFS($N$2:$N840,$B$2:$B840,"&lt;&gt;"&amp;B840)+SUM($Q$2:$Q840)</f>
        <v>90.195000000000007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29"/>
        <v>831</v>
      </c>
      <c r="P841" s="7">
        <f ca="1">SUMIFS($N$2:$N841,$B$2:$B841,"&lt;&gt;"&amp;B841)+SUM($Q$2:$Q841)</f>
        <v>90.195000000000007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29"/>
        <v>832</v>
      </c>
      <c r="P842" s="7">
        <f ca="1">SUMIFS($N$2:$N842,$B$2:$B842,"&lt;&gt;"&amp;B842)+SUM($Q$2:$Q842)</f>
        <v>90.195000000000007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29"/>
        <v>833</v>
      </c>
      <c r="P843" s="7">
        <f ca="1">SUMIFS($N$2:$N843,$B$2:$B843,"&lt;&gt;"&amp;B843)+SUM($Q$2:$Q843)</f>
        <v>90.195000000000007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29"/>
        <v>834</v>
      </c>
      <c r="P844" s="7">
        <f ca="1">SUMIFS($N$2:$N844,$B$2:$B844,"&lt;&gt;"&amp;B844)+SUM($Q$2:$Q844)</f>
        <v>90.195000000000007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29"/>
        <v>835</v>
      </c>
      <c r="P845" s="7">
        <f ca="1">SUMIFS($N$2:$N845,$B$2:$B845,"&lt;&gt;"&amp;B845)+SUM($Q$2:$Q845)</f>
        <v>90.195000000000007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29"/>
        <v>836</v>
      </c>
      <c r="P846" s="7">
        <f ca="1">SUMIFS($N$2:$N846,$B$2:$B846,"&lt;&gt;"&amp;B846)+SUM($Q$2:$Q846)</f>
        <v>90.195000000000007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29"/>
        <v>837</v>
      </c>
      <c r="P847" s="7">
        <f ca="1">SUMIFS($N$2:$N847,$B$2:$B847,"&lt;&gt;"&amp;B847)+SUM($Q$2:$Q847)</f>
        <v>90.195000000000007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29"/>
        <v>838</v>
      </c>
      <c r="P848" s="7">
        <f ca="1">SUMIFS($N$2:$N848,$B$2:$B848,"&lt;&gt;"&amp;B848)+SUM($Q$2:$Q848)</f>
        <v>90.195000000000007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29"/>
        <v>839</v>
      </c>
      <c r="P849" s="7">
        <f ca="1">SUMIFS($N$2:$N849,$B$2:$B849,"&lt;&gt;"&amp;B849)+SUM($Q$2:$Q849)</f>
        <v>90.195000000000007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29"/>
        <v>840</v>
      </c>
      <c r="P850" s="7">
        <f ca="1">SUMIFS($N$2:$N850,$B$2:$B850,"&lt;&gt;"&amp;B850)+SUM($Q$2:$Q850)</f>
        <v>90.195000000000007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29"/>
        <v>841</v>
      </c>
      <c r="P851" s="7">
        <f ca="1">SUMIFS($N$2:$N851,$B$2:$B851,"&lt;&gt;"&amp;B851)+SUM($Q$2:$Q851)</f>
        <v>90.195000000000007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29"/>
        <v>842</v>
      </c>
      <c r="P852" s="7">
        <f ca="1">SUMIFS($N$2:$N852,$B$2:$B852,"&lt;&gt;"&amp;B852)+SUM($Q$2:$Q852)</f>
        <v>90.195000000000007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29"/>
        <v>843</v>
      </c>
      <c r="P853" s="7">
        <f ca="1">SUMIFS($N$2:$N853,$B$2:$B853,"&lt;&gt;"&amp;B853)+SUM($Q$2:$Q853)</f>
        <v>90.195000000000007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29"/>
        <v>844</v>
      </c>
      <c r="P854" s="7">
        <f ca="1">SUMIFS($N$2:$N854,$B$2:$B854,"&lt;&gt;"&amp;B854)+SUM($Q$2:$Q854)</f>
        <v>90.195000000000007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29"/>
        <v>845</v>
      </c>
      <c r="P855" s="7">
        <f ca="1">SUMIFS($N$2:$N855,$B$2:$B855,"&lt;&gt;"&amp;B855)+SUM($Q$2:$Q855)</f>
        <v>90.195000000000007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29"/>
        <v>846</v>
      </c>
      <c r="P856" s="7">
        <f ca="1">SUMIFS($N$2:$N856,$B$2:$B856,"&lt;&gt;"&amp;B856)+SUM($Q$2:$Q856)</f>
        <v>90.195000000000007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29"/>
        <v>847</v>
      </c>
      <c r="P857" s="7">
        <f ca="1">SUMIFS($N$2:$N857,$B$2:$B857,"&lt;&gt;"&amp;B857)+SUM($Q$2:$Q857)</f>
        <v>90.195000000000007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29"/>
        <v>848</v>
      </c>
      <c r="P858" s="7">
        <f ca="1">SUMIFS($N$2:$N858,$B$2:$B858,"&lt;&gt;"&amp;B858)+SUM($Q$2:$Q858)</f>
        <v>90.195000000000007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29"/>
        <v>849</v>
      </c>
      <c r="P859" s="7">
        <f ca="1">SUMIFS($N$2:$N859,$B$2:$B859,"&lt;&gt;"&amp;B859)+SUM($Q$2:$Q859)</f>
        <v>90.195000000000007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29"/>
        <v>850</v>
      </c>
      <c r="P860" s="7">
        <f ca="1">SUMIFS($N$2:$N860,$B$2:$B860,"&lt;&gt;"&amp;B860)+SUM($Q$2:$Q860)</f>
        <v>90.195000000000007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29"/>
        <v>851</v>
      </c>
      <c r="P861" s="7">
        <f ca="1">SUMIFS($N$2:$N861,$B$2:$B861,"&lt;&gt;"&amp;B861)+SUM($Q$2:$Q861)</f>
        <v>90.195000000000007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29"/>
        <v>852</v>
      </c>
      <c r="P862" s="7">
        <f ca="1">SUMIFS($N$2:$N862,$B$2:$B862,"&lt;&gt;"&amp;B862)+SUM($Q$2:$Q862)</f>
        <v>90.195000000000007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29"/>
        <v>853</v>
      </c>
      <c r="P863" s="7">
        <f ca="1">SUMIFS($N$2:$N863,$B$2:$B863,"&lt;&gt;"&amp;B863)+SUM($Q$2:$Q863)</f>
        <v>90.195000000000007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29"/>
        <v>854</v>
      </c>
      <c r="P864" s="7">
        <f ca="1">SUMIFS($N$2:$N864,$B$2:$B864,"&lt;&gt;"&amp;B864)+SUM($Q$2:$Q864)</f>
        <v>90.195000000000007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29"/>
        <v>855</v>
      </c>
      <c r="P865" s="7">
        <f ca="1">SUMIFS($N$2:$N865,$B$2:$B865,"&lt;&gt;"&amp;B865)+SUM($Q$2:$Q865)</f>
        <v>90.195000000000007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si="29"/>
        <v>856</v>
      </c>
      <c r="P866" s="7">
        <f ca="1">SUMIFS($N$2:$N866,$B$2:$B866,"&lt;&gt;"&amp;B866)+SUM($Q$2:$Q866)</f>
        <v>90.195000000000007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29"/>
        <v>857</v>
      </c>
      <c r="P867" s="7">
        <f ca="1">SUMIFS($N$2:$N867,$B$2:$B867,"&lt;&gt;"&amp;B867)+SUM($Q$2:$Q867)</f>
        <v>90.195000000000007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29"/>
        <v>858</v>
      </c>
      <c r="P868" s="7">
        <f ca="1">SUMIFS($N$2:$N868,$B$2:$B868,"&lt;&gt;"&amp;B868)+SUM($Q$2:$Q868)</f>
        <v>90.195000000000007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29"/>
        <v>859</v>
      </c>
      <c r="P869" s="7">
        <f ca="1">SUMIFS($N$2:$N869,$B$2:$B869,"&lt;&gt;"&amp;B869)+SUM($Q$2:$Q869)</f>
        <v>90.195000000000007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29"/>
        <v>860</v>
      </c>
      <c r="P870" s="7">
        <f ca="1">SUMIFS($N$2:$N870,$B$2:$B870,"&lt;&gt;"&amp;B870)+SUM($Q$2:$Q870)</f>
        <v>90.195000000000007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29"/>
        <v>861</v>
      </c>
      <c r="P871" s="7">
        <f ca="1">SUMIFS($N$2:$N871,$B$2:$B871,"&lt;&gt;"&amp;B871)+SUM($Q$2:$Q871)</f>
        <v>90.195000000000007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29"/>
        <v>862</v>
      </c>
      <c r="P872" s="7">
        <f ca="1">SUMIFS($N$2:$N872,$B$2:$B872,"&lt;&gt;"&amp;B872)+SUM($Q$2:$Q872)</f>
        <v>90.195000000000007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29"/>
        <v>863</v>
      </c>
      <c r="P873" s="7">
        <f ca="1">SUMIFS($N$2:$N873,$B$2:$B873,"&lt;&gt;"&amp;B873)+SUM($Q$2:$Q873)</f>
        <v>90.195000000000007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29"/>
        <v>864</v>
      </c>
      <c r="P874" s="7">
        <f ca="1">SUMIFS($N$2:$N874,$B$2:$B874,"&lt;&gt;"&amp;B874)+SUM($Q$2:$Q874)</f>
        <v>90.195000000000007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29"/>
        <v>865</v>
      </c>
      <c r="P875" s="7">
        <f ca="1">SUMIFS($N$2:$N875,$B$2:$B875,"&lt;&gt;"&amp;B875)+SUM($Q$2:$Q875)</f>
        <v>90.195000000000007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29"/>
        <v>866</v>
      </c>
      <c r="P876" s="7">
        <f ca="1">SUMIFS($N$2:$N876,$B$2:$B876,"&lt;&gt;"&amp;B876)+SUM($Q$2:$Q876)</f>
        <v>90.195000000000007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29"/>
        <v>867</v>
      </c>
      <c r="P877" s="7">
        <f ca="1">SUMIFS($N$2:$N877,$B$2:$B877,"&lt;&gt;"&amp;B877)+SUM($Q$2:$Q877)</f>
        <v>90.195000000000007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29"/>
        <v>868</v>
      </c>
      <c r="P878" s="7">
        <f ca="1">SUMIFS($N$2:$N878,$B$2:$B878,"&lt;&gt;"&amp;B878)+SUM($Q$2:$Q878)</f>
        <v>90.195000000000007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29"/>
        <v>869</v>
      </c>
      <c r="P879" s="7">
        <f ca="1">SUMIFS($N$2:$N879,$B$2:$B879,"&lt;&gt;"&amp;B879)+SUM($Q$2:$Q879)</f>
        <v>90.195000000000007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29"/>
        <v>870</v>
      </c>
      <c r="P880" s="7">
        <f ca="1">SUMIFS($N$2:$N880,$B$2:$B880,"&lt;&gt;"&amp;B880)+SUM($Q$2:$Q880)</f>
        <v>90.195000000000007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29"/>
        <v>871</v>
      </c>
      <c r="P881" s="7">
        <f ca="1">SUMIFS($N$2:$N881,$B$2:$B881,"&lt;&gt;"&amp;B881)+SUM($Q$2:$Q881)</f>
        <v>90.195000000000007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29"/>
        <v>872</v>
      </c>
      <c r="P882" s="7">
        <f ca="1">SUMIFS($N$2:$N882,$B$2:$B882,"&lt;&gt;"&amp;B882)+SUM($Q$2:$Q882)</f>
        <v>90.195000000000007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29"/>
        <v>873</v>
      </c>
      <c r="P883" s="7">
        <f ca="1">SUMIFS($N$2:$N883,$B$2:$B883,"&lt;&gt;"&amp;B883)+SUM($Q$2:$Q883)</f>
        <v>90.195000000000007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29"/>
        <v>874</v>
      </c>
      <c r="P884" s="7">
        <f ca="1">SUMIFS($N$2:$N884,$B$2:$B884,"&lt;&gt;"&amp;B884)+SUM($Q$2:$Q884)</f>
        <v>90.195000000000007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29"/>
        <v>875</v>
      </c>
      <c r="P885" s="7">
        <f ca="1">SUMIFS($N$2:$N885,$B$2:$B885,"&lt;&gt;"&amp;B885)+SUM($Q$2:$Q885)</f>
        <v>90.195000000000007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29"/>
        <v>876</v>
      </c>
      <c r="P886" s="7">
        <f ca="1">SUMIFS($N$2:$N886,$B$2:$B886,"&lt;&gt;"&amp;B886)+SUM($Q$2:$Q886)</f>
        <v>90.195000000000007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29"/>
        <v>877</v>
      </c>
      <c r="P887" s="7">
        <f ca="1">SUMIFS($N$2:$N887,$B$2:$B887,"&lt;&gt;"&amp;B887)+SUM($Q$2:$Q887)</f>
        <v>90.195000000000007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29"/>
        <v>878</v>
      </c>
      <c r="P888" s="7">
        <f ca="1">SUMIFS($N$2:$N888,$B$2:$B888,"&lt;&gt;"&amp;B888)+SUM($Q$2:$Q888)</f>
        <v>90.195000000000007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29"/>
        <v>879</v>
      </c>
      <c r="P889" s="7">
        <f ca="1">SUMIFS($N$2:$N889,$B$2:$B889,"&lt;&gt;"&amp;B889)+SUM($Q$2:$Q889)</f>
        <v>90.195000000000007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29"/>
        <v>880</v>
      </c>
      <c r="P890" s="7">
        <f ca="1">SUMIFS($N$2:$N890,$B$2:$B890,"&lt;&gt;"&amp;B890)+SUM($Q$2:$Q890)</f>
        <v>90.195000000000007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29"/>
        <v>881</v>
      </c>
      <c r="P891" s="7">
        <f ca="1">SUMIFS($N$2:$N891,$B$2:$B891,"&lt;&gt;"&amp;B891)+SUM($Q$2:$Q891)</f>
        <v>90.195000000000007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29"/>
        <v>882</v>
      </c>
      <c r="P892" s="7">
        <f ca="1">SUMIFS($N$2:$N892,$B$2:$B892,"&lt;&gt;"&amp;B892)+SUM($Q$2:$Q892)</f>
        <v>90.195000000000007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29"/>
        <v>883</v>
      </c>
      <c r="P893" s="7">
        <f ca="1">SUMIFS($N$2:$N893,$B$2:$B893,"&lt;&gt;"&amp;B893)+SUM($Q$2:$Q893)</f>
        <v>90.195000000000007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29"/>
        <v>884</v>
      </c>
      <c r="P894" s="7">
        <f ca="1">SUMIFS($N$2:$N894,$B$2:$B894,"&lt;&gt;"&amp;B894)+SUM($Q$2:$Q894)</f>
        <v>90.195000000000007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29"/>
        <v>885</v>
      </c>
      <c r="P895" s="7">
        <f ca="1">SUMIFS($N$2:$N895,$B$2:$B895,"&lt;&gt;"&amp;B895)+SUM($Q$2:$Q895)</f>
        <v>90.195000000000007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29"/>
        <v>886</v>
      </c>
      <c r="P896" s="7">
        <f ca="1">SUMIFS($N$2:$N896,$B$2:$B896,"&lt;&gt;"&amp;B896)+SUM($Q$2:$Q896)</f>
        <v>90.195000000000007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29"/>
        <v>887</v>
      </c>
      <c r="P897" s="7">
        <f ca="1">SUMIFS($N$2:$N897,$B$2:$B897,"&lt;&gt;"&amp;B897)+SUM($Q$2:$Q897)</f>
        <v>90.195000000000007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29"/>
        <v>888</v>
      </c>
      <c r="P898" s="7">
        <f ca="1">SUMIFS($N$2:$N898,$B$2:$B898,"&lt;&gt;"&amp;B898)+SUM($Q$2:$Q898)</f>
        <v>90.195000000000007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ref="A899:A962" si="30">IF(AND(B899="", D899&lt;&gt;""), A898, A898+1)</f>
        <v>889</v>
      </c>
      <c r="P899" s="7">
        <f ca="1">SUMIFS($N$2:$N899,$B$2:$B899,"&lt;&gt;"&amp;B899)+SUM($Q$2:$Q899)</f>
        <v>90.195000000000007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30"/>
        <v>890</v>
      </c>
      <c r="P900" s="7">
        <f ca="1">SUMIFS($N$2:$N900,$B$2:$B900,"&lt;&gt;"&amp;B900)+SUM($Q$2:$Q900)</f>
        <v>90.195000000000007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30"/>
        <v>891</v>
      </c>
      <c r="P901" s="7">
        <f ca="1">SUMIFS($N$2:$N901,$B$2:$B901,"&lt;&gt;"&amp;B901)+SUM($Q$2:$Q901)</f>
        <v>90.195000000000007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30"/>
        <v>892</v>
      </c>
      <c r="P902" s="7">
        <f ca="1">SUMIFS($N$2:$N902,$B$2:$B902,"&lt;&gt;"&amp;B902)+SUM($Q$2:$Q902)</f>
        <v>90.195000000000007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30"/>
        <v>893</v>
      </c>
      <c r="P903" s="7">
        <f ca="1">SUMIFS($N$2:$N903,$B$2:$B903,"&lt;&gt;"&amp;B903)+SUM($Q$2:$Q903)</f>
        <v>90.195000000000007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30"/>
        <v>894</v>
      </c>
      <c r="P904" s="7">
        <f ca="1">SUMIFS($N$2:$N904,$B$2:$B904,"&lt;&gt;"&amp;B904)+SUM($Q$2:$Q904)</f>
        <v>90.195000000000007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30"/>
        <v>895</v>
      </c>
      <c r="P905" s="7">
        <f ca="1">SUMIFS($N$2:$N905,$B$2:$B905,"&lt;&gt;"&amp;B905)+SUM($Q$2:$Q905)</f>
        <v>90.195000000000007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30"/>
        <v>896</v>
      </c>
      <c r="P906" s="7">
        <f ca="1">SUMIFS($N$2:$N906,$B$2:$B906,"&lt;&gt;"&amp;B906)+SUM($Q$2:$Q906)</f>
        <v>90.195000000000007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30"/>
        <v>897</v>
      </c>
      <c r="P907" s="7">
        <f ca="1">SUMIFS($N$2:$N907,$B$2:$B907,"&lt;&gt;"&amp;B907)+SUM($Q$2:$Q907)</f>
        <v>90.195000000000007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30"/>
        <v>898</v>
      </c>
      <c r="P908" s="7">
        <f ca="1">SUMIFS($N$2:$N908,$B$2:$B908,"&lt;&gt;"&amp;B908)+SUM($Q$2:$Q908)</f>
        <v>90.195000000000007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30"/>
        <v>899</v>
      </c>
      <c r="P909" s="7">
        <f ca="1">SUMIFS($N$2:$N909,$B$2:$B909,"&lt;&gt;"&amp;B909)+SUM($Q$2:$Q909)</f>
        <v>90.195000000000007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30"/>
        <v>900</v>
      </c>
      <c r="P910" s="7">
        <f ca="1">SUMIFS($N$2:$N910,$B$2:$B910,"&lt;&gt;"&amp;B910)+SUM($Q$2:$Q910)</f>
        <v>90.195000000000007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30"/>
        <v>901</v>
      </c>
      <c r="P911" s="7">
        <f ca="1">SUMIFS($N$2:$N911,$B$2:$B911,"&lt;&gt;"&amp;B911)+SUM($Q$2:$Q911)</f>
        <v>90.195000000000007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30"/>
        <v>902</v>
      </c>
      <c r="P912" s="7">
        <f ca="1">SUMIFS($N$2:$N912,$B$2:$B912,"&lt;&gt;"&amp;B912)+SUM($Q$2:$Q912)</f>
        <v>90.195000000000007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30"/>
        <v>903</v>
      </c>
      <c r="P913" s="7">
        <f ca="1">SUMIFS($N$2:$N913,$B$2:$B913,"&lt;&gt;"&amp;B913)+SUM($Q$2:$Q913)</f>
        <v>90.195000000000007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30"/>
        <v>904</v>
      </c>
      <c r="P914" s="7">
        <f ca="1">SUMIFS($N$2:$N914,$B$2:$B914,"&lt;&gt;"&amp;B914)+SUM($Q$2:$Q914)</f>
        <v>90.195000000000007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30"/>
        <v>905</v>
      </c>
      <c r="P915" s="7">
        <f ca="1">SUMIFS($N$2:$N915,$B$2:$B915,"&lt;&gt;"&amp;B915)+SUM($Q$2:$Q915)</f>
        <v>90.195000000000007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30"/>
        <v>906</v>
      </c>
      <c r="P916" s="7">
        <f ca="1">SUMIFS($N$2:$N916,$B$2:$B916,"&lt;&gt;"&amp;B916)+SUM($Q$2:$Q916)</f>
        <v>90.195000000000007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30"/>
        <v>907</v>
      </c>
      <c r="P917" s="7">
        <f ca="1">SUMIFS($N$2:$N917,$B$2:$B917,"&lt;&gt;"&amp;B917)+SUM($Q$2:$Q917)</f>
        <v>90.195000000000007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30"/>
        <v>908</v>
      </c>
      <c r="P918" s="7">
        <f ca="1">SUMIFS($N$2:$N918,$B$2:$B918,"&lt;&gt;"&amp;B918)+SUM($Q$2:$Q918)</f>
        <v>90.195000000000007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30"/>
        <v>909</v>
      </c>
      <c r="P919" s="7">
        <f ca="1">SUMIFS($N$2:$N919,$B$2:$B919,"&lt;&gt;"&amp;B919)+SUM($Q$2:$Q919)</f>
        <v>90.195000000000007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30"/>
        <v>910</v>
      </c>
      <c r="P920" s="7">
        <f ca="1">SUMIFS($N$2:$N920,$B$2:$B920,"&lt;&gt;"&amp;B920)+SUM($Q$2:$Q920)</f>
        <v>90.195000000000007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30"/>
        <v>911</v>
      </c>
      <c r="P921" s="7">
        <f ca="1">SUMIFS($N$2:$N921,$B$2:$B921,"&lt;&gt;"&amp;B921)+SUM($Q$2:$Q921)</f>
        <v>90.195000000000007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30"/>
        <v>912</v>
      </c>
      <c r="P922" s="7">
        <f ca="1">SUMIFS($N$2:$N922,$B$2:$B922,"&lt;&gt;"&amp;B922)+SUM($Q$2:$Q922)</f>
        <v>90.195000000000007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30"/>
        <v>913</v>
      </c>
      <c r="P923" s="7">
        <f ca="1">SUMIFS($N$2:$N923,$B$2:$B923,"&lt;&gt;"&amp;B923)+SUM($Q$2:$Q923)</f>
        <v>90.195000000000007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30"/>
        <v>914</v>
      </c>
      <c r="P924" s="7">
        <f ca="1">SUMIFS($N$2:$N924,$B$2:$B924,"&lt;&gt;"&amp;B924)+SUM($Q$2:$Q924)</f>
        <v>90.195000000000007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30"/>
        <v>915</v>
      </c>
      <c r="P925" s="7">
        <f ca="1">SUMIFS($N$2:$N925,$B$2:$B925,"&lt;&gt;"&amp;B925)+SUM($Q$2:$Q925)</f>
        <v>90.195000000000007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30"/>
        <v>916</v>
      </c>
      <c r="P926" s="7">
        <f ca="1">SUMIFS($N$2:$N926,$B$2:$B926,"&lt;&gt;"&amp;B926)+SUM($Q$2:$Q926)</f>
        <v>90.195000000000007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30"/>
        <v>917</v>
      </c>
      <c r="P927" s="7">
        <f ca="1">SUMIFS($N$2:$N927,$B$2:$B927,"&lt;&gt;"&amp;B927)+SUM($Q$2:$Q927)</f>
        <v>90.195000000000007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30"/>
        <v>918</v>
      </c>
      <c r="P928" s="7">
        <f ca="1">SUMIFS($N$2:$N928,$B$2:$B928,"&lt;&gt;"&amp;B928)+SUM($Q$2:$Q928)</f>
        <v>90.195000000000007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30"/>
        <v>919</v>
      </c>
      <c r="P929" s="7">
        <f ca="1">SUMIFS($N$2:$N929,$B$2:$B929,"&lt;&gt;"&amp;B929)+SUM($Q$2:$Q929)</f>
        <v>90.195000000000007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si="30"/>
        <v>920</v>
      </c>
      <c r="P930" s="7">
        <f ca="1">SUMIFS($N$2:$N930,$B$2:$B930,"&lt;&gt;"&amp;B930)+SUM($Q$2:$Q930)</f>
        <v>90.195000000000007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30"/>
        <v>921</v>
      </c>
      <c r="P931" s="7">
        <f ca="1">SUMIFS($N$2:$N931,$B$2:$B931,"&lt;&gt;"&amp;B931)+SUM($Q$2:$Q931)</f>
        <v>90.195000000000007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30"/>
        <v>922</v>
      </c>
      <c r="P932" s="7">
        <f ca="1">SUMIFS($N$2:$N932,$B$2:$B932,"&lt;&gt;"&amp;B932)+SUM($Q$2:$Q932)</f>
        <v>90.195000000000007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30"/>
        <v>923</v>
      </c>
      <c r="P933" s="7">
        <f ca="1">SUMIFS($N$2:$N933,$B$2:$B933,"&lt;&gt;"&amp;B933)+SUM($Q$2:$Q933)</f>
        <v>90.195000000000007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30"/>
        <v>924</v>
      </c>
      <c r="P934" s="7">
        <f ca="1">SUMIFS($N$2:$N934,$B$2:$B934,"&lt;&gt;"&amp;B934)+SUM($Q$2:$Q934)</f>
        <v>90.195000000000007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30"/>
        <v>925</v>
      </c>
      <c r="P935" s="7">
        <f ca="1">SUMIFS($N$2:$N935,$B$2:$B935,"&lt;&gt;"&amp;B935)+SUM($Q$2:$Q935)</f>
        <v>90.195000000000007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30"/>
        <v>926</v>
      </c>
      <c r="P936" s="7">
        <f ca="1">SUMIFS($N$2:$N936,$B$2:$B936,"&lt;&gt;"&amp;B936)+SUM($Q$2:$Q936)</f>
        <v>90.195000000000007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30"/>
        <v>927</v>
      </c>
      <c r="P937" s="7">
        <f ca="1">SUMIFS($N$2:$N937,$B$2:$B937,"&lt;&gt;"&amp;B937)+SUM($Q$2:$Q937)</f>
        <v>90.195000000000007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30"/>
        <v>928</v>
      </c>
      <c r="P938" s="7">
        <f ca="1">SUMIFS($N$2:$N938,$B$2:$B938,"&lt;&gt;"&amp;B938)+SUM($Q$2:$Q938)</f>
        <v>90.195000000000007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30"/>
        <v>929</v>
      </c>
      <c r="P939" s="7">
        <f ca="1">SUMIFS($N$2:$N939,$B$2:$B939,"&lt;&gt;"&amp;B939)+SUM($Q$2:$Q939)</f>
        <v>90.195000000000007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30"/>
        <v>930</v>
      </c>
      <c r="P940" s="7">
        <f ca="1">SUMIFS($N$2:$N940,$B$2:$B940,"&lt;&gt;"&amp;B940)+SUM($Q$2:$Q940)</f>
        <v>90.195000000000007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30"/>
        <v>931</v>
      </c>
      <c r="P941" s="7">
        <f ca="1">SUMIFS($N$2:$N941,$B$2:$B941,"&lt;&gt;"&amp;B941)+SUM($Q$2:$Q941)</f>
        <v>90.195000000000007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30"/>
        <v>932</v>
      </c>
      <c r="P942" s="7">
        <f ca="1">SUMIFS($N$2:$N942,$B$2:$B942,"&lt;&gt;"&amp;B942)+SUM($Q$2:$Q942)</f>
        <v>90.195000000000007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30"/>
        <v>933</v>
      </c>
      <c r="P943" s="7">
        <f ca="1">SUMIFS($N$2:$N943,$B$2:$B943,"&lt;&gt;"&amp;B943)+SUM($Q$2:$Q943)</f>
        <v>90.195000000000007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30"/>
        <v>934</v>
      </c>
      <c r="P944" s="7">
        <f ca="1">SUMIFS($N$2:$N944,$B$2:$B944,"&lt;&gt;"&amp;B944)+SUM($Q$2:$Q944)</f>
        <v>90.195000000000007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30"/>
        <v>935</v>
      </c>
      <c r="P945" s="7">
        <f ca="1">SUMIFS($N$2:$N945,$B$2:$B945,"&lt;&gt;"&amp;B945)+SUM($Q$2:$Q945)</f>
        <v>90.195000000000007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30"/>
        <v>936</v>
      </c>
      <c r="P946" s="7">
        <f ca="1">SUMIFS($N$2:$N946,$B$2:$B946,"&lt;&gt;"&amp;B946)+SUM($Q$2:$Q946)</f>
        <v>90.195000000000007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30"/>
        <v>937</v>
      </c>
      <c r="P947" s="7">
        <f ca="1">SUMIFS($N$2:$N947,$B$2:$B947,"&lt;&gt;"&amp;B947)+SUM($Q$2:$Q947)</f>
        <v>90.195000000000007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30"/>
        <v>938</v>
      </c>
      <c r="P948" s="7">
        <f ca="1">SUMIFS($N$2:$N948,$B$2:$B948,"&lt;&gt;"&amp;B948)+SUM($Q$2:$Q948)</f>
        <v>90.195000000000007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30"/>
        <v>939</v>
      </c>
      <c r="P949" s="7">
        <f ca="1">SUMIFS($N$2:$N949,$B$2:$B949,"&lt;&gt;"&amp;B949)+SUM($Q$2:$Q949)</f>
        <v>90.195000000000007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30"/>
        <v>940</v>
      </c>
      <c r="P950" s="7">
        <f ca="1">SUMIFS($N$2:$N950,$B$2:$B950,"&lt;&gt;"&amp;B950)+SUM($Q$2:$Q950)</f>
        <v>90.195000000000007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30"/>
        <v>941</v>
      </c>
      <c r="P951" s="7">
        <f ca="1">SUMIFS($N$2:$N951,$B$2:$B951,"&lt;&gt;"&amp;B951)+SUM($Q$2:$Q951)</f>
        <v>90.195000000000007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30"/>
        <v>942</v>
      </c>
      <c r="P952" s="7">
        <f ca="1">SUMIFS($N$2:$N952,$B$2:$B952,"&lt;&gt;"&amp;B952)+SUM($Q$2:$Q952)</f>
        <v>90.195000000000007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30"/>
        <v>943</v>
      </c>
      <c r="P953" s="7">
        <f ca="1">SUMIFS($N$2:$N953,$B$2:$B953,"&lt;&gt;"&amp;B953)+SUM($Q$2:$Q953)</f>
        <v>90.195000000000007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30"/>
        <v>944</v>
      </c>
      <c r="P954" s="7">
        <f ca="1">SUMIFS($N$2:$N954,$B$2:$B954,"&lt;&gt;"&amp;B954)+SUM($Q$2:$Q954)</f>
        <v>90.195000000000007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30"/>
        <v>945</v>
      </c>
      <c r="P955" s="7">
        <f ca="1">SUMIFS($N$2:$N955,$B$2:$B955,"&lt;&gt;"&amp;B955)+SUM($Q$2:$Q955)</f>
        <v>90.195000000000007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30"/>
        <v>946</v>
      </c>
      <c r="P956" s="7">
        <f ca="1">SUMIFS($N$2:$N956,$B$2:$B956,"&lt;&gt;"&amp;B956)+SUM($Q$2:$Q956)</f>
        <v>90.195000000000007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30"/>
        <v>947</v>
      </c>
      <c r="P957" s="7">
        <f ca="1">SUMIFS($N$2:$N957,$B$2:$B957,"&lt;&gt;"&amp;B957)+SUM($Q$2:$Q957)</f>
        <v>90.195000000000007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30"/>
        <v>948</v>
      </c>
      <c r="P958" s="7">
        <f ca="1">SUMIFS($N$2:$N958,$B$2:$B958,"&lt;&gt;"&amp;B958)+SUM($Q$2:$Q958)</f>
        <v>90.195000000000007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30"/>
        <v>949</v>
      </c>
      <c r="P959" s="7">
        <f ca="1">SUMIFS($N$2:$N959,$B$2:$B959,"&lt;&gt;"&amp;B959)+SUM($Q$2:$Q959)</f>
        <v>90.195000000000007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30"/>
        <v>950</v>
      </c>
      <c r="P960" s="7">
        <f ca="1">SUMIFS($N$2:$N960,$B$2:$B960,"&lt;&gt;"&amp;B960)+SUM($Q$2:$Q960)</f>
        <v>90.195000000000007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30"/>
        <v>951</v>
      </c>
      <c r="P961" s="7">
        <f ca="1">SUMIFS($N$2:$N961,$B$2:$B961,"&lt;&gt;"&amp;B961)+SUM($Q$2:$Q961)</f>
        <v>90.195000000000007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30"/>
        <v>952</v>
      </c>
      <c r="P962" s="7">
        <f ca="1">SUMIFS($N$2:$N962,$B$2:$B962,"&lt;&gt;"&amp;B962)+SUM($Q$2:$Q962)</f>
        <v>90.195000000000007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ref="A963:A1026" si="31">IF(AND(B963="", D963&lt;&gt;""), A962, A962+1)</f>
        <v>953</v>
      </c>
      <c r="P963" s="7">
        <f ca="1">SUMIFS($N$2:$N963,$B$2:$B963,"&lt;&gt;"&amp;B963)+SUM($Q$2:$Q963)</f>
        <v>90.195000000000007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31"/>
        <v>954</v>
      </c>
      <c r="P964" s="7">
        <f ca="1">SUMIFS($N$2:$N964,$B$2:$B964,"&lt;&gt;"&amp;B964)+SUM($Q$2:$Q964)</f>
        <v>90.195000000000007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31"/>
        <v>955</v>
      </c>
      <c r="P965" s="7">
        <f ca="1">SUMIFS($N$2:$N965,$B$2:$B965,"&lt;&gt;"&amp;B965)+SUM($Q$2:$Q965)</f>
        <v>90.195000000000007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31"/>
        <v>956</v>
      </c>
      <c r="P966" s="7">
        <f ca="1">SUMIFS($N$2:$N966,$B$2:$B966,"&lt;&gt;"&amp;B966)+SUM($Q$2:$Q966)</f>
        <v>90.195000000000007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31"/>
        <v>957</v>
      </c>
      <c r="P967" s="7">
        <f ca="1">SUMIFS($N$2:$N967,$B$2:$B967,"&lt;&gt;"&amp;B967)+SUM($Q$2:$Q967)</f>
        <v>90.195000000000007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31"/>
        <v>958</v>
      </c>
      <c r="P968" s="7">
        <f ca="1">SUMIFS($N$2:$N968,$B$2:$B968,"&lt;&gt;"&amp;B968)+SUM($Q$2:$Q968)</f>
        <v>90.195000000000007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31"/>
        <v>959</v>
      </c>
      <c r="P969" s="7">
        <f ca="1">SUMIFS($N$2:$N969,$B$2:$B969,"&lt;&gt;"&amp;B969)+SUM($Q$2:$Q969)</f>
        <v>90.195000000000007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31"/>
        <v>960</v>
      </c>
      <c r="P970" s="7">
        <f ca="1">SUMIFS($N$2:$N970,$B$2:$B970,"&lt;&gt;"&amp;B970)+SUM($Q$2:$Q970)</f>
        <v>90.195000000000007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31"/>
        <v>961</v>
      </c>
      <c r="P971" s="7">
        <f ca="1">SUMIFS($N$2:$N971,$B$2:$B971,"&lt;&gt;"&amp;B971)+SUM($Q$2:$Q971)</f>
        <v>90.195000000000007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31"/>
        <v>962</v>
      </c>
      <c r="P972" s="7">
        <f ca="1">SUMIFS($N$2:$N972,$B$2:$B972,"&lt;&gt;"&amp;B972)+SUM($Q$2:$Q972)</f>
        <v>90.195000000000007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31"/>
        <v>963</v>
      </c>
      <c r="P973" s="7">
        <f ca="1">SUMIFS($N$2:$N973,$B$2:$B973,"&lt;&gt;"&amp;B973)+SUM($Q$2:$Q973)</f>
        <v>90.195000000000007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31"/>
        <v>964</v>
      </c>
      <c r="P974" s="7">
        <f ca="1">SUMIFS($N$2:$N974,$B$2:$B974,"&lt;&gt;"&amp;B974)+SUM($Q$2:$Q974)</f>
        <v>90.195000000000007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31"/>
        <v>965</v>
      </c>
      <c r="P975" s="7">
        <f ca="1">SUMIFS($N$2:$N975,$B$2:$B975,"&lt;&gt;"&amp;B975)+SUM($Q$2:$Q975)</f>
        <v>90.195000000000007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31"/>
        <v>966</v>
      </c>
      <c r="P976" s="7">
        <f ca="1">SUMIFS($N$2:$N976,$B$2:$B976,"&lt;&gt;"&amp;B976)+SUM($Q$2:$Q976)</f>
        <v>90.195000000000007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31"/>
        <v>967</v>
      </c>
      <c r="P977" s="7">
        <f ca="1">SUMIFS($N$2:$N977,$B$2:$B977,"&lt;&gt;"&amp;B977)+SUM($Q$2:$Q977)</f>
        <v>90.195000000000007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31"/>
        <v>968</v>
      </c>
      <c r="P978" s="7">
        <f ca="1">SUMIFS($N$2:$N978,$B$2:$B978,"&lt;&gt;"&amp;B978)+SUM($Q$2:$Q978)</f>
        <v>90.195000000000007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31"/>
        <v>969</v>
      </c>
      <c r="P979" s="7">
        <f ca="1">SUMIFS($N$2:$N979,$B$2:$B979,"&lt;&gt;"&amp;B979)+SUM($Q$2:$Q979)</f>
        <v>90.195000000000007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31"/>
        <v>970</v>
      </c>
      <c r="P980" s="7">
        <f ca="1">SUMIFS($N$2:$N980,$B$2:$B980,"&lt;&gt;"&amp;B980)+SUM($Q$2:$Q980)</f>
        <v>90.195000000000007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31"/>
        <v>971</v>
      </c>
      <c r="P981" s="7">
        <f ca="1">SUMIFS($N$2:$N981,$B$2:$B981,"&lt;&gt;"&amp;B981)+SUM($Q$2:$Q981)</f>
        <v>90.195000000000007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31"/>
        <v>972</v>
      </c>
      <c r="P982" s="7">
        <f ca="1">SUMIFS($N$2:$N982,$B$2:$B982,"&lt;&gt;"&amp;B982)+SUM($Q$2:$Q982)</f>
        <v>90.195000000000007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31"/>
        <v>973</v>
      </c>
      <c r="P983" s="7">
        <f ca="1">SUMIFS($N$2:$N983,$B$2:$B983,"&lt;&gt;"&amp;B983)+SUM($Q$2:$Q983)</f>
        <v>90.195000000000007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31"/>
        <v>974</v>
      </c>
      <c r="P984" s="7">
        <f ca="1">SUMIFS($N$2:$N984,$B$2:$B984,"&lt;&gt;"&amp;B984)+SUM($Q$2:$Q984)</f>
        <v>90.195000000000007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31"/>
        <v>975</v>
      </c>
      <c r="P985" s="7">
        <f ca="1">SUMIFS($N$2:$N985,$B$2:$B985,"&lt;&gt;"&amp;B985)+SUM($Q$2:$Q985)</f>
        <v>90.195000000000007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31"/>
        <v>976</v>
      </c>
      <c r="P986" s="7">
        <f ca="1">SUMIFS($N$2:$N986,$B$2:$B986,"&lt;&gt;"&amp;B986)+SUM($Q$2:$Q986)</f>
        <v>90.195000000000007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31"/>
        <v>977</v>
      </c>
      <c r="P987" s="7">
        <f ca="1">SUMIFS($N$2:$N987,$B$2:$B987,"&lt;&gt;"&amp;B987)+SUM($Q$2:$Q987)</f>
        <v>90.195000000000007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31"/>
        <v>978</v>
      </c>
      <c r="P988" s="7">
        <f ca="1">SUMIFS($N$2:$N988,$B$2:$B988,"&lt;&gt;"&amp;B988)+SUM($Q$2:$Q988)</f>
        <v>90.195000000000007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31"/>
        <v>979</v>
      </c>
      <c r="P989" s="7">
        <f ca="1">SUMIFS($N$2:$N989,$B$2:$B989,"&lt;&gt;"&amp;B989)+SUM($Q$2:$Q989)</f>
        <v>90.195000000000007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31"/>
        <v>980</v>
      </c>
      <c r="P990" s="7">
        <f ca="1">SUMIFS($N$2:$N990,$B$2:$B990,"&lt;&gt;"&amp;B990)+SUM($Q$2:$Q990)</f>
        <v>90.195000000000007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31"/>
        <v>981</v>
      </c>
      <c r="P991" s="7">
        <f ca="1">SUMIFS($N$2:$N991,$B$2:$B991,"&lt;&gt;"&amp;B991)+SUM($Q$2:$Q991)</f>
        <v>90.195000000000007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31"/>
        <v>982</v>
      </c>
      <c r="P992" s="7">
        <f ca="1">SUMIFS($N$2:$N992,$B$2:$B992,"&lt;&gt;"&amp;B992)+SUM($Q$2:$Q992)</f>
        <v>90.195000000000007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31"/>
        <v>983</v>
      </c>
      <c r="P993" s="7">
        <f ca="1">SUMIFS($N$2:$N993,$B$2:$B993,"&lt;&gt;"&amp;B993)+SUM($Q$2:$Q993)</f>
        <v>90.195000000000007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si="31"/>
        <v>984</v>
      </c>
      <c r="P994" s="7">
        <f ca="1">SUMIFS($N$2:$N994,$B$2:$B994,"&lt;&gt;"&amp;B994)+SUM($Q$2:$Q994)</f>
        <v>90.195000000000007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31"/>
        <v>985</v>
      </c>
      <c r="P995" s="7">
        <f ca="1">SUMIFS($N$2:$N995,$B$2:$B995,"&lt;&gt;"&amp;B995)+SUM($Q$2:$Q995)</f>
        <v>90.195000000000007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31"/>
        <v>986</v>
      </c>
      <c r="P996" s="7">
        <f ca="1">SUMIFS($N$2:$N996,$B$2:$B996,"&lt;&gt;"&amp;B996)+SUM($Q$2:$Q996)</f>
        <v>90.195000000000007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31"/>
        <v>987</v>
      </c>
      <c r="P997" s="7">
        <f ca="1">SUMIFS($N$2:$N997,$B$2:$B997,"&lt;&gt;"&amp;B997)+SUM($Q$2:$Q997)</f>
        <v>90.195000000000007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31"/>
        <v>988</v>
      </c>
      <c r="P998" s="7">
        <f ca="1">SUMIFS($N$2:$N998,$B$2:$B998,"&lt;&gt;"&amp;B998)+SUM($Q$2:$Q998)</f>
        <v>90.195000000000007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31"/>
        <v>989</v>
      </c>
      <c r="P999" s="7">
        <f ca="1">SUMIFS($N$2:$N999,$B$2:$B999,"&lt;&gt;"&amp;B999)+SUM($Q$2:$Q999)</f>
        <v>90.195000000000007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31"/>
        <v>990</v>
      </c>
      <c r="P1000" s="7">
        <f ca="1">SUMIFS($N$2:$N1000,$B$2:$B1000,"&lt;&gt;"&amp;B1000)+SUM($Q$2:$Q1000)</f>
        <v>90.195000000000007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31"/>
        <v>991</v>
      </c>
      <c r="P1001" s="7">
        <f ca="1">SUMIFS($N$2:$N1001,$B$2:$B1001,"&lt;&gt;"&amp;B1001)+SUM($Q$2:$Q1001)</f>
        <v>90.195000000000007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31"/>
        <v>992</v>
      </c>
      <c r="P1002" s="7">
        <f ca="1">SUMIFS($N$2:$N1002,$B$2:$B1002,"&lt;&gt;"&amp;B1002)+SUM($Q$2:$Q1002)</f>
        <v>90.195000000000007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31"/>
        <v>993</v>
      </c>
      <c r="P1003" s="7">
        <f ca="1">SUMIFS($N$2:$N1003,$B$2:$B1003,"&lt;&gt;"&amp;B1003)+SUM($Q$2:$Q1003)</f>
        <v>90.195000000000007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31"/>
        <v>994</v>
      </c>
      <c r="P1004" s="7">
        <f ca="1">SUMIFS($N$2:$N1004,$B$2:$B1004,"&lt;&gt;"&amp;B1004)+SUM($Q$2:$Q1004)</f>
        <v>90.195000000000007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31"/>
        <v>995</v>
      </c>
      <c r="P1005" s="7">
        <f ca="1">SUMIFS($N$2:$N1005,$B$2:$B1005,"&lt;&gt;"&amp;B1005)+SUM($Q$2:$Q1005)</f>
        <v>90.195000000000007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31"/>
        <v>996</v>
      </c>
      <c r="P1006" s="7">
        <f ca="1">SUMIFS($N$2:$N1006,$B$2:$B1006,"&lt;&gt;"&amp;B1006)+SUM($Q$2:$Q1006)</f>
        <v>90.195000000000007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31"/>
        <v>997</v>
      </c>
      <c r="P1007" s="7">
        <f ca="1">SUMIFS($N$2:$N1007,$B$2:$B1007,"&lt;&gt;"&amp;B1007)+SUM($Q$2:$Q1007)</f>
        <v>90.195000000000007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31"/>
        <v>998</v>
      </c>
      <c r="P1008" s="7">
        <f ca="1">SUMIFS($N$2:$N1008,$B$2:$B1008,"&lt;&gt;"&amp;B1008)+SUM($Q$2:$Q1008)</f>
        <v>90.195000000000007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31"/>
        <v>999</v>
      </c>
      <c r="P1009" s="7">
        <f ca="1">SUMIFS($N$2:$N1009,$B$2:$B1009,"&lt;&gt;"&amp;B1009)+SUM($Q$2:$Q1009)</f>
        <v>90.195000000000007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31"/>
        <v>1000</v>
      </c>
      <c r="P1010" s="7">
        <f ca="1">SUMIFS($N$2:$N1010,$B$2:$B1010,"&lt;&gt;"&amp;B1010)+SUM($Q$2:$Q1010)</f>
        <v>90.195000000000007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31"/>
        <v>1001</v>
      </c>
      <c r="P1011" s="7">
        <f ca="1">SUMIFS($N$2:$N1011,$B$2:$B1011,"&lt;&gt;"&amp;B1011)+SUM($Q$2:$Q1011)</f>
        <v>90.195000000000007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31"/>
        <v>1002</v>
      </c>
      <c r="P1012" s="7">
        <f ca="1">SUMIFS($N$2:$N1012,$B$2:$B1012,"&lt;&gt;"&amp;B1012)+SUM($Q$2:$Q1012)</f>
        <v>90.195000000000007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31"/>
        <v>1003</v>
      </c>
      <c r="P1013" s="7">
        <f ca="1">SUMIFS($N$2:$N1013,$B$2:$B1013,"&lt;&gt;"&amp;B1013)+SUM($Q$2:$Q1013)</f>
        <v>90.195000000000007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31"/>
        <v>1004</v>
      </c>
      <c r="P1014" s="7">
        <f ca="1">SUMIFS($N$2:$N1014,$B$2:$B1014,"&lt;&gt;"&amp;B1014)+SUM($Q$2:$Q1014)</f>
        <v>90.195000000000007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31"/>
        <v>1005</v>
      </c>
      <c r="P1015" s="7">
        <f ca="1">SUMIFS($N$2:$N1015,$B$2:$B1015,"&lt;&gt;"&amp;B1015)+SUM($Q$2:$Q1015)</f>
        <v>90.195000000000007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31"/>
        <v>1006</v>
      </c>
      <c r="P1016" s="7">
        <f ca="1">SUMIFS($N$2:$N1016,$B$2:$B1016,"&lt;&gt;"&amp;B1016)+SUM($Q$2:$Q1016)</f>
        <v>90.195000000000007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31"/>
        <v>1007</v>
      </c>
      <c r="P1017" s="7">
        <f ca="1">SUMIFS($N$2:$N1017,$B$2:$B1017,"&lt;&gt;"&amp;B1017)+SUM($Q$2:$Q1017)</f>
        <v>90.195000000000007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31"/>
        <v>1008</v>
      </c>
      <c r="P1018" s="7">
        <f ca="1">SUMIFS($N$2:$N1018,$B$2:$B1018,"&lt;&gt;"&amp;B1018)+SUM($Q$2:$Q1018)</f>
        <v>90.195000000000007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31"/>
        <v>1009</v>
      </c>
      <c r="P1019" s="7">
        <f ca="1">SUMIFS($N$2:$N1019,$B$2:$B1019,"&lt;&gt;"&amp;B1019)+SUM($Q$2:$Q1019)</f>
        <v>90.195000000000007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31"/>
        <v>1010</v>
      </c>
      <c r="P1020" s="7">
        <f ca="1">SUMIFS($N$2:$N1020,$B$2:$B1020,"&lt;&gt;"&amp;B1020)+SUM($Q$2:$Q1020)</f>
        <v>90.195000000000007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31"/>
        <v>1011</v>
      </c>
      <c r="P1021" s="7">
        <f ca="1">SUMIFS($N$2:$N1021,$B$2:$B1021,"&lt;&gt;"&amp;B1021)+SUM($Q$2:$Q1021)</f>
        <v>90.195000000000007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31"/>
        <v>1012</v>
      </c>
      <c r="P1022" s="7">
        <f ca="1">SUMIFS($N$2:$N1022,$B$2:$B1022,"&lt;&gt;"&amp;B1022)+SUM($Q$2:$Q1022)</f>
        <v>90.195000000000007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31"/>
        <v>1013</v>
      </c>
      <c r="P1023" s="7">
        <f ca="1">SUMIFS($N$2:$N1023,$B$2:$B1023,"&lt;&gt;"&amp;B1023)+SUM($Q$2:$Q1023)</f>
        <v>90.195000000000007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31"/>
        <v>1014</v>
      </c>
      <c r="P1024" s="7">
        <f ca="1">SUMIFS($N$2:$N1024,$B$2:$B1024,"&lt;&gt;"&amp;B1024)+SUM($Q$2:$Q1024)</f>
        <v>90.195000000000007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31"/>
        <v>1015</v>
      </c>
      <c r="P1025" s="7">
        <f ca="1">SUMIFS($N$2:$N1025,$B$2:$B1025,"&lt;&gt;"&amp;B1025)+SUM($Q$2:$Q1025)</f>
        <v>90.195000000000007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31"/>
        <v>1016</v>
      </c>
      <c r="P1026" s="7">
        <f ca="1">SUMIFS($N$2:$N1026,$B$2:$B1026,"&lt;&gt;"&amp;B1026)+SUM($Q$2:$Q1026)</f>
        <v>90.195000000000007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ref="A1027:A1090" si="32">IF(AND(B1027="", D1027&lt;&gt;""), A1026, A1026+1)</f>
        <v>1017</v>
      </c>
      <c r="P1027" s="7">
        <f ca="1">SUMIFS($N$2:$N1027,$B$2:$B1027,"&lt;&gt;"&amp;B1027)+SUM($Q$2:$Q1027)</f>
        <v>90.195000000000007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32"/>
        <v>1018</v>
      </c>
      <c r="P1028" s="7">
        <f ca="1">SUMIFS($N$2:$N1028,$B$2:$B1028,"&lt;&gt;"&amp;B1028)+SUM($Q$2:$Q1028)</f>
        <v>90.195000000000007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32"/>
        <v>1019</v>
      </c>
      <c r="P1029" s="7">
        <f ca="1">SUMIFS($N$2:$N1029,$B$2:$B1029,"&lt;&gt;"&amp;B1029)+SUM($Q$2:$Q1029)</f>
        <v>90.195000000000007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32"/>
        <v>1020</v>
      </c>
      <c r="P1030" s="7">
        <f ca="1">SUMIFS($N$2:$N1030,$B$2:$B1030,"&lt;&gt;"&amp;B1030)+SUM($Q$2:$Q1030)</f>
        <v>90.195000000000007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32"/>
        <v>1021</v>
      </c>
      <c r="P1031" s="7">
        <f ca="1">SUMIFS($N$2:$N1031,$B$2:$B1031,"&lt;&gt;"&amp;B1031)+SUM($Q$2:$Q1031)</f>
        <v>90.195000000000007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32"/>
        <v>1022</v>
      </c>
      <c r="P1032" s="7">
        <f ca="1">SUMIFS($N$2:$N1032,$B$2:$B1032,"&lt;&gt;"&amp;B1032)+SUM($Q$2:$Q1032)</f>
        <v>90.195000000000007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32"/>
        <v>1023</v>
      </c>
      <c r="P1033" s="7">
        <f ca="1">SUMIFS($N$2:$N1033,$B$2:$B1033,"&lt;&gt;"&amp;B1033)+SUM($Q$2:$Q1033)</f>
        <v>90.195000000000007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32"/>
        <v>1024</v>
      </c>
      <c r="P1034" s="7">
        <f ca="1">SUMIFS($N$2:$N1034,$B$2:$B1034,"&lt;&gt;"&amp;B1034)+SUM($Q$2:$Q1034)</f>
        <v>90.195000000000007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32"/>
        <v>1025</v>
      </c>
      <c r="P1035" s="7">
        <f ca="1">SUMIFS($N$2:$N1035,$B$2:$B1035,"&lt;&gt;"&amp;B1035)+SUM($Q$2:$Q1035)</f>
        <v>90.195000000000007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32"/>
        <v>1026</v>
      </c>
      <c r="P1036" s="7">
        <f ca="1">SUMIFS($N$2:$N1036,$B$2:$B1036,"&lt;&gt;"&amp;B1036)+SUM($Q$2:$Q1036)</f>
        <v>90.195000000000007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32"/>
        <v>1027</v>
      </c>
      <c r="P1037" s="7">
        <f ca="1">SUMIFS($N$2:$N1037,$B$2:$B1037,"&lt;&gt;"&amp;B1037)+SUM($Q$2:$Q1037)</f>
        <v>90.195000000000007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32"/>
        <v>1028</v>
      </c>
      <c r="P1038" s="7">
        <f ca="1">SUMIFS($N$2:$N1038,$B$2:$B1038,"&lt;&gt;"&amp;B1038)+SUM($Q$2:$Q1038)</f>
        <v>90.195000000000007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32"/>
        <v>1029</v>
      </c>
      <c r="P1039" s="7">
        <f ca="1">SUMIFS($N$2:$N1039,$B$2:$B1039,"&lt;&gt;"&amp;B1039)+SUM($Q$2:$Q1039)</f>
        <v>90.195000000000007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32"/>
        <v>1030</v>
      </c>
      <c r="P1040" s="7">
        <f ca="1">SUMIFS($N$2:$N1040,$B$2:$B1040,"&lt;&gt;"&amp;B1040)+SUM($Q$2:$Q1040)</f>
        <v>90.195000000000007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32"/>
        <v>1031</v>
      </c>
      <c r="P1041" s="7">
        <f ca="1">SUMIFS($N$2:$N1041,$B$2:$B1041,"&lt;&gt;"&amp;B1041)+SUM($Q$2:$Q1041)</f>
        <v>90.195000000000007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32"/>
        <v>1032</v>
      </c>
      <c r="P1042" s="7">
        <f ca="1">SUMIFS($N$2:$N1042,$B$2:$B1042,"&lt;&gt;"&amp;B1042)+SUM($Q$2:$Q1042)</f>
        <v>90.195000000000007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32"/>
        <v>1033</v>
      </c>
      <c r="P1043" s="7">
        <f ca="1">SUMIFS($N$2:$N1043,$B$2:$B1043,"&lt;&gt;"&amp;B1043)+SUM($Q$2:$Q1043)</f>
        <v>90.195000000000007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32"/>
        <v>1034</v>
      </c>
      <c r="P1044" s="7">
        <f ca="1">SUMIFS($N$2:$N1044,$B$2:$B1044,"&lt;&gt;"&amp;B1044)+SUM($Q$2:$Q1044)</f>
        <v>90.195000000000007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32"/>
        <v>1035</v>
      </c>
      <c r="P1045" s="7">
        <f ca="1">SUMIFS($N$2:$N1045,$B$2:$B1045,"&lt;&gt;"&amp;B1045)+SUM($Q$2:$Q1045)</f>
        <v>90.195000000000007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32"/>
        <v>1036</v>
      </c>
      <c r="P1046" s="7">
        <f ca="1">SUMIFS($N$2:$N1046,$B$2:$B1046,"&lt;&gt;"&amp;B1046)+SUM($Q$2:$Q1046)</f>
        <v>90.195000000000007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32"/>
        <v>1037</v>
      </c>
      <c r="P1047" s="7">
        <f ca="1">SUMIFS($N$2:$N1047,$B$2:$B1047,"&lt;&gt;"&amp;B1047)+SUM($Q$2:$Q1047)</f>
        <v>90.195000000000007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32"/>
        <v>1038</v>
      </c>
      <c r="P1048" s="7">
        <f ca="1">SUMIFS($N$2:$N1048,$B$2:$B1048,"&lt;&gt;"&amp;B1048)+SUM($Q$2:$Q1048)</f>
        <v>90.195000000000007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32"/>
        <v>1039</v>
      </c>
      <c r="P1049" s="7">
        <f ca="1">SUMIFS($N$2:$N1049,$B$2:$B1049,"&lt;&gt;"&amp;B1049)+SUM($Q$2:$Q1049)</f>
        <v>90.195000000000007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32"/>
        <v>1040</v>
      </c>
      <c r="P1050" s="7">
        <f ca="1">SUMIFS($N$2:$N1050,$B$2:$B1050,"&lt;&gt;"&amp;B1050)+SUM($Q$2:$Q1050)</f>
        <v>90.195000000000007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32"/>
        <v>1041</v>
      </c>
      <c r="P1051" s="7">
        <f ca="1">SUMIFS($N$2:$N1051,$B$2:$B1051,"&lt;&gt;"&amp;B1051)+SUM($Q$2:$Q1051)</f>
        <v>90.195000000000007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32"/>
        <v>1042</v>
      </c>
      <c r="P1052" s="7">
        <f ca="1">SUMIFS($N$2:$N1052,$B$2:$B1052,"&lt;&gt;"&amp;B1052)+SUM($Q$2:$Q1052)</f>
        <v>90.195000000000007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32"/>
        <v>1043</v>
      </c>
      <c r="P1053" s="7">
        <f ca="1">SUMIFS($N$2:$N1053,$B$2:$B1053,"&lt;&gt;"&amp;B1053)+SUM($Q$2:$Q1053)</f>
        <v>90.195000000000007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32"/>
        <v>1044</v>
      </c>
      <c r="P1054" s="7">
        <f ca="1">SUMIFS($N$2:$N1054,$B$2:$B1054,"&lt;&gt;"&amp;B1054)+SUM($Q$2:$Q1054)</f>
        <v>90.195000000000007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32"/>
        <v>1045</v>
      </c>
      <c r="P1055" s="7">
        <f ca="1">SUMIFS($N$2:$N1055,$B$2:$B1055,"&lt;&gt;"&amp;B1055)+SUM($Q$2:$Q1055)</f>
        <v>90.195000000000007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32"/>
        <v>1046</v>
      </c>
      <c r="P1056" s="7">
        <f ca="1">SUMIFS($N$2:$N1056,$B$2:$B1056,"&lt;&gt;"&amp;B1056)+SUM($Q$2:$Q1056)</f>
        <v>90.195000000000007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32"/>
        <v>1047</v>
      </c>
      <c r="P1057" s="7">
        <f ca="1">SUMIFS($N$2:$N1057,$B$2:$B1057,"&lt;&gt;"&amp;B1057)+SUM($Q$2:$Q1057)</f>
        <v>90.195000000000007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si="32"/>
        <v>1048</v>
      </c>
      <c r="P1058" s="7">
        <f ca="1">SUMIFS($N$2:$N1058,$B$2:$B1058,"&lt;&gt;"&amp;B1058)+SUM($Q$2:$Q1058)</f>
        <v>90.195000000000007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32"/>
        <v>1049</v>
      </c>
      <c r="P1059" s="7">
        <f ca="1">SUMIFS($N$2:$N1059,$B$2:$B1059,"&lt;&gt;"&amp;B1059)+SUM($Q$2:$Q1059)</f>
        <v>90.195000000000007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32"/>
        <v>1050</v>
      </c>
      <c r="P1060" s="7">
        <f ca="1">SUMIFS($N$2:$N1060,$B$2:$B1060,"&lt;&gt;"&amp;B1060)+SUM($Q$2:$Q1060)</f>
        <v>90.195000000000007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32"/>
        <v>1051</v>
      </c>
      <c r="P1061" s="7">
        <f ca="1">SUMIFS($N$2:$N1061,$B$2:$B1061,"&lt;&gt;"&amp;B1061)+SUM($Q$2:$Q1061)</f>
        <v>90.195000000000007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32"/>
        <v>1052</v>
      </c>
      <c r="P1062" s="7">
        <f ca="1">SUMIFS($N$2:$N1062,$B$2:$B1062,"&lt;&gt;"&amp;B1062)+SUM($Q$2:$Q1062)</f>
        <v>90.195000000000007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32"/>
        <v>1053</v>
      </c>
      <c r="P1063" s="7">
        <f ca="1">SUMIFS($N$2:$N1063,$B$2:$B1063,"&lt;&gt;"&amp;B1063)+SUM($Q$2:$Q1063)</f>
        <v>90.195000000000007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32"/>
        <v>1054</v>
      </c>
      <c r="P1064" s="7">
        <f ca="1">SUMIFS($N$2:$N1064,$B$2:$B1064,"&lt;&gt;"&amp;B1064)+SUM($Q$2:$Q1064)</f>
        <v>90.195000000000007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32"/>
        <v>1055</v>
      </c>
      <c r="P1065" s="7">
        <f ca="1">SUMIFS($N$2:$N1065,$B$2:$B1065,"&lt;&gt;"&amp;B1065)+SUM($Q$2:$Q1065)</f>
        <v>90.195000000000007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32"/>
        <v>1056</v>
      </c>
      <c r="P1066" s="7">
        <f ca="1">SUMIFS($N$2:$N1066,$B$2:$B1066,"&lt;&gt;"&amp;B1066)+SUM($Q$2:$Q1066)</f>
        <v>90.195000000000007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32"/>
        <v>1057</v>
      </c>
      <c r="P1067" s="7">
        <f ca="1">SUMIFS($N$2:$N1067,$B$2:$B1067,"&lt;&gt;"&amp;B1067)+SUM($Q$2:$Q1067)</f>
        <v>90.195000000000007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32"/>
        <v>1058</v>
      </c>
      <c r="P1068" s="7">
        <f ca="1">SUMIFS($N$2:$N1068,$B$2:$B1068,"&lt;&gt;"&amp;B1068)+SUM($Q$2:$Q1068)</f>
        <v>90.195000000000007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32"/>
        <v>1059</v>
      </c>
      <c r="P1069" s="7">
        <f ca="1">SUMIFS($N$2:$N1069,$B$2:$B1069,"&lt;&gt;"&amp;B1069)+SUM($Q$2:$Q1069)</f>
        <v>90.195000000000007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32"/>
        <v>1060</v>
      </c>
      <c r="P1070" s="7">
        <f ca="1">SUMIFS($N$2:$N1070,$B$2:$B1070,"&lt;&gt;"&amp;B1070)+SUM($Q$2:$Q1070)</f>
        <v>90.195000000000007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32"/>
        <v>1061</v>
      </c>
      <c r="P1071" s="7">
        <f ca="1">SUMIFS($N$2:$N1071,$B$2:$B1071,"&lt;&gt;"&amp;B1071)+SUM($Q$2:$Q1071)</f>
        <v>90.195000000000007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32"/>
        <v>1062</v>
      </c>
      <c r="P1072" s="7">
        <f ca="1">SUMIFS($N$2:$N1072,$B$2:$B1072,"&lt;&gt;"&amp;B1072)+SUM($Q$2:$Q1072)</f>
        <v>90.195000000000007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32"/>
        <v>1063</v>
      </c>
      <c r="P1073" s="7">
        <f ca="1">SUMIFS($N$2:$N1073,$B$2:$B1073,"&lt;&gt;"&amp;B1073)+SUM($Q$2:$Q1073)</f>
        <v>90.195000000000007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32"/>
        <v>1064</v>
      </c>
      <c r="P1074" s="7">
        <f ca="1">SUMIFS($N$2:$N1074,$B$2:$B1074,"&lt;&gt;"&amp;B1074)+SUM($Q$2:$Q1074)</f>
        <v>90.195000000000007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32"/>
        <v>1065</v>
      </c>
      <c r="P1075" s="7">
        <f ca="1">SUMIFS($N$2:$N1075,$B$2:$B1075,"&lt;&gt;"&amp;B1075)+SUM($Q$2:$Q1075)</f>
        <v>90.195000000000007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32"/>
        <v>1066</v>
      </c>
      <c r="P1076" s="7">
        <f ca="1">SUMIFS($N$2:$N1076,$B$2:$B1076,"&lt;&gt;"&amp;B1076)+SUM($Q$2:$Q1076)</f>
        <v>90.195000000000007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32"/>
        <v>1067</v>
      </c>
      <c r="P1077" s="7">
        <f ca="1">SUMIFS($N$2:$N1077,$B$2:$B1077,"&lt;&gt;"&amp;B1077)+SUM($Q$2:$Q1077)</f>
        <v>90.195000000000007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32"/>
        <v>1068</v>
      </c>
      <c r="P1078" s="7">
        <f ca="1">SUMIFS($N$2:$N1078,$B$2:$B1078,"&lt;&gt;"&amp;B1078)+SUM($Q$2:$Q1078)</f>
        <v>90.195000000000007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32"/>
        <v>1069</v>
      </c>
      <c r="P1079" s="7">
        <f ca="1">SUMIFS($N$2:$N1079,$B$2:$B1079,"&lt;&gt;"&amp;B1079)+SUM($Q$2:$Q1079)</f>
        <v>90.195000000000007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32"/>
        <v>1070</v>
      </c>
      <c r="P1080" s="7">
        <f ca="1">SUMIFS($N$2:$N1080,$B$2:$B1080,"&lt;&gt;"&amp;B1080)+SUM($Q$2:$Q1080)</f>
        <v>90.195000000000007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32"/>
        <v>1071</v>
      </c>
      <c r="P1081" s="7">
        <f ca="1">SUMIFS($N$2:$N1081,$B$2:$B1081,"&lt;&gt;"&amp;B1081)+SUM($Q$2:$Q1081)</f>
        <v>90.195000000000007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32"/>
        <v>1072</v>
      </c>
      <c r="P1082" s="7">
        <f ca="1">SUMIFS($N$2:$N1082,$B$2:$B1082,"&lt;&gt;"&amp;B1082)+SUM($Q$2:$Q1082)</f>
        <v>90.195000000000007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32"/>
        <v>1073</v>
      </c>
      <c r="P1083" s="7">
        <f ca="1">SUMIFS($N$2:$N1083,$B$2:$B1083,"&lt;&gt;"&amp;B1083)+SUM($Q$2:$Q1083)</f>
        <v>90.195000000000007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32"/>
        <v>1074</v>
      </c>
      <c r="P1084" s="7">
        <f ca="1">SUMIFS($N$2:$N1084,$B$2:$B1084,"&lt;&gt;"&amp;B1084)+SUM($Q$2:$Q1084)</f>
        <v>90.195000000000007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32"/>
        <v>1075</v>
      </c>
      <c r="P1085" s="7">
        <f ca="1">SUMIFS($N$2:$N1085,$B$2:$B1085,"&lt;&gt;"&amp;B1085)+SUM($Q$2:$Q1085)</f>
        <v>90.195000000000007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32"/>
        <v>1076</v>
      </c>
      <c r="P1086" s="7">
        <f ca="1">SUMIFS($N$2:$N1086,$B$2:$B1086,"&lt;&gt;"&amp;B1086)+SUM($Q$2:$Q1086)</f>
        <v>90.195000000000007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32"/>
        <v>1077</v>
      </c>
      <c r="P1087" s="7">
        <f ca="1">SUMIFS($N$2:$N1087,$B$2:$B1087,"&lt;&gt;"&amp;B1087)+SUM($Q$2:$Q1087)</f>
        <v>90.195000000000007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32"/>
        <v>1078</v>
      </c>
      <c r="P1088" s="7">
        <f ca="1">SUMIFS($N$2:$N1088,$B$2:$B1088,"&lt;&gt;"&amp;B1088)+SUM($Q$2:$Q1088)</f>
        <v>90.195000000000007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32"/>
        <v>1079</v>
      </c>
      <c r="P1089" s="7">
        <f ca="1">SUMIFS($N$2:$N1089,$B$2:$B1089,"&lt;&gt;"&amp;B1089)+SUM($Q$2:$Q1089)</f>
        <v>90.195000000000007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32"/>
        <v>1080</v>
      </c>
      <c r="P1090" s="7">
        <f ca="1">SUMIFS($N$2:$N1090,$B$2:$B1090,"&lt;&gt;"&amp;B1090)+SUM($Q$2:$Q1090)</f>
        <v>90.195000000000007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ref="A1091:A1154" si="33">IF(AND(B1091="", D1091&lt;&gt;""), A1090, A1090+1)</f>
        <v>1081</v>
      </c>
      <c r="P1091" s="7">
        <f ca="1">SUMIFS($N$2:$N1091,$B$2:$B1091,"&lt;&gt;"&amp;B1091)+SUM($Q$2:$Q1091)</f>
        <v>90.195000000000007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33"/>
        <v>1082</v>
      </c>
      <c r="P1092" s="7">
        <f ca="1">SUMIFS($N$2:$N1092,$B$2:$B1092,"&lt;&gt;"&amp;B1092)+SUM($Q$2:$Q1092)</f>
        <v>90.195000000000007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33"/>
        <v>1083</v>
      </c>
      <c r="P1093" s="7">
        <f ca="1">SUMIFS($N$2:$N1093,$B$2:$B1093,"&lt;&gt;"&amp;B1093)+SUM($Q$2:$Q1093)</f>
        <v>90.195000000000007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33"/>
        <v>1084</v>
      </c>
      <c r="P1094" s="7">
        <f ca="1">SUMIFS($N$2:$N1094,$B$2:$B1094,"&lt;&gt;"&amp;B1094)+SUM($Q$2:$Q1094)</f>
        <v>90.195000000000007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33"/>
        <v>1085</v>
      </c>
      <c r="P1095" s="7">
        <f ca="1">SUMIFS($N$2:$N1095,$B$2:$B1095,"&lt;&gt;"&amp;B1095)+SUM($Q$2:$Q1095)</f>
        <v>90.195000000000007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33"/>
        <v>1086</v>
      </c>
      <c r="P1096" s="7">
        <f ca="1">SUMIFS($N$2:$N1096,$B$2:$B1096,"&lt;&gt;"&amp;B1096)+SUM($Q$2:$Q1096)</f>
        <v>90.195000000000007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33"/>
        <v>1087</v>
      </c>
      <c r="P1097" s="7">
        <f ca="1">SUMIFS($N$2:$N1097,$B$2:$B1097,"&lt;&gt;"&amp;B1097)+SUM($Q$2:$Q1097)</f>
        <v>90.195000000000007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33"/>
        <v>1088</v>
      </c>
      <c r="P1098" s="7">
        <f ca="1">SUMIFS($N$2:$N1098,$B$2:$B1098,"&lt;&gt;"&amp;B1098)+SUM($Q$2:$Q1098)</f>
        <v>90.195000000000007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33"/>
        <v>1089</v>
      </c>
      <c r="P1099" s="7">
        <f ca="1">SUMIFS($N$2:$N1099,$B$2:$B1099,"&lt;&gt;"&amp;B1099)+SUM($Q$2:$Q1099)</f>
        <v>90.195000000000007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33"/>
        <v>1090</v>
      </c>
      <c r="P1100" s="7">
        <f ca="1">SUMIFS($N$2:$N1100,$B$2:$B1100,"&lt;&gt;"&amp;B1100)+SUM($Q$2:$Q1100)</f>
        <v>90.195000000000007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33"/>
        <v>1091</v>
      </c>
      <c r="P1101" s="7">
        <f ca="1">SUMIFS($N$2:$N1101,$B$2:$B1101,"&lt;&gt;"&amp;B1101)+SUM($Q$2:$Q1101)</f>
        <v>90.195000000000007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33"/>
        <v>1092</v>
      </c>
      <c r="P1102" s="7">
        <f ca="1">SUMIFS($N$2:$N1102,$B$2:$B1102,"&lt;&gt;"&amp;B1102)+SUM($Q$2:$Q1102)</f>
        <v>90.195000000000007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33"/>
        <v>1093</v>
      </c>
      <c r="P1103" s="7">
        <f ca="1">SUMIFS($N$2:$N1103,$B$2:$B1103,"&lt;&gt;"&amp;B1103)+SUM($Q$2:$Q1103)</f>
        <v>90.195000000000007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33"/>
        <v>1094</v>
      </c>
      <c r="P1104" s="7">
        <f ca="1">SUMIFS($N$2:$N1104,$B$2:$B1104,"&lt;&gt;"&amp;B1104)+SUM($Q$2:$Q1104)</f>
        <v>90.195000000000007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33"/>
        <v>1095</v>
      </c>
      <c r="P1105" s="7">
        <f ca="1">SUMIFS($N$2:$N1105,$B$2:$B1105,"&lt;&gt;"&amp;B1105)+SUM($Q$2:$Q1105)</f>
        <v>90.195000000000007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33"/>
        <v>1096</v>
      </c>
      <c r="P1106" s="7">
        <f ca="1">SUMIFS($N$2:$N1106,$B$2:$B1106,"&lt;&gt;"&amp;B1106)+SUM($Q$2:$Q1106)</f>
        <v>90.195000000000007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33"/>
        <v>1097</v>
      </c>
      <c r="P1107" s="7">
        <f ca="1">SUMIFS($N$2:$N1107,$B$2:$B1107,"&lt;&gt;"&amp;B1107)+SUM($Q$2:$Q1107)</f>
        <v>90.195000000000007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33"/>
        <v>1098</v>
      </c>
      <c r="P1108" s="7">
        <f ca="1">SUMIFS($N$2:$N1108,$B$2:$B1108,"&lt;&gt;"&amp;B1108)+SUM($Q$2:$Q1108)</f>
        <v>90.195000000000007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33"/>
        <v>1099</v>
      </c>
      <c r="P1109" s="7">
        <f ca="1">SUMIFS($N$2:$N1109,$B$2:$B1109,"&lt;&gt;"&amp;B1109)+SUM($Q$2:$Q1109)</f>
        <v>90.195000000000007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33"/>
        <v>1100</v>
      </c>
      <c r="P1110" s="7">
        <f ca="1">SUMIFS($N$2:$N1110,$B$2:$B1110,"&lt;&gt;"&amp;B1110)+SUM($Q$2:$Q1110)</f>
        <v>90.195000000000007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33"/>
        <v>1101</v>
      </c>
      <c r="P1111" s="7">
        <f ca="1">SUMIFS($N$2:$N1111,$B$2:$B1111,"&lt;&gt;"&amp;B1111)+SUM($Q$2:$Q1111)</f>
        <v>90.195000000000007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33"/>
        <v>1102</v>
      </c>
      <c r="P1112" s="7">
        <f ca="1">SUMIFS($N$2:$N1112,$B$2:$B1112,"&lt;&gt;"&amp;B1112)+SUM($Q$2:$Q1112)</f>
        <v>90.195000000000007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33"/>
        <v>1103</v>
      </c>
      <c r="P1113" s="7">
        <f ca="1">SUMIFS($N$2:$N1113,$B$2:$B1113,"&lt;&gt;"&amp;B1113)+SUM($Q$2:$Q1113)</f>
        <v>90.195000000000007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33"/>
        <v>1104</v>
      </c>
      <c r="P1114" s="7">
        <f ca="1">SUMIFS($N$2:$N1114,$B$2:$B1114,"&lt;&gt;"&amp;B1114)+SUM($Q$2:$Q1114)</f>
        <v>90.195000000000007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33"/>
        <v>1105</v>
      </c>
      <c r="P1115" s="7">
        <f ca="1">SUMIFS($N$2:$N1115,$B$2:$B1115,"&lt;&gt;"&amp;B1115)+SUM($Q$2:$Q1115)</f>
        <v>90.195000000000007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33"/>
        <v>1106</v>
      </c>
      <c r="P1116" s="7">
        <f ca="1">SUMIFS($N$2:$N1116,$B$2:$B1116,"&lt;&gt;"&amp;B1116)+SUM($Q$2:$Q1116)</f>
        <v>90.195000000000007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33"/>
        <v>1107</v>
      </c>
      <c r="P1117" s="7">
        <f ca="1">SUMIFS($N$2:$N1117,$B$2:$B1117,"&lt;&gt;"&amp;B1117)+SUM($Q$2:$Q1117)</f>
        <v>90.195000000000007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33"/>
        <v>1108</v>
      </c>
      <c r="P1118" s="7">
        <f ca="1">SUMIFS($N$2:$N1118,$B$2:$B1118,"&lt;&gt;"&amp;B1118)+SUM($Q$2:$Q1118)</f>
        <v>90.195000000000007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33"/>
        <v>1109</v>
      </c>
      <c r="P1119" s="7">
        <f ca="1">SUMIFS($N$2:$N1119,$B$2:$B1119,"&lt;&gt;"&amp;B1119)+SUM($Q$2:$Q1119)</f>
        <v>90.195000000000007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33"/>
        <v>1110</v>
      </c>
      <c r="P1120" s="7">
        <f ca="1">SUMIFS($N$2:$N1120,$B$2:$B1120,"&lt;&gt;"&amp;B1120)+SUM($Q$2:$Q1120)</f>
        <v>90.195000000000007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33"/>
        <v>1111</v>
      </c>
      <c r="P1121" s="7">
        <f ca="1">SUMIFS($N$2:$N1121,$B$2:$B1121,"&lt;&gt;"&amp;B1121)+SUM($Q$2:$Q1121)</f>
        <v>90.195000000000007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si="33"/>
        <v>1112</v>
      </c>
      <c r="P1122" s="7">
        <f ca="1">SUMIFS($N$2:$N1122,$B$2:$B1122,"&lt;&gt;"&amp;B1122)+SUM($Q$2:$Q1122)</f>
        <v>90.195000000000007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33"/>
        <v>1113</v>
      </c>
      <c r="P1123" s="7">
        <f ca="1">SUMIFS($N$2:$N1123,$B$2:$B1123,"&lt;&gt;"&amp;B1123)+SUM($Q$2:$Q1123)</f>
        <v>90.195000000000007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33"/>
        <v>1114</v>
      </c>
      <c r="P1124" s="7">
        <f ca="1">SUMIFS($N$2:$N1124,$B$2:$B1124,"&lt;&gt;"&amp;B1124)+SUM($Q$2:$Q1124)</f>
        <v>90.195000000000007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33"/>
        <v>1115</v>
      </c>
      <c r="P1125" s="7">
        <f ca="1">SUMIFS($N$2:$N1125,$B$2:$B1125,"&lt;&gt;"&amp;B1125)+SUM($Q$2:$Q1125)</f>
        <v>90.195000000000007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33"/>
        <v>1116</v>
      </c>
      <c r="P1126" s="7">
        <f ca="1">SUMIFS($N$2:$N1126,$B$2:$B1126,"&lt;&gt;"&amp;B1126)+SUM($Q$2:$Q1126)</f>
        <v>90.195000000000007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33"/>
        <v>1117</v>
      </c>
      <c r="P1127" s="7">
        <f ca="1">SUMIFS($N$2:$N1127,$B$2:$B1127,"&lt;&gt;"&amp;B1127)+SUM($Q$2:$Q1127)</f>
        <v>90.195000000000007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33"/>
        <v>1118</v>
      </c>
      <c r="P1128" s="7">
        <f ca="1">SUMIFS($N$2:$N1128,$B$2:$B1128,"&lt;&gt;"&amp;B1128)+SUM($Q$2:$Q1128)</f>
        <v>90.195000000000007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33"/>
        <v>1119</v>
      </c>
      <c r="P1129" s="7">
        <f ca="1">SUMIFS($N$2:$N1129,$B$2:$B1129,"&lt;&gt;"&amp;B1129)+SUM($Q$2:$Q1129)</f>
        <v>90.195000000000007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33"/>
        <v>1120</v>
      </c>
      <c r="P1130" s="7">
        <f ca="1">SUMIFS($N$2:$N1130,$B$2:$B1130,"&lt;&gt;"&amp;B1130)+SUM($Q$2:$Q1130)</f>
        <v>90.195000000000007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33"/>
        <v>1121</v>
      </c>
      <c r="P1131" s="7">
        <f ca="1">SUMIFS($N$2:$N1131,$B$2:$B1131,"&lt;&gt;"&amp;B1131)+SUM($Q$2:$Q1131)</f>
        <v>90.195000000000007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33"/>
        <v>1122</v>
      </c>
      <c r="P1132" s="7">
        <f ca="1">SUMIFS($N$2:$N1132,$B$2:$B1132,"&lt;&gt;"&amp;B1132)+SUM($Q$2:$Q1132)</f>
        <v>90.195000000000007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33"/>
        <v>1123</v>
      </c>
      <c r="P1133" s="7">
        <f ca="1">SUMIFS($N$2:$N1133,$B$2:$B1133,"&lt;&gt;"&amp;B1133)+SUM($Q$2:$Q1133)</f>
        <v>90.195000000000007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33"/>
        <v>1124</v>
      </c>
      <c r="P1134" s="7">
        <f ca="1">SUMIFS($N$2:$N1134,$B$2:$B1134,"&lt;&gt;"&amp;B1134)+SUM($Q$2:$Q1134)</f>
        <v>90.195000000000007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33"/>
        <v>1125</v>
      </c>
      <c r="P1135" s="7">
        <f ca="1">SUMIFS($N$2:$N1135,$B$2:$B1135,"&lt;&gt;"&amp;B1135)+SUM($Q$2:$Q1135)</f>
        <v>90.195000000000007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33"/>
        <v>1126</v>
      </c>
      <c r="P1136" s="7">
        <f ca="1">SUMIFS($N$2:$N1136,$B$2:$B1136,"&lt;&gt;"&amp;B1136)+SUM($Q$2:$Q1136)</f>
        <v>90.195000000000007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33"/>
        <v>1127</v>
      </c>
      <c r="P1137" s="7">
        <f ca="1">SUMIFS($N$2:$N1137,$B$2:$B1137,"&lt;&gt;"&amp;B1137)+SUM($Q$2:$Q1137)</f>
        <v>90.195000000000007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33"/>
        <v>1128</v>
      </c>
      <c r="P1138" s="7">
        <f ca="1">SUMIFS($N$2:$N1138,$B$2:$B1138,"&lt;&gt;"&amp;B1138)+SUM($Q$2:$Q1138)</f>
        <v>90.195000000000007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33"/>
        <v>1129</v>
      </c>
      <c r="P1139" s="7">
        <f ca="1">SUMIFS($N$2:$N1139,$B$2:$B1139,"&lt;&gt;"&amp;B1139)+SUM($Q$2:$Q1139)</f>
        <v>90.195000000000007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33"/>
        <v>1130</v>
      </c>
      <c r="P1140" s="7">
        <f ca="1">SUMIFS($N$2:$N1140,$B$2:$B1140,"&lt;&gt;"&amp;B1140)+SUM($Q$2:$Q1140)</f>
        <v>90.195000000000007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33"/>
        <v>1131</v>
      </c>
      <c r="P1141" s="7">
        <f ca="1">SUMIFS($N$2:$N1141,$B$2:$B1141,"&lt;&gt;"&amp;B1141)+SUM($Q$2:$Q1141)</f>
        <v>90.195000000000007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33"/>
        <v>1132</v>
      </c>
      <c r="P1142" s="7">
        <f ca="1">SUMIFS($N$2:$N1142,$B$2:$B1142,"&lt;&gt;"&amp;B1142)+SUM($Q$2:$Q1142)</f>
        <v>90.195000000000007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33"/>
        <v>1133</v>
      </c>
      <c r="P1143" s="7">
        <f ca="1">SUMIFS($N$2:$N1143,$B$2:$B1143,"&lt;&gt;"&amp;B1143)+SUM($Q$2:$Q1143)</f>
        <v>90.195000000000007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33"/>
        <v>1134</v>
      </c>
      <c r="P1144" s="7">
        <f ca="1">SUMIFS($N$2:$N1144,$B$2:$B1144,"&lt;&gt;"&amp;B1144)+SUM($Q$2:$Q1144)</f>
        <v>90.195000000000007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33"/>
        <v>1135</v>
      </c>
      <c r="P1145" s="7">
        <f ca="1">SUMIFS($N$2:$N1145,$B$2:$B1145,"&lt;&gt;"&amp;B1145)+SUM($Q$2:$Q1145)</f>
        <v>90.195000000000007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33"/>
        <v>1136</v>
      </c>
      <c r="P1146" s="7">
        <f ca="1">SUMIFS($N$2:$N1146,$B$2:$B1146,"&lt;&gt;"&amp;B1146)+SUM($Q$2:$Q1146)</f>
        <v>90.195000000000007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33"/>
        <v>1137</v>
      </c>
      <c r="P1147" s="7">
        <f ca="1">SUMIFS($N$2:$N1147,$B$2:$B1147,"&lt;&gt;"&amp;B1147)+SUM($Q$2:$Q1147)</f>
        <v>90.195000000000007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33"/>
        <v>1138</v>
      </c>
      <c r="P1148" s="7">
        <f ca="1">SUMIFS($N$2:$N1148,$B$2:$B1148,"&lt;&gt;"&amp;B1148)+SUM($Q$2:$Q1148)</f>
        <v>90.195000000000007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33"/>
        <v>1139</v>
      </c>
      <c r="P1149" s="7">
        <f ca="1">SUMIFS($N$2:$N1149,$B$2:$B1149,"&lt;&gt;"&amp;B1149)+SUM($Q$2:$Q1149)</f>
        <v>90.195000000000007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33"/>
        <v>1140</v>
      </c>
      <c r="P1150" s="7">
        <f ca="1">SUMIFS($N$2:$N1150,$B$2:$B1150,"&lt;&gt;"&amp;B1150)+SUM($Q$2:$Q1150)</f>
        <v>90.195000000000007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33"/>
        <v>1141</v>
      </c>
      <c r="P1151" s="7">
        <f ca="1">SUMIFS($N$2:$N1151,$B$2:$B1151,"&lt;&gt;"&amp;B1151)+SUM($Q$2:$Q1151)</f>
        <v>90.195000000000007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33"/>
        <v>1142</v>
      </c>
      <c r="P1152" s="7">
        <f ca="1">SUMIFS($N$2:$N1152,$B$2:$B1152,"&lt;&gt;"&amp;B1152)+SUM($Q$2:$Q1152)</f>
        <v>90.195000000000007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33"/>
        <v>1143</v>
      </c>
      <c r="P1153" s="7">
        <f ca="1">SUMIFS($N$2:$N1153,$B$2:$B1153,"&lt;&gt;"&amp;B1153)+SUM($Q$2:$Q1153)</f>
        <v>90.195000000000007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33"/>
        <v>1144</v>
      </c>
      <c r="P1154" s="7">
        <f ca="1">SUMIFS($N$2:$N1154,$B$2:$B1154,"&lt;&gt;"&amp;B1154)+SUM($Q$2:$Q1154)</f>
        <v>90.195000000000007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ref="A1155:A1218" si="34">IF(AND(B1155="", D1155&lt;&gt;""), A1154, A1154+1)</f>
        <v>1145</v>
      </c>
      <c r="P1155" s="7">
        <f ca="1">SUMIFS($N$2:$N1155,$B$2:$B1155,"&lt;&gt;"&amp;B1155)+SUM($Q$2:$Q1155)</f>
        <v>90.195000000000007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34"/>
        <v>1146</v>
      </c>
      <c r="P1156" s="7">
        <f ca="1">SUMIFS($N$2:$N1156,$B$2:$B1156,"&lt;&gt;"&amp;B1156)+SUM($Q$2:$Q1156)</f>
        <v>90.195000000000007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34"/>
        <v>1147</v>
      </c>
      <c r="P1157" s="7">
        <f ca="1">SUMIFS($N$2:$N1157,$B$2:$B1157,"&lt;&gt;"&amp;B1157)+SUM($Q$2:$Q1157)</f>
        <v>90.195000000000007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34"/>
        <v>1148</v>
      </c>
      <c r="P1158" s="7">
        <f ca="1">SUMIFS($N$2:$N1158,$B$2:$B1158,"&lt;&gt;"&amp;B1158)+SUM($Q$2:$Q1158)</f>
        <v>90.195000000000007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34"/>
        <v>1149</v>
      </c>
      <c r="P1159" s="7">
        <f ca="1">SUMIFS($N$2:$N1159,$B$2:$B1159,"&lt;&gt;"&amp;B1159)+SUM($Q$2:$Q1159)</f>
        <v>90.195000000000007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34"/>
        <v>1150</v>
      </c>
      <c r="P1160" s="7">
        <f ca="1">SUMIFS($N$2:$N1160,$B$2:$B1160,"&lt;&gt;"&amp;B1160)+SUM($Q$2:$Q1160)</f>
        <v>90.195000000000007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34"/>
        <v>1151</v>
      </c>
      <c r="P1161" s="7">
        <f ca="1">SUMIFS($N$2:$N1161,$B$2:$B1161,"&lt;&gt;"&amp;B1161)+SUM($Q$2:$Q1161)</f>
        <v>90.195000000000007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34"/>
        <v>1152</v>
      </c>
      <c r="P1162" s="7">
        <f ca="1">SUMIFS($N$2:$N1162,$B$2:$B1162,"&lt;&gt;"&amp;B1162)+SUM($Q$2:$Q1162)</f>
        <v>90.195000000000007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34"/>
        <v>1153</v>
      </c>
      <c r="P1163" s="7">
        <f ca="1">SUMIFS($N$2:$N1163,$B$2:$B1163,"&lt;&gt;"&amp;B1163)+SUM($Q$2:$Q1163)</f>
        <v>90.195000000000007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34"/>
        <v>1154</v>
      </c>
      <c r="P1164" s="7">
        <f ca="1">SUMIFS($N$2:$N1164,$B$2:$B1164,"&lt;&gt;"&amp;B1164)+SUM($Q$2:$Q1164)</f>
        <v>90.195000000000007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34"/>
        <v>1155</v>
      </c>
      <c r="P1165" s="7">
        <f ca="1">SUMIFS($N$2:$N1165,$B$2:$B1165,"&lt;&gt;"&amp;B1165)+SUM($Q$2:$Q1165)</f>
        <v>90.195000000000007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34"/>
        <v>1156</v>
      </c>
      <c r="P1166" s="7">
        <f ca="1">SUMIFS($N$2:$N1166,$B$2:$B1166,"&lt;&gt;"&amp;B1166)+SUM($Q$2:$Q1166)</f>
        <v>90.195000000000007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34"/>
        <v>1157</v>
      </c>
      <c r="P1167" s="7">
        <f ca="1">SUMIFS($N$2:$N1167,$B$2:$B1167,"&lt;&gt;"&amp;B1167)+SUM($Q$2:$Q1167)</f>
        <v>90.195000000000007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34"/>
        <v>1158</v>
      </c>
      <c r="P1168" s="7">
        <f ca="1">SUMIFS($N$2:$N1168,$B$2:$B1168,"&lt;&gt;"&amp;B1168)+SUM($Q$2:$Q1168)</f>
        <v>90.195000000000007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34"/>
        <v>1159</v>
      </c>
      <c r="P1169" s="7">
        <f ca="1">SUMIFS($N$2:$N1169,$B$2:$B1169,"&lt;&gt;"&amp;B1169)+SUM($Q$2:$Q1169)</f>
        <v>90.195000000000007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34"/>
        <v>1160</v>
      </c>
      <c r="P1170" s="7">
        <f ca="1">SUMIFS($N$2:$N1170,$B$2:$B1170,"&lt;&gt;"&amp;B1170)+SUM($Q$2:$Q1170)</f>
        <v>90.195000000000007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34"/>
        <v>1161</v>
      </c>
      <c r="P1171" s="7">
        <f ca="1">SUMIFS($N$2:$N1171,$B$2:$B1171,"&lt;&gt;"&amp;B1171)+SUM($Q$2:$Q1171)</f>
        <v>90.195000000000007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34"/>
        <v>1162</v>
      </c>
      <c r="P1172" s="7">
        <f ca="1">SUMIFS($N$2:$N1172,$B$2:$B1172,"&lt;&gt;"&amp;B1172)+SUM($Q$2:$Q1172)</f>
        <v>90.195000000000007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34"/>
        <v>1163</v>
      </c>
      <c r="P1173" s="7">
        <f ca="1">SUMIFS($N$2:$N1173,$B$2:$B1173,"&lt;&gt;"&amp;B1173)+SUM($Q$2:$Q1173)</f>
        <v>90.195000000000007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34"/>
        <v>1164</v>
      </c>
      <c r="P1174" s="7">
        <f ca="1">SUMIFS($N$2:$N1174,$B$2:$B1174,"&lt;&gt;"&amp;B1174)+SUM($Q$2:$Q1174)</f>
        <v>90.195000000000007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34"/>
        <v>1165</v>
      </c>
      <c r="P1175" s="7">
        <f ca="1">SUMIFS($N$2:$N1175,$B$2:$B1175,"&lt;&gt;"&amp;B1175)+SUM($Q$2:$Q1175)</f>
        <v>90.195000000000007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34"/>
        <v>1166</v>
      </c>
      <c r="P1176" s="7">
        <f ca="1">SUMIFS($N$2:$N1176,$B$2:$B1176,"&lt;&gt;"&amp;B1176)+SUM($Q$2:$Q1176)</f>
        <v>90.195000000000007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34"/>
        <v>1167</v>
      </c>
      <c r="P1177" s="7">
        <f ca="1">SUMIFS($N$2:$N1177,$B$2:$B1177,"&lt;&gt;"&amp;B1177)+SUM($Q$2:$Q1177)</f>
        <v>90.195000000000007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34"/>
        <v>1168</v>
      </c>
      <c r="P1178" s="7">
        <f ca="1">SUMIFS($N$2:$N1178,$B$2:$B1178,"&lt;&gt;"&amp;B1178)+SUM($Q$2:$Q1178)</f>
        <v>90.195000000000007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34"/>
        <v>1169</v>
      </c>
      <c r="P1179" s="7">
        <f ca="1">SUMIFS($N$2:$N1179,$B$2:$B1179,"&lt;&gt;"&amp;B1179)+SUM($Q$2:$Q1179)</f>
        <v>90.195000000000007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34"/>
        <v>1170</v>
      </c>
      <c r="P1180" s="7">
        <f ca="1">SUMIFS($N$2:$N1180,$B$2:$B1180,"&lt;&gt;"&amp;B1180)+SUM($Q$2:$Q1180)</f>
        <v>90.195000000000007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34"/>
        <v>1171</v>
      </c>
      <c r="P1181" s="7">
        <f ca="1">SUMIFS($N$2:$N1181,$B$2:$B1181,"&lt;&gt;"&amp;B1181)+SUM($Q$2:$Q1181)</f>
        <v>90.195000000000007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34"/>
        <v>1172</v>
      </c>
      <c r="P1182" s="7">
        <f ca="1">SUMIFS($N$2:$N1182,$B$2:$B1182,"&lt;&gt;"&amp;B1182)+SUM($Q$2:$Q1182)</f>
        <v>90.195000000000007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34"/>
        <v>1173</v>
      </c>
      <c r="P1183" s="7">
        <f ca="1">SUMIFS($N$2:$N1183,$B$2:$B1183,"&lt;&gt;"&amp;B1183)+SUM($Q$2:$Q1183)</f>
        <v>90.195000000000007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34"/>
        <v>1174</v>
      </c>
      <c r="P1184" s="7">
        <f ca="1">SUMIFS($N$2:$N1184,$B$2:$B1184,"&lt;&gt;"&amp;B1184)+SUM($Q$2:$Q1184)</f>
        <v>90.195000000000007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34"/>
        <v>1175</v>
      </c>
      <c r="P1185" s="7">
        <f ca="1">SUMIFS($N$2:$N1185,$B$2:$B1185,"&lt;&gt;"&amp;B1185)+SUM($Q$2:$Q1185)</f>
        <v>90.195000000000007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si="34"/>
        <v>1176</v>
      </c>
      <c r="P1186" s="7">
        <f ca="1">SUMIFS($N$2:$N1186,$B$2:$B1186,"&lt;&gt;"&amp;B1186)+SUM($Q$2:$Q1186)</f>
        <v>90.195000000000007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34"/>
        <v>1177</v>
      </c>
      <c r="P1187" s="7">
        <f ca="1">SUMIFS($N$2:$N1187,$B$2:$B1187,"&lt;&gt;"&amp;B1187)+SUM($Q$2:$Q1187)</f>
        <v>90.195000000000007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34"/>
        <v>1178</v>
      </c>
      <c r="P1188" s="7">
        <f ca="1">SUMIFS($N$2:$N1188,$B$2:$B1188,"&lt;&gt;"&amp;B1188)+SUM($Q$2:$Q1188)</f>
        <v>90.195000000000007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34"/>
        <v>1179</v>
      </c>
      <c r="P1189" s="7">
        <f ca="1">SUMIFS($N$2:$N1189,$B$2:$B1189,"&lt;&gt;"&amp;B1189)+SUM($Q$2:$Q1189)</f>
        <v>90.195000000000007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34"/>
        <v>1180</v>
      </c>
      <c r="P1190" s="7">
        <f ca="1">SUMIFS($N$2:$N1190,$B$2:$B1190,"&lt;&gt;"&amp;B1190)+SUM($Q$2:$Q1190)</f>
        <v>90.195000000000007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34"/>
        <v>1181</v>
      </c>
      <c r="P1191" s="7">
        <f ca="1">SUMIFS($N$2:$N1191,$B$2:$B1191,"&lt;&gt;"&amp;B1191)+SUM($Q$2:$Q1191)</f>
        <v>90.195000000000007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34"/>
        <v>1182</v>
      </c>
      <c r="P1192" s="7">
        <f ca="1">SUMIFS($N$2:$N1192,$B$2:$B1192,"&lt;&gt;"&amp;B1192)+SUM($Q$2:$Q1192)</f>
        <v>90.195000000000007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34"/>
        <v>1183</v>
      </c>
      <c r="P1193" s="7">
        <f ca="1">SUMIFS($N$2:$N1193,$B$2:$B1193,"&lt;&gt;"&amp;B1193)+SUM($Q$2:$Q1193)</f>
        <v>90.195000000000007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34"/>
        <v>1184</v>
      </c>
      <c r="P1194" s="7">
        <f ca="1">SUMIFS($N$2:$N1194,$B$2:$B1194,"&lt;&gt;"&amp;B1194)+SUM($Q$2:$Q1194)</f>
        <v>90.195000000000007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34"/>
        <v>1185</v>
      </c>
      <c r="P1195" s="7">
        <f ca="1">SUMIFS($N$2:$N1195,$B$2:$B1195,"&lt;&gt;"&amp;B1195)+SUM($Q$2:$Q1195)</f>
        <v>90.195000000000007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34"/>
        <v>1186</v>
      </c>
      <c r="P1196" s="7">
        <f ca="1">SUMIFS($N$2:$N1196,$B$2:$B1196,"&lt;&gt;"&amp;B1196)+SUM($Q$2:$Q1196)</f>
        <v>90.195000000000007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34"/>
        <v>1187</v>
      </c>
      <c r="P1197" s="7">
        <f ca="1">SUMIFS($N$2:$N1197,$B$2:$B1197,"&lt;&gt;"&amp;B1197)+SUM($Q$2:$Q1197)</f>
        <v>90.195000000000007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34"/>
        <v>1188</v>
      </c>
      <c r="P1198" s="7">
        <f ca="1">SUMIFS($N$2:$N1198,$B$2:$B1198,"&lt;&gt;"&amp;B1198)+SUM($Q$2:$Q1198)</f>
        <v>90.195000000000007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34"/>
        <v>1189</v>
      </c>
      <c r="P1199" s="7">
        <f ca="1">SUMIFS($N$2:$N1199,$B$2:$B1199,"&lt;&gt;"&amp;B1199)+SUM($Q$2:$Q1199)</f>
        <v>90.195000000000007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34"/>
        <v>1190</v>
      </c>
      <c r="P1200" s="7">
        <f ca="1">SUMIFS($N$2:$N1200,$B$2:$B1200,"&lt;&gt;"&amp;B1200)+SUM($Q$2:$Q1200)</f>
        <v>90.195000000000007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34"/>
        <v>1191</v>
      </c>
      <c r="P1201" s="7">
        <f ca="1">SUMIFS($N$2:$N1201,$B$2:$B1201,"&lt;&gt;"&amp;B1201)+SUM($Q$2:$Q1201)</f>
        <v>90.195000000000007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34"/>
        <v>1192</v>
      </c>
      <c r="P1202" s="7">
        <f ca="1">SUMIFS($N$2:$N1202,$B$2:$B1202,"&lt;&gt;"&amp;B1202)+SUM($Q$2:$Q1202)</f>
        <v>90.195000000000007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34"/>
        <v>1193</v>
      </c>
      <c r="P1203" s="7">
        <f ca="1">SUMIFS($N$2:$N1203,$B$2:$B1203,"&lt;&gt;"&amp;B1203)+SUM($Q$2:$Q1203)</f>
        <v>90.195000000000007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34"/>
        <v>1194</v>
      </c>
      <c r="P1204" s="7">
        <f ca="1">SUMIFS($N$2:$N1204,$B$2:$B1204,"&lt;&gt;"&amp;B1204)+SUM($Q$2:$Q1204)</f>
        <v>90.195000000000007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34"/>
        <v>1195</v>
      </c>
      <c r="P1205" s="7">
        <f ca="1">SUMIFS($N$2:$N1205,$B$2:$B1205,"&lt;&gt;"&amp;B1205)+SUM($Q$2:$Q1205)</f>
        <v>90.195000000000007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34"/>
        <v>1196</v>
      </c>
      <c r="P1206" s="7">
        <f ca="1">SUMIFS($N$2:$N1206,$B$2:$B1206,"&lt;&gt;"&amp;B1206)+SUM($Q$2:$Q1206)</f>
        <v>90.195000000000007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34"/>
        <v>1197</v>
      </c>
      <c r="P1207" s="7">
        <f ca="1">SUMIFS($N$2:$N1207,$B$2:$B1207,"&lt;&gt;"&amp;B1207)+SUM($Q$2:$Q1207)</f>
        <v>90.195000000000007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34"/>
        <v>1198</v>
      </c>
      <c r="P1208" s="7">
        <f ca="1">SUMIFS($N$2:$N1208,$B$2:$B1208,"&lt;&gt;"&amp;B1208)+SUM($Q$2:$Q1208)</f>
        <v>90.195000000000007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34"/>
        <v>1199</v>
      </c>
      <c r="P1209" s="7">
        <f ca="1">SUMIFS($N$2:$N1209,$B$2:$B1209,"&lt;&gt;"&amp;B1209)+SUM($Q$2:$Q1209)</f>
        <v>90.195000000000007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34"/>
        <v>1200</v>
      </c>
      <c r="P1210" s="7">
        <f ca="1">SUMIFS($N$2:$N1210,$B$2:$B1210,"&lt;&gt;"&amp;B1210)+SUM($Q$2:$Q1210)</f>
        <v>90.195000000000007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34"/>
        <v>1201</v>
      </c>
      <c r="P1211" s="7">
        <f ca="1">SUMIFS($N$2:$N1211,$B$2:$B1211,"&lt;&gt;"&amp;B1211)+SUM($Q$2:$Q1211)</f>
        <v>90.195000000000007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34"/>
        <v>1202</v>
      </c>
      <c r="P1212" s="7">
        <f ca="1">SUMIFS($N$2:$N1212,$B$2:$B1212,"&lt;&gt;"&amp;B1212)+SUM($Q$2:$Q1212)</f>
        <v>90.195000000000007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34"/>
        <v>1203</v>
      </c>
      <c r="P1213" s="7">
        <f ca="1">SUMIFS($N$2:$N1213,$B$2:$B1213,"&lt;&gt;"&amp;B1213)+SUM($Q$2:$Q1213)</f>
        <v>90.195000000000007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34"/>
        <v>1204</v>
      </c>
      <c r="P1214" s="7">
        <f ca="1">SUMIFS($N$2:$N1214,$B$2:$B1214,"&lt;&gt;"&amp;B1214)+SUM($Q$2:$Q1214)</f>
        <v>90.195000000000007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34"/>
        <v>1205</v>
      </c>
      <c r="P1215" s="7">
        <f ca="1">SUMIFS($N$2:$N1215,$B$2:$B1215,"&lt;&gt;"&amp;B1215)+SUM($Q$2:$Q1215)</f>
        <v>90.195000000000007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34"/>
        <v>1206</v>
      </c>
      <c r="P1216" s="7">
        <f ca="1">SUMIFS($N$2:$N1216,$B$2:$B1216,"&lt;&gt;"&amp;B1216)+SUM($Q$2:$Q1216)</f>
        <v>90.195000000000007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34"/>
        <v>1207</v>
      </c>
      <c r="P1217" s="7">
        <f ca="1">SUMIFS($N$2:$N1217,$B$2:$B1217,"&lt;&gt;"&amp;B1217)+SUM($Q$2:$Q1217)</f>
        <v>90.195000000000007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34"/>
        <v>1208</v>
      </c>
      <c r="P1218" s="7">
        <f ca="1">SUMIFS($N$2:$N1218,$B$2:$B1218,"&lt;&gt;"&amp;B1218)+SUM($Q$2:$Q1218)</f>
        <v>90.195000000000007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ref="A1219:A1282" si="35">IF(AND(B1219="", D1219&lt;&gt;""), A1218, A1218+1)</f>
        <v>1209</v>
      </c>
      <c r="P1219" s="7">
        <f ca="1">SUMIFS($N$2:$N1219,$B$2:$B1219,"&lt;&gt;"&amp;B1219)+SUM($Q$2:$Q1219)</f>
        <v>90.195000000000007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35"/>
        <v>1210</v>
      </c>
      <c r="P1220" s="7">
        <f ca="1">SUMIFS($N$2:$N1220,$B$2:$B1220,"&lt;&gt;"&amp;B1220)+SUM($Q$2:$Q1220)</f>
        <v>90.195000000000007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35"/>
        <v>1211</v>
      </c>
      <c r="P1221" s="7">
        <f ca="1">SUMIFS($N$2:$N1221,$B$2:$B1221,"&lt;&gt;"&amp;B1221)+SUM($Q$2:$Q1221)</f>
        <v>90.195000000000007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35"/>
        <v>1212</v>
      </c>
      <c r="P1222" s="7">
        <f ca="1">SUMIFS($N$2:$N1222,$B$2:$B1222,"&lt;&gt;"&amp;B1222)+SUM($Q$2:$Q1222)</f>
        <v>90.195000000000007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35"/>
        <v>1213</v>
      </c>
      <c r="P1223" s="7">
        <f ca="1">SUMIFS($N$2:$N1223,$B$2:$B1223,"&lt;&gt;"&amp;B1223)+SUM($Q$2:$Q1223)</f>
        <v>90.195000000000007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35"/>
        <v>1214</v>
      </c>
      <c r="P1224" s="7">
        <f ca="1">SUMIFS($N$2:$N1224,$B$2:$B1224,"&lt;&gt;"&amp;B1224)+SUM($Q$2:$Q1224)</f>
        <v>90.195000000000007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35"/>
        <v>1215</v>
      </c>
      <c r="P1225" s="7">
        <f ca="1">SUMIFS($N$2:$N1225,$B$2:$B1225,"&lt;&gt;"&amp;B1225)+SUM($Q$2:$Q1225)</f>
        <v>90.195000000000007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35"/>
        <v>1216</v>
      </c>
      <c r="P1226" s="7">
        <f ca="1">SUMIFS($N$2:$N1226,$B$2:$B1226,"&lt;&gt;"&amp;B1226)+SUM($Q$2:$Q1226)</f>
        <v>90.195000000000007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35"/>
        <v>1217</v>
      </c>
      <c r="P1227" s="7">
        <f ca="1">SUMIFS($N$2:$N1227,$B$2:$B1227,"&lt;&gt;"&amp;B1227)+SUM($Q$2:$Q1227)</f>
        <v>90.195000000000007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35"/>
        <v>1218</v>
      </c>
      <c r="P1228" s="7">
        <f ca="1">SUMIFS($N$2:$N1228,$B$2:$B1228,"&lt;&gt;"&amp;B1228)+SUM($Q$2:$Q1228)</f>
        <v>90.195000000000007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35"/>
        <v>1219</v>
      </c>
      <c r="P1229" s="7">
        <f ca="1">SUMIFS($N$2:$N1229,$B$2:$B1229,"&lt;&gt;"&amp;B1229)+SUM($Q$2:$Q1229)</f>
        <v>90.195000000000007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35"/>
        <v>1220</v>
      </c>
      <c r="P1230" s="7">
        <f ca="1">SUMIFS($N$2:$N1230,$B$2:$B1230,"&lt;&gt;"&amp;B1230)+SUM($Q$2:$Q1230)</f>
        <v>90.195000000000007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35"/>
        <v>1221</v>
      </c>
      <c r="P1231" s="7">
        <f ca="1">SUMIFS($N$2:$N1231,$B$2:$B1231,"&lt;&gt;"&amp;B1231)+SUM($Q$2:$Q1231)</f>
        <v>90.195000000000007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35"/>
        <v>1222</v>
      </c>
      <c r="P1232" s="7">
        <f ca="1">SUMIFS($N$2:$N1232,$B$2:$B1232,"&lt;&gt;"&amp;B1232)+SUM($Q$2:$Q1232)</f>
        <v>90.195000000000007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35"/>
        <v>1223</v>
      </c>
      <c r="P1233" s="7">
        <f ca="1">SUMIFS($N$2:$N1233,$B$2:$B1233,"&lt;&gt;"&amp;B1233)+SUM($Q$2:$Q1233)</f>
        <v>90.195000000000007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35"/>
        <v>1224</v>
      </c>
      <c r="P1234" s="7">
        <f ca="1">SUMIFS($N$2:$N1234,$B$2:$B1234,"&lt;&gt;"&amp;B1234)+SUM($Q$2:$Q1234)</f>
        <v>90.195000000000007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35"/>
        <v>1225</v>
      </c>
      <c r="P1235" s="7">
        <f ca="1">SUMIFS($N$2:$N1235,$B$2:$B1235,"&lt;&gt;"&amp;B1235)+SUM($Q$2:$Q1235)</f>
        <v>90.195000000000007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35"/>
        <v>1226</v>
      </c>
      <c r="P1236" s="7">
        <f ca="1">SUMIFS($N$2:$N1236,$B$2:$B1236,"&lt;&gt;"&amp;B1236)+SUM($Q$2:$Q1236)</f>
        <v>90.195000000000007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35"/>
        <v>1227</v>
      </c>
      <c r="P1237" s="7">
        <f ca="1">SUMIFS($N$2:$N1237,$B$2:$B1237,"&lt;&gt;"&amp;B1237)+SUM($Q$2:$Q1237)</f>
        <v>90.195000000000007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35"/>
        <v>1228</v>
      </c>
      <c r="P1238" s="7">
        <f ca="1">SUMIFS($N$2:$N1238,$B$2:$B1238,"&lt;&gt;"&amp;B1238)+SUM($Q$2:$Q1238)</f>
        <v>90.195000000000007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35"/>
        <v>1229</v>
      </c>
      <c r="P1239" s="7">
        <f ca="1">SUMIFS($N$2:$N1239,$B$2:$B1239,"&lt;&gt;"&amp;B1239)+SUM($Q$2:$Q1239)</f>
        <v>90.195000000000007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35"/>
        <v>1230</v>
      </c>
      <c r="P1240" s="7">
        <f ca="1">SUMIFS($N$2:$N1240,$B$2:$B1240,"&lt;&gt;"&amp;B1240)+SUM($Q$2:$Q1240)</f>
        <v>90.195000000000007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35"/>
        <v>1231</v>
      </c>
      <c r="P1241" s="7">
        <f ca="1">SUMIFS($N$2:$N1241,$B$2:$B1241,"&lt;&gt;"&amp;B1241)+SUM($Q$2:$Q1241)</f>
        <v>90.195000000000007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35"/>
        <v>1232</v>
      </c>
      <c r="P1242" s="7">
        <f ca="1">SUMIFS($N$2:$N1242,$B$2:$B1242,"&lt;&gt;"&amp;B1242)+SUM($Q$2:$Q1242)</f>
        <v>90.195000000000007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35"/>
        <v>1233</v>
      </c>
      <c r="P1243" s="7">
        <f ca="1">SUMIFS($N$2:$N1243,$B$2:$B1243,"&lt;&gt;"&amp;B1243)+SUM($Q$2:$Q1243)</f>
        <v>90.195000000000007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35"/>
        <v>1234</v>
      </c>
      <c r="P1244" s="7">
        <f ca="1">SUMIFS($N$2:$N1244,$B$2:$B1244,"&lt;&gt;"&amp;B1244)+SUM($Q$2:$Q1244)</f>
        <v>90.195000000000007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35"/>
        <v>1235</v>
      </c>
      <c r="P1245" s="7">
        <f ca="1">SUMIFS($N$2:$N1245,$B$2:$B1245,"&lt;&gt;"&amp;B1245)+SUM($Q$2:$Q1245)</f>
        <v>90.195000000000007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35"/>
        <v>1236</v>
      </c>
      <c r="P1246" s="7">
        <f ca="1">SUMIFS($N$2:$N1246,$B$2:$B1246,"&lt;&gt;"&amp;B1246)+SUM($Q$2:$Q1246)</f>
        <v>90.195000000000007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35"/>
        <v>1237</v>
      </c>
      <c r="P1247" s="7">
        <f ca="1">SUMIFS($N$2:$N1247,$B$2:$B1247,"&lt;&gt;"&amp;B1247)+SUM($Q$2:$Q1247)</f>
        <v>90.195000000000007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35"/>
        <v>1238</v>
      </c>
      <c r="P1248" s="7">
        <f ca="1">SUMIFS($N$2:$N1248,$B$2:$B1248,"&lt;&gt;"&amp;B1248)+SUM($Q$2:$Q1248)</f>
        <v>90.195000000000007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35"/>
        <v>1239</v>
      </c>
      <c r="P1249" s="7">
        <f ca="1">SUMIFS($N$2:$N1249,$B$2:$B1249,"&lt;&gt;"&amp;B1249)+SUM($Q$2:$Q1249)</f>
        <v>90.195000000000007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si="35"/>
        <v>1240</v>
      </c>
      <c r="P1250" s="7">
        <f ca="1">SUMIFS($N$2:$N1250,$B$2:$B1250,"&lt;&gt;"&amp;B1250)+SUM($Q$2:$Q1250)</f>
        <v>90.195000000000007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35"/>
        <v>1241</v>
      </c>
      <c r="P1251" s="7">
        <f ca="1">SUMIFS($N$2:$N1251,$B$2:$B1251,"&lt;&gt;"&amp;B1251)+SUM($Q$2:$Q1251)</f>
        <v>90.195000000000007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35"/>
        <v>1242</v>
      </c>
      <c r="P1252" s="7">
        <f ca="1">SUMIFS($N$2:$N1252,$B$2:$B1252,"&lt;&gt;"&amp;B1252)+SUM($Q$2:$Q1252)</f>
        <v>90.195000000000007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35"/>
        <v>1243</v>
      </c>
      <c r="P1253" s="7">
        <f ca="1">SUMIFS($N$2:$N1253,$B$2:$B1253,"&lt;&gt;"&amp;B1253)+SUM($Q$2:$Q1253)</f>
        <v>90.195000000000007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35"/>
        <v>1244</v>
      </c>
      <c r="P1254" s="7">
        <f ca="1">SUMIFS($N$2:$N1254,$B$2:$B1254,"&lt;&gt;"&amp;B1254)+SUM($Q$2:$Q1254)</f>
        <v>90.195000000000007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35"/>
        <v>1245</v>
      </c>
      <c r="P1255" s="7">
        <f ca="1">SUMIFS($N$2:$N1255,$B$2:$B1255,"&lt;&gt;"&amp;B1255)+SUM($Q$2:$Q1255)</f>
        <v>90.195000000000007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35"/>
        <v>1246</v>
      </c>
      <c r="P1256" s="7">
        <f ca="1">SUMIFS($N$2:$N1256,$B$2:$B1256,"&lt;&gt;"&amp;B1256)+SUM($Q$2:$Q1256)</f>
        <v>90.195000000000007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35"/>
        <v>1247</v>
      </c>
      <c r="P1257" s="7">
        <f ca="1">SUMIFS($N$2:$N1257,$B$2:$B1257,"&lt;&gt;"&amp;B1257)+SUM($Q$2:$Q1257)</f>
        <v>90.195000000000007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35"/>
        <v>1248</v>
      </c>
      <c r="P1258" s="7">
        <f ca="1">SUMIFS($N$2:$N1258,$B$2:$B1258,"&lt;&gt;"&amp;B1258)+SUM($Q$2:$Q1258)</f>
        <v>90.195000000000007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35"/>
        <v>1249</v>
      </c>
      <c r="P1259" s="7">
        <f ca="1">SUMIFS($N$2:$N1259,$B$2:$B1259,"&lt;&gt;"&amp;B1259)+SUM($Q$2:$Q1259)</f>
        <v>90.195000000000007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35"/>
        <v>1250</v>
      </c>
      <c r="P1260" s="7">
        <f ca="1">SUMIFS($N$2:$N1260,$B$2:$B1260,"&lt;&gt;"&amp;B1260)+SUM($Q$2:$Q1260)</f>
        <v>90.195000000000007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35"/>
        <v>1251</v>
      </c>
      <c r="P1261" s="7">
        <f ca="1">SUMIFS($N$2:$N1261,$B$2:$B1261,"&lt;&gt;"&amp;B1261)+SUM($Q$2:$Q1261)</f>
        <v>90.195000000000007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35"/>
        <v>1252</v>
      </c>
      <c r="P1262" s="7">
        <f ca="1">SUMIFS($N$2:$N1262,$B$2:$B1262,"&lt;&gt;"&amp;B1262)+SUM($Q$2:$Q1262)</f>
        <v>90.195000000000007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35"/>
        <v>1253</v>
      </c>
      <c r="P1263" s="7">
        <f ca="1">SUMIFS($N$2:$N1263,$B$2:$B1263,"&lt;&gt;"&amp;B1263)+SUM($Q$2:$Q1263)</f>
        <v>90.195000000000007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35"/>
        <v>1254</v>
      </c>
      <c r="P1264" s="7">
        <f ca="1">SUMIFS($N$2:$N1264,$B$2:$B1264,"&lt;&gt;"&amp;B1264)+SUM($Q$2:$Q1264)</f>
        <v>90.195000000000007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35"/>
        <v>1255</v>
      </c>
      <c r="P1265" s="7">
        <f ca="1">SUMIFS($N$2:$N1265,$B$2:$B1265,"&lt;&gt;"&amp;B1265)+SUM($Q$2:$Q1265)</f>
        <v>90.195000000000007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35"/>
        <v>1256</v>
      </c>
      <c r="P1266" s="7">
        <f ca="1">SUMIFS($N$2:$N1266,$B$2:$B1266,"&lt;&gt;"&amp;B1266)+SUM($Q$2:$Q1266)</f>
        <v>90.195000000000007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35"/>
        <v>1257</v>
      </c>
      <c r="P1267" s="7">
        <f ca="1">SUMIFS($N$2:$N1267,$B$2:$B1267,"&lt;&gt;"&amp;B1267)+SUM($Q$2:$Q1267)</f>
        <v>90.195000000000007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35"/>
        <v>1258</v>
      </c>
      <c r="P1268" s="7">
        <f ca="1">SUMIFS($N$2:$N1268,$B$2:$B1268,"&lt;&gt;"&amp;B1268)+SUM($Q$2:$Q1268)</f>
        <v>90.195000000000007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35"/>
        <v>1259</v>
      </c>
      <c r="P1269" s="7">
        <f ca="1">SUMIFS($N$2:$N1269,$B$2:$B1269,"&lt;&gt;"&amp;B1269)+SUM($Q$2:$Q1269)</f>
        <v>90.195000000000007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35"/>
        <v>1260</v>
      </c>
      <c r="P1270" s="7">
        <f ca="1">SUMIFS($N$2:$N1270,$B$2:$B1270,"&lt;&gt;"&amp;B1270)+SUM($Q$2:$Q1270)</f>
        <v>90.195000000000007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35"/>
        <v>1261</v>
      </c>
      <c r="P1271" s="7">
        <f ca="1">SUMIFS($N$2:$N1271,$B$2:$B1271,"&lt;&gt;"&amp;B1271)+SUM($Q$2:$Q1271)</f>
        <v>90.195000000000007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35"/>
        <v>1262</v>
      </c>
      <c r="P1272" s="7">
        <f ca="1">SUMIFS($N$2:$N1272,$B$2:$B1272,"&lt;&gt;"&amp;B1272)+SUM($Q$2:$Q1272)</f>
        <v>90.195000000000007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35"/>
        <v>1263</v>
      </c>
      <c r="P1273" s="7">
        <f ca="1">SUMIFS($N$2:$N1273,$B$2:$B1273,"&lt;&gt;"&amp;B1273)+SUM($Q$2:$Q1273)</f>
        <v>90.195000000000007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35"/>
        <v>1264</v>
      </c>
      <c r="P1274" s="7">
        <f ca="1">SUMIFS($N$2:$N1274,$B$2:$B1274,"&lt;&gt;"&amp;B1274)+SUM($Q$2:$Q1274)</f>
        <v>90.195000000000007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35"/>
        <v>1265</v>
      </c>
      <c r="P1275" s="7">
        <f ca="1">SUMIFS($N$2:$N1275,$B$2:$B1275,"&lt;&gt;"&amp;B1275)+SUM($Q$2:$Q1275)</f>
        <v>90.195000000000007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35"/>
        <v>1266</v>
      </c>
      <c r="P1276" s="7">
        <f ca="1">SUMIFS($N$2:$N1276,$B$2:$B1276,"&lt;&gt;"&amp;B1276)+SUM($Q$2:$Q1276)</f>
        <v>90.195000000000007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35"/>
        <v>1267</v>
      </c>
      <c r="P1277" s="7">
        <f ca="1">SUMIFS($N$2:$N1277,$B$2:$B1277,"&lt;&gt;"&amp;B1277)+SUM($Q$2:$Q1277)</f>
        <v>90.195000000000007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35"/>
        <v>1268</v>
      </c>
      <c r="P1278" s="7">
        <f ca="1">SUMIFS($N$2:$N1278,$B$2:$B1278,"&lt;&gt;"&amp;B1278)+SUM($Q$2:$Q1278)</f>
        <v>90.195000000000007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35"/>
        <v>1269</v>
      </c>
      <c r="P1279" s="7">
        <f ca="1">SUMIFS($N$2:$N1279,$B$2:$B1279,"&lt;&gt;"&amp;B1279)+SUM($Q$2:$Q1279)</f>
        <v>90.195000000000007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35"/>
        <v>1270</v>
      </c>
      <c r="P1280" s="7">
        <f ca="1">SUMIFS($N$2:$N1280,$B$2:$B1280,"&lt;&gt;"&amp;B1280)+SUM($Q$2:$Q1280)</f>
        <v>90.195000000000007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35"/>
        <v>1271</v>
      </c>
      <c r="P1281" s="7">
        <f ca="1">SUMIFS($N$2:$N1281,$B$2:$B1281,"&lt;&gt;"&amp;B1281)+SUM($Q$2:$Q1281)</f>
        <v>90.195000000000007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35"/>
        <v>1272</v>
      </c>
      <c r="P1282" s="7">
        <f ca="1">SUMIFS($N$2:$N1282,$B$2:$B1282,"&lt;&gt;"&amp;B1282)+SUM($Q$2:$Q1282)</f>
        <v>90.195000000000007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ref="A1283:A1346" si="36">IF(AND(B1283="", D1283&lt;&gt;""), A1282, A1282+1)</f>
        <v>1273</v>
      </c>
      <c r="P1283" s="7">
        <f ca="1">SUMIFS($N$2:$N1283,$B$2:$B1283,"&lt;&gt;"&amp;B1283)+SUM($Q$2:$Q1283)</f>
        <v>90.195000000000007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36"/>
        <v>1274</v>
      </c>
      <c r="P1284" s="7">
        <f ca="1">SUMIFS($N$2:$N1284,$B$2:$B1284,"&lt;&gt;"&amp;B1284)+SUM($Q$2:$Q1284)</f>
        <v>90.195000000000007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36"/>
        <v>1275</v>
      </c>
      <c r="P1285" s="7">
        <f ca="1">SUMIFS($N$2:$N1285,$B$2:$B1285,"&lt;&gt;"&amp;B1285)+SUM($Q$2:$Q1285)</f>
        <v>90.195000000000007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36"/>
        <v>1276</v>
      </c>
      <c r="P1286" s="7">
        <f ca="1">SUMIFS($N$2:$N1286,$B$2:$B1286,"&lt;&gt;"&amp;B1286)+SUM($Q$2:$Q1286)</f>
        <v>90.195000000000007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36"/>
        <v>1277</v>
      </c>
      <c r="P1287" s="7">
        <f ca="1">SUMIFS($N$2:$N1287,$B$2:$B1287,"&lt;&gt;"&amp;B1287)+SUM($Q$2:$Q1287)</f>
        <v>90.195000000000007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36"/>
        <v>1278</v>
      </c>
      <c r="P1288" s="7">
        <f ca="1">SUMIFS($N$2:$N1288,$B$2:$B1288,"&lt;&gt;"&amp;B1288)+SUM($Q$2:$Q1288)</f>
        <v>90.195000000000007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36"/>
        <v>1279</v>
      </c>
      <c r="P1289" s="7">
        <f ca="1">SUMIFS($N$2:$N1289,$B$2:$B1289,"&lt;&gt;"&amp;B1289)+SUM($Q$2:$Q1289)</f>
        <v>90.195000000000007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36"/>
        <v>1280</v>
      </c>
      <c r="P1290" s="7">
        <f ca="1">SUMIFS($N$2:$N1290,$B$2:$B1290,"&lt;&gt;"&amp;B1290)+SUM($Q$2:$Q1290)</f>
        <v>90.195000000000007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36"/>
        <v>1281</v>
      </c>
      <c r="P1291" s="7">
        <f ca="1">SUMIFS($N$2:$N1291,$B$2:$B1291,"&lt;&gt;"&amp;B1291)+SUM($Q$2:$Q1291)</f>
        <v>90.195000000000007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36"/>
        <v>1282</v>
      </c>
      <c r="P1292" s="7">
        <f ca="1">SUMIFS($N$2:$N1292,$B$2:$B1292,"&lt;&gt;"&amp;B1292)+SUM($Q$2:$Q1292)</f>
        <v>90.195000000000007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36"/>
        <v>1283</v>
      </c>
      <c r="P1293" s="7">
        <f ca="1">SUMIFS($N$2:$N1293,$B$2:$B1293,"&lt;&gt;"&amp;B1293)+SUM($Q$2:$Q1293)</f>
        <v>90.195000000000007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36"/>
        <v>1284</v>
      </c>
      <c r="P1294" s="7">
        <f ca="1">SUMIFS($N$2:$N1294,$B$2:$B1294,"&lt;&gt;"&amp;B1294)+SUM($Q$2:$Q1294)</f>
        <v>90.195000000000007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36"/>
        <v>1285</v>
      </c>
      <c r="P1295" s="7">
        <f ca="1">SUMIFS($N$2:$N1295,$B$2:$B1295,"&lt;&gt;"&amp;B1295)+SUM($Q$2:$Q1295)</f>
        <v>90.195000000000007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36"/>
        <v>1286</v>
      </c>
      <c r="P1296" s="7">
        <f ca="1">SUMIFS($N$2:$N1296,$B$2:$B1296,"&lt;&gt;"&amp;B1296)+SUM($Q$2:$Q1296)</f>
        <v>90.195000000000007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36"/>
        <v>1287</v>
      </c>
      <c r="P1297" s="7">
        <f ca="1">SUMIFS($N$2:$N1297,$B$2:$B1297,"&lt;&gt;"&amp;B1297)+SUM($Q$2:$Q1297)</f>
        <v>90.195000000000007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36"/>
        <v>1288</v>
      </c>
      <c r="P1298" s="7">
        <f ca="1">SUMIFS($N$2:$N1298,$B$2:$B1298,"&lt;&gt;"&amp;B1298)+SUM($Q$2:$Q1298)</f>
        <v>90.195000000000007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36"/>
        <v>1289</v>
      </c>
      <c r="P1299" s="7">
        <f ca="1">SUMIFS($N$2:$N1299,$B$2:$B1299,"&lt;&gt;"&amp;B1299)+SUM($Q$2:$Q1299)</f>
        <v>90.195000000000007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36"/>
        <v>1290</v>
      </c>
      <c r="P1300" s="7">
        <f ca="1">SUMIFS($N$2:$N1300,$B$2:$B1300,"&lt;&gt;"&amp;B1300)+SUM($Q$2:$Q1300)</f>
        <v>90.195000000000007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36"/>
        <v>1291</v>
      </c>
      <c r="P1301" s="7">
        <f ca="1">SUMIFS($N$2:$N1301,$B$2:$B1301,"&lt;&gt;"&amp;B1301)+SUM($Q$2:$Q1301)</f>
        <v>90.195000000000007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36"/>
        <v>1292</v>
      </c>
      <c r="P1302" s="7">
        <f ca="1">SUMIFS($N$2:$N1302,$B$2:$B1302,"&lt;&gt;"&amp;B1302)+SUM($Q$2:$Q1302)</f>
        <v>90.195000000000007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36"/>
        <v>1293</v>
      </c>
      <c r="P1303" s="7">
        <f ca="1">SUMIFS($N$2:$N1303,$B$2:$B1303,"&lt;&gt;"&amp;B1303)+SUM($Q$2:$Q1303)</f>
        <v>90.195000000000007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36"/>
        <v>1294</v>
      </c>
      <c r="P1304" s="7">
        <f ca="1">SUMIFS($N$2:$N1304,$B$2:$B1304,"&lt;&gt;"&amp;B1304)+SUM($Q$2:$Q1304)</f>
        <v>90.195000000000007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36"/>
        <v>1295</v>
      </c>
      <c r="P1305" s="7">
        <f ca="1">SUMIFS($N$2:$N1305,$B$2:$B1305,"&lt;&gt;"&amp;B1305)+SUM($Q$2:$Q1305)</f>
        <v>90.195000000000007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36"/>
        <v>1296</v>
      </c>
      <c r="P1306" s="7">
        <f ca="1">SUMIFS($N$2:$N1306,$B$2:$B1306,"&lt;&gt;"&amp;B1306)+SUM($Q$2:$Q1306)</f>
        <v>90.195000000000007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36"/>
        <v>1297</v>
      </c>
      <c r="P1307" s="7">
        <f ca="1">SUMIFS($N$2:$N1307,$B$2:$B1307,"&lt;&gt;"&amp;B1307)+SUM($Q$2:$Q1307)</f>
        <v>90.195000000000007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36"/>
        <v>1298</v>
      </c>
      <c r="P1308" s="7">
        <f ca="1">SUMIFS($N$2:$N1308,$B$2:$B1308,"&lt;&gt;"&amp;B1308)+SUM($Q$2:$Q1308)</f>
        <v>90.195000000000007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36"/>
        <v>1299</v>
      </c>
      <c r="P1309" s="7">
        <f ca="1">SUMIFS($N$2:$N1309,$B$2:$B1309,"&lt;&gt;"&amp;B1309)+SUM($Q$2:$Q1309)</f>
        <v>90.195000000000007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36"/>
        <v>1300</v>
      </c>
      <c r="P1310" s="7">
        <f ca="1">SUMIFS($N$2:$N1310,$B$2:$B1310,"&lt;&gt;"&amp;B1310)+SUM($Q$2:$Q1310)</f>
        <v>90.195000000000007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36"/>
        <v>1301</v>
      </c>
      <c r="P1311" s="7">
        <f ca="1">SUMIFS($N$2:$N1311,$B$2:$B1311,"&lt;&gt;"&amp;B1311)+SUM($Q$2:$Q1311)</f>
        <v>90.195000000000007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36"/>
        <v>1302</v>
      </c>
      <c r="P1312" s="7">
        <f ca="1">SUMIFS($N$2:$N1312,$B$2:$B1312,"&lt;&gt;"&amp;B1312)+SUM($Q$2:$Q1312)</f>
        <v>90.195000000000007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36"/>
        <v>1303</v>
      </c>
      <c r="P1313" s="7">
        <f ca="1">SUMIFS($N$2:$N1313,$B$2:$B1313,"&lt;&gt;"&amp;B1313)+SUM($Q$2:$Q1313)</f>
        <v>90.195000000000007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si="36"/>
        <v>1304</v>
      </c>
      <c r="P1314" s="7">
        <f ca="1">SUMIFS($N$2:$N1314,$B$2:$B1314,"&lt;&gt;"&amp;B1314)+SUM($Q$2:$Q1314)</f>
        <v>90.195000000000007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36"/>
        <v>1305</v>
      </c>
      <c r="P1315" s="7">
        <f ca="1">SUMIFS($N$2:$N1315,$B$2:$B1315,"&lt;&gt;"&amp;B1315)+SUM($Q$2:$Q1315)</f>
        <v>90.195000000000007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36"/>
        <v>1306</v>
      </c>
      <c r="P1316" s="7">
        <f ca="1">SUMIFS($N$2:$N1316,$B$2:$B1316,"&lt;&gt;"&amp;B1316)+SUM($Q$2:$Q1316)</f>
        <v>90.195000000000007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36"/>
        <v>1307</v>
      </c>
      <c r="P1317" s="7">
        <f ca="1">SUMIFS($N$2:$N1317,$B$2:$B1317,"&lt;&gt;"&amp;B1317)+SUM($Q$2:$Q1317)</f>
        <v>90.195000000000007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36"/>
        <v>1308</v>
      </c>
      <c r="P1318" s="7">
        <f ca="1">SUMIFS($N$2:$N1318,$B$2:$B1318,"&lt;&gt;"&amp;B1318)+SUM($Q$2:$Q1318)</f>
        <v>90.195000000000007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36"/>
        <v>1309</v>
      </c>
      <c r="P1319" s="7">
        <f ca="1">SUMIFS($N$2:$N1319,$B$2:$B1319,"&lt;&gt;"&amp;B1319)+SUM($Q$2:$Q1319)</f>
        <v>90.195000000000007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36"/>
        <v>1310</v>
      </c>
      <c r="P1320" s="7">
        <f ca="1">SUMIFS($N$2:$N1320,$B$2:$B1320,"&lt;&gt;"&amp;B1320)+SUM($Q$2:$Q1320)</f>
        <v>90.195000000000007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36"/>
        <v>1311</v>
      </c>
      <c r="P1321" s="7">
        <f ca="1">SUMIFS($N$2:$N1321,$B$2:$B1321,"&lt;&gt;"&amp;B1321)+SUM($Q$2:$Q1321)</f>
        <v>90.195000000000007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36"/>
        <v>1312</v>
      </c>
      <c r="P1322" s="7">
        <f ca="1">SUMIFS($N$2:$N1322,$B$2:$B1322,"&lt;&gt;"&amp;B1322)+SUM($Q$2:$Q1322)</f>
        <v>90.195000000000007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36"/>
        <v>1313</v>
      </c>
      <c r="P1323" s="7">
        <f ca="1">SUMIFS($N$2:$N1323,$B$2:$B1323,"&lt;&gt;"&amp;B1323)+SUM($Q$2:$Q1323)</f>
        <v>90.195000000000007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36"/>
        <v>1314</v>
      </c>
      <c r="P1324" s="7">
        <f ca="1">SUMIFS($N$2:$N1324,$B$2:$B1324,"&lt;&gt;"&amp;B1324)+SUM($Q$2:$Q1324)</f>
        <v>90.195000000000007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36"/>
        <v>1315</v>
      </c>
      <c r="P1325" s="7">
        <f ca="1">SUMIFS($N$2:$N1325,$B$2:$B1325,"&lt;&gt;"&amp;B1325)+SUM($Q$2:$Q1325)</f>
        <v>90.195000000000007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36"/>
        <v>1316</v>
      </c>
      <c r="P1326" s="7">
        <f ca="1">SUMIFS($N$2:$N1326,$B$2:$B1326,"&lt;&gt;"&amp;B1326)+SUM($Q$2:$Q1326)</f>
        <v>90.195000000000007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36"/>
        <v>1317</v>
      </c>
      <c r="P1327" s="7">
        <f ca="1">SUMIFS($N$2:$N1327,$B$2:$B1327,"&lt;&gt;"&amp;B1327)+SUM($Q$2:$Q1327)</f>
        <v>90.195000000000007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36"/>
        <v>1318</v>
      </c>
      <c r="P1328" s="7">
        <f ca="1">SUMIFS($N$2:$N1328,$B$2:$B1328,"&lt;&gt;"&amp;B1328)+SUM($Q$2:$Q1328)</f>
        <v>90.195000000000007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36"/>
        <v>1319</v>
      </c>
      <c r="P1329" s="7">
        <f ca="1">SUMIFS($N$2:$N1329,$B$2:$B1329,"&lt;&gt;"&amp;B1329)+SUM($Q$2:$Q1329)</f>
        <v>90.195000000000007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36"/>
        <v>1320</v>
      </c>
      <c r="P1330" s="7">
        <f ca="1">SUMIFS($N$2:$N1330,$B$2:$B1330,"&lt;&gt;"&amp;B1330)+SUM($Q$2:$Q1330)</f>
        <v>90.195000000000007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36"/>
        <v>1321</v>
      </c>
      <c r="P1331" s="7">
        <f ca="1">SUMIFS($N$2:$N1331,$B$2:$B1331,"&lt;&gt;"&amp;B1331)+SUM($Q$2:$Q1331)</f>
        <v>90.195000000000007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36"/>
        <v>1322</v>
      </c>
      <c r="P1332" s="7">
        <f ca="1">SUMIFS($N$2:$N1332,$B$2:$B1332,"&lt;&gt;"&amp;B1332)+SUM($Q$2:$Q1332)</f>
        <v>90.195000000000007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36"/>
        <v>1323</v>
      </c>
      <c r="P1333" s="7">
        <f ca="1">SUMIFS($N$2:$N1333,$B$2:$B1333,"&lt;&gt;"&amp;B1333)+SUM($Q$2:$Q1333)</f>
        <v>90.195000000000007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36"/>
        <v>1324</v>
      </c>
      <c r="P1334" s="7">
        <f ca="1">SUMIFS($N$2:$N1334,$B$2:$B1334,"&lt;&gt;"&amp;B1334)+SUM($Q$2:$Q1334)</f>
        <v>90.195000000000007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36"/>
        <v>1325</v>
      </c>
      <c r="P1335" s="7">
        <f ca="1">SUMIFS($N$2:$N1335,$B$2:$B1335,"&lt;&gt;"&amp;B1335)+SUM($Q$2:$Q1335)</f>
        <v>90.195000000000007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36"/>
        <v>1326</v>
      </c>
      <c r="P1336" s="7">
        <f ca="1">SUMIFS($N$2:$N1336,$B$2:$B1336,"&lt;&gt;"&amp;B1336)+SUM($Q$2:$Q1336)</f>
        <v>90.195000000000007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36"/>
        <v>1327</v>
      </c>
      <c r="P1337" s="7">
        <f ca="1">SUMIFS($N$2:$N1337,$B$2:$B1337,"&lt;&gt;"&amp;B1337)+SUM($Q$2:$Q1337)</f>
        <v>90.195000000000007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36"/>
        <v>1328</v>
      </c>
      <c r="P1338" s="7">
        <f ca="1">SUMIFS($N$2:$N1338,$B$2:$B1338,"&lt;&gt;"&amp;B1338)+SUM($Q$2:$Q1338)</f>
        <v>90.195000000000007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36"/>
        <v>1329</v>
      </c>
      <c r="P1339" s="7">
        <f ca="1">SUMIFS($N$2:$N1339,$B$2:$B1339,"&lt;&gt;"&amp;B1339)+SUM($Q$2:$Q1339)</f>
        <v>90.195000000000007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36"/>
        <v>1330</v>
      </c>
      <c r="P1340" s="7">
        <f ca="1">SUMIFS($N$2:$N1340,$B$2:$B1340,"&lt;&gt;"&amp;B1340)+SUM($Q$2:$Q1340)</f>
        <v>90.195000000000007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36"/>
        <v>1331</v>
      </c>
      <c r="P1341" s="7">
        <f ca="1">SUMIFS($N$2:$N1341,$B$2:$B1341,"&lt;&gt;"&amp;B1341)+SUM($Q$2:$Q1341)</f>
        <v>90.195000000000007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36"/>
        <v>1332</v>
      </c>
      <c r="P1342" s="7">
        <f ca="1">SUMIFS($N$2:$N1342,$B$2:$B1342,"&lt;&gt;"&amp;B1342)+SUM($Q$2:$Q1342)</f>
        <v>90.195000000000007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36"/>
        <v>1333</v>
      </c>
      <c r="P1343" s="7">
        <f ca="1">SUMIFS($N$2:$N1343,$B$2:$B1343,"&lt;&gt;"&amp;B1343)+SUM($Q$2:$Q1343)</f>
        <v>90.195000000000007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36"/>
        <v>1334</v>
      </c>
      <c r="P1344" s="7">
        <f ca="1">SUMIFS($N$2:$N1344,$B$2:$B1344,"&lt;&gt;"&amp;B1344)+SUM($Q$2:$Q1344)</f>
        <v>90.195000000000007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36"/>
        <v>1335</v>
      </c>
      <c r="P1345" s="7">
        <f ca="1">SUMIFS($N$2:$N1345,$B$2:$B1345,"&lt;&gt;"&amp;B1345)+SUM($Q$2:$Q1345)</f>
        <v>90.195000000000007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36"/>
        <v>1336</v>
      </c>
      <c r="P1346" s="7">
        <f ca="1">SUMIFS($N$2:$N1346,$B$2:$B1346,"&lt;&gt;"&amp;B1346)+SUM($Q$2:$Q1346)</f>
        <v>90.195000000000007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ref="A1347:A1410" si="37">IF(AND(B1347="", D1347&lt;&gt;""), A1346, A1346+1)</f>
        <v>1337</v>
      </c>
      <c r="P1347" s="7">
        <f ca="1">SUMIFS($N$2:$N1347,$B$2:$B1347,"&lt;&gt;"&amp;B1347)+SUM($Q$2:$Q1347)</f>
        <v>90.195000000000007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37"/>
        <v>1338</v>
      </c>
      <c r="P1348" s="7">
        <f ca="1">SUMIFS($N$2:$N1348,$B$2:$B1348,"&lt;&gt;"&amp;B1348)+SUM($Q$2:$Q1348)</f>
        <v>90.195000000000007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37"/>
        <v>1339</v>
      </c>
      <c r="P1349" s="7">
        <f ca="1">SUMIFS($N$2:$N1349,$B$2:$B1349,"&lt;&gt;"&amp;B1349)+SUM($Q$2:$Q1349)</f>
        <v>90.195000000000007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37"/>
        <v>1340</v>
      </c>
      <c r="P1350" s="7">
        <f ca="1">SUMIFS($N$2:$N1350,$B$2:$B1350,"&lt;&gt;"&amp;B1350)+SUM($Q$2:$Q1350)</f>
        <v>90.195000000000007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37"/>
        <v>1341</v>
      </c>
      <c r="P1351" s="7">
        <f ca="1">SUMIFS($N$2:$N1351,$B$2:$B1351,"&lt;&gt;"&amp;B1351)+SUM($Q$2:$Q1351)</f>
        <v>90.195000000000007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37"/>
        <v>1342</v>
      </c>
      <c r="P1352" s="7">
        <f ca="1">SUMIFS($N$2:$N1352,$B$2:$B1352,"&lt;&gt;"&amp;B1352)+SUM($Q$2:$Q1352)</f>
        <v>90.195000000000007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37"/>
        <v>1343</v>
      </c>
      <c r="P1353" s="7">
        <f ca="1">SUMIFS($N$2:$N1353,$B$2:$B1353,"&lt;&gt;"&amp;B1353)+SUM($Q$2:$Q1353)</f>
        <v>90.195000000000007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37"/>
        <v>1344</v>
      </c>
      <c r="P1354" s="7">
        <f ca="1">SUMIFS($N$2:$N1354,$B$2:$B1354,"&lt;&gt;"&amp;B1354)+SUM($Q$2:$Q1354)</f>
        <v>90.195000000000007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37"/>
        <v>1345</v>
      </c>
      <c r="P1355" s="7">
        <f ca="1">SUMIFS($N$2:$N1355,$B$2:$B1355,"&lt;&gt;"&amp;B1355)+SUM($Q$2:$Q1355)</f>
        <v>90.195000000000007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37"/>
        <v>1346</v>
      </c>
      <c r="P1356" s="7">
        <f ca="1">SUMIFS($N$2:$N1356,$B$2:$B1356,"&lt;&gt;"&amp;B1356)+SUM($Q$2:$Q1356)</f>
        <v>90.195000000000007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37"/>
        <v>1347</v>
      </c>
      <c r="P1357" s="7">
        <f ca="1">SUMIFS($N$2:$N1357,$B$2:$B1357,"&lt;&gt;"&amp;B1357)+SUM($Q$2:$Q1357)</f>
        <v>90.195000000000007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37"/>
        <v>1348</v>
      </c>
      <c r="P1358" s="7">
        <f ca="1">SUMIFS($N$2:$N1358,$B$2:$B1358,"&lt;&gt;"&amp;B1358)+SUM($Q$2:$Q1358)</f>
        <v>90.195000000000007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37"/>
        <v>1349</v>
      </c>
      <c r="P1359" s="7">
        <f ca="1">SUMIFS($N$2:$N1359,$B$2:$B1359,"&lt;&gt;"&amp;B1359)+SUM($Q$2:$Q1359)</f>
        <v>90.195000000000007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37"/>
        <v>1350</v>
      </c>
      <c r="P1360" s="7">
        <f ca="1">SUMIFS($N$2:$N1360,$B$2:$B1360,"&lt;&gt;"&amp;B1360)+SUM($Q$2:$Q1360)</f>
        <v>90.195000000000007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37"/>
        <v>1351</v>
      </c>
      <c r="P1361" s="7">
        <f ca="1">SUMIFS($N$2:$N1361,$B$2:$B1361,"&lt;&gt;"&amp;B1361)+SUM($Q$2:$Q1361)</f>
        <v>90.195000000000007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37"/>
        <v>1352</v>
      </c>
      <c r="P1362" s="7">
        <f ca="1">SUMIFS($N$2:$N1362,$B$2:$B1362,"&lt;&gt;"&amp;B1362)+SUM($Q$2:$Q1362)</f>
        <v>90.195000000000007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37"/>
        <v>1353</v>
      </c>
      <c r="P1363" s="7">
        <f ca="1">SUMIFS($N$2:$N1363,$B$2:$B1363,"&lt;&gt;"&amp;B1363)+SUM($Q$2:$Q1363)</f>
        <v>90.195000000000007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37"/>
        <v>1354</v>
      </c>
      <c r="P1364" s="7">
        <f ca="1">SUMIFS($N$2:$N1364,$B$2:$B1364,"&lt;&gt;"&amp;B1364)+SUM($Q$2:$Q1364)</f>
        <v>90.195000000000007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37"/>
        <v>1355</v>
      </c>
      <c r="P1365" s="7">
        <f ca="1">SUMIFS($N$2:$N1365,$B$2:$B1365,"&lt;&gt;"&amp;B1365)+SUM($Q$2:$Q1365)</f>
        <v>90.195000000000007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37"/>
        <v>1356</v>
      </c>
      <c r="P1366" s="7">
        <f ca="1">SUMIFS($N$2:$N1366,$B$2:$B1366,"&lt;&gt;"&amp;B1366)+SUM($Q$2:$Q1366)</f>
        <v>90.195000000000007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37"/>
        <v>1357</v>
      </c>
      <c r="P1367" s="7">
        <f ca="1">SUMIFS($N$2:$N1367,$B$2:$B1367,"&lt;&gt;"&amp;B1367)+SUM($Q$2:$Q1367)</f>
        <v>90.195000000000007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37"/>
        <v>1358</v>
      </c>
      <c r="P1368" s="7">
        <f ca="1">SUMIFS($N$2:$N1368,$B$2:$B1368,"&lt;&gt;"&amp;B1368)+SUM($Q$2:$Q1368)</f>
        <v>90.195000000000007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37"/>
        <v>1359</v>
      </c>
      <c r="P1369" s="7">
        <f ca="1">SUMIFS($N$2:$N1369,$B$2:$B1369,"&lt;&gt;"&amp;B1369)+SUM($Q$2:$Q1369)</f>
        <v>90.195000000000007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37"/>
        <v>1360</v>
      </c>
      <c r="P1370" s="7">
        <f ca="1">SUMIFS($N$2:$N1370,$B$2:$B1370,"&lt;&gt;"&amp;B1370)+SUM($Q$2:$Q1370)</f>
        <v>90.195000000000007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37"/>
        <v>1361</v>
      </c>
      <c r="P1371" s="7">
        <f ca="1">SUMIFS($N$2:$N1371,$B$2:$B1371,"&lt;&gt;"&amp;B1371)+SUM($Q$2:$Q1371)</f>
        <v>90.195000000000007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37"/>
        <v>1362</v>
      </c>
      <c r="P1372" s="7">
        <f ca="1">SUMIFS($N$2:$N1372,$B$2:$B1372,"&lt;&gt;"&amp;B1372)+SUM($Q$2:$Q1372)</f>
        <v>90.195000000000007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37"/>
        <v>1363</v>
      </c>
      <c r="P1373" s="7">
        <f ca="1">SUMIFS($N$2:$N1373,$B$2:$B1373,"&lt;&gt;"&amp;B1373)+SUM($Q$2:$Q1373)</f>
        <v>90.195000000000007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37"/>
        <v>1364</v>
      </c>
      <c r="P1374" s="7">
        <f ca="1">SUMIFS($N$2:$N1374,$B$2:$B1374,"&lt;&gt;"&amp;B1374)+SUM($Q$2:$Q1374)</f>
        <v>90.195000000000007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37"/>
        <v>1365</v>
      </c>
      <c r="P1375" s="7">
        <f ca="1">SUMIFS($N$2:$N1375,$B$2:$B1375,"&lt;&gt;"&amp;B1375)+SUM($Q$2:$Q1375)</f>
        <v>90.195000000000007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37"/>
        <v>1366</v>
      </c>
      <c r="P1376" s="7">
        <f ca="1">SUMIFS($N$2:$N1376,$B$2:$B1376,"&lt;&gt;"&amp;B1376)+SUM($Q$2:$Q1376)</f>
        <v>90.195000000000007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37"/>
        <v>1367</v>
      </c>
      <c r="P1377" s="7">
        <f ca="1">SUMIFS($N$2:$N1377,$B$2:$B1377,"&lt;&gt;"&amp;B1377)+SUM($Q$2:$Q1377)</f>
        <v>90.195000000000007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si="37"/>
        <v>1368</v>
      </c>
      <c r="P1378" s="7">
        <f ca="1">SUMIFS($N$2:$N1378,$B$2:$B1378,"&lt;&gt;"&amp;B1378)+SUM($Q$2:$Q1378)</f>
        <v>90.195000000000007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37"/>
        <v>1369</v>
      </c>
      <c r="P1379" s="7">
        <f ca="1">SUMIFS($N$2:$N1379,$B$2:$B1379,"&lt;&gt;"&amp;B1379)+SUM($Q$2:$Q1379)</f>
        <v>90.195000000000007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37"/>
        <v>1370</v>
      </c>
      <c r="P1380" s="7">
        <f ca="1">SUMIFS($N$2:$N1380,$B$2:$B1380,"&lt;&gt;"&amp;B1380)+SUM($Q$2:$Q1380)</f>
        <v>90.195000000000007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37"/>
        <v>1371</v>
      </c>
      <c r="P1381" s="7">
        <f ca="1">SUMIFS($N$2:$N1381,$B$2:$B1381,"&lt;&gt;"&amp;B1381)+SUM($Q$2:$Q1381)</f>
        <v>90.195000000000007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37"/>
        <v>1372</v>
      </c>
      <c r="P1382" s="7">
        <f ca="1">SUMIFS($N$2:$N1382,$B$2:$B1382,"&lt;&gt;"&amp;B1382)+SUM($Q$2:$Q1382)</f>
        <v>90.195000000000007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37"/>
        <v>1373</v>
      </c>
      <c r="P1383" s="7">
        <f ca="1">SUMIFS($N$2:$N1383,$B$2:$B1383,"&lt;&gt;"&amp;B1383)+SUM($Q$2:$Q1383)</f>
        <v>90.195000000000007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37"/>
        <v>1374</v>
      </c>
      <c r="P1384" s="7">
        <f ca="1">SUMIFS($N$2:$N1384,$B$2:$B1384,"&lt;&gt;"&amp;B1384)+SUM($Q$2:$Q1384)</f>
        <v>90.195000000000007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37"/>
        <v>1375</v>
      </c>
      <c r="P1385" s="7">
        <f ca="1">SUMIFS($N$2:$N1385,$B$2:$B1385,"&lt;&gt;"&amp;B1385)+SUM($Q$2:$Q1385)</f>
        <v>90.195000000000007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37"/>
        <v>1376</v>
      </c>
      <c r="P1386" s="7">
        <f ca="1">SUMIFS($N$2:$N1386,$B$2:$B1386,"&lt;&gt;"&amp;B1386)+SUM($Q$2:$Q1386)</f>
        <v>90.195000000000007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37"/>
        <v>1377</v>
      </c>
      <c r="P1387" s="7">
        <f ca="1">SUMIFS($N$2:$N1387,$B$2:$B1387,"&lt;&gt;"&amp;B1387)+SUM($Q$2:$Q1387)</f>
        <v>90.195000000000007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37"/>
        <v>1378</v>
      </c>
      <c r="P1388" s="7">
        <f ca="1">SUMIFS($N$2:$N1388,$B$2:$B1388,"&lt;&gt;"&amp;B1388)+SUM($Q$2:$Q1388)</f>
        <v>90.195000000000007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37"/>
        <v>1379</v>
      </c>
      <c r="P1389" s="7">
        <f ca="1">SUMIFS($N$2:$N1389,$B$2:$B1389,"&lt;&gt;"&amp;B1389)+SUM($Q$2:$Q1389)</f>
        <v>90.195000000000007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37"/>
        <v>1380</v>
      </c>
      <c r="P1390" s="7">
        <f ca="1">SUMIFS($N$2:$N1390,$B$2:$B1390,"&lt;&gt;"&amp;B1390)+SUM($Q$2:$Q1390)</f>
        <v>90.195000000000007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37"/>
        <v>1381</v>
      </c>
      <c r="P1391" s="7">
        <f ca="1">SUMIFS($N$2:$N1391,$B$2:$B1391,"&lt;&gt;"&amp;B1391)+SUM($Q$2:$Q1391)</f>
        <v>90.195000000000007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37"/>
        <v>1382</v>
      </c>
      <c r="P1392" s="7">
        <f ca="1">SUMIFS($N$2:$N1392,$B$2:$B1392,"&lt;&gt;"&amp;B1392)+SUM($Q$2:$Q1392)</f>
        <v>90.195000000000007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37"/>
        <v>1383</v>
      </c>
      <c r="P1393" s="7">
        <f ca="1">SUMIFS($N$2:$N1393,$B$2:$B1393,"&lt;&gt;"&amp;B1393)+SUM($Q$2:$Q1393)</f>
        <v>90.195000000000007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37"/>
        <v>1384</v>
      </c>
      <c r="P1394" s="7">
        <f ca="1">SUMIFS($N$2:$N1394,$B$2:$B1394,"&lt;&gt;"&amp;B1394)+SUM($Q$2:$Q1394)</f>
        <v>90.195000000000007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37"/>
        <v>1385</v>
      </c>
      <c r="P1395" s="7">
        <f ca="1">SUMIFS($N$2:$N1395,$B$2:$B1395,"&lt;&gt;"&amp;B1395)+SUM($Q$2:$Q1395)</f>
        <v>90.195000000000007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37"/>
        <v>1386</v>
      </c>
      <c r="P1396" s="7">
        <f ca="1">SUMIFS($N$2:$N1396,$B$2:$B1396,"&lt;&gt;"&amp;B1396)+SUM($Q$2:$Q1396)</f>
        <v>90.195000000000007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37"/>
        <v>1387</v>
      </c>
      <c r="P1397" s="7">
        <f ca="1">SUMIFS($N$2:$N1397,$B$2:$B1397,"&lt;&gt;"&amp;B1397)+SUM($Q$2:$Q1397)</f>
        <v>90.195000000000007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37"/>
        <v>1388</v>
      </c>
      <c r="P1398" s="7">
        <f ca="1">SUMIFS($N$2:$N1398,$B$2:$B1398,"&lt;&gt;"&amp;B1398)+SUM($Q$2:$Q1398)</f>
        <v>90.195000000000007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37"/>
        <v>1389</v>
      </c>
      <c r="P1399" s="7">
        <f ca="1">SUMIFS($N$2:$N1399,$B$2:$B1399,"&lt;&gt;"&amp;B1399)+SUM($Q$2:$Q1399)</f>
        <v>90.195000000000007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37"/>
        <v>1390</v>
      </c>
      <c r="P1400" s="7">
        <f ca="1">SUMIFS($N$2:$N1400,$B$2:$B1400,"&lt;&gt;"&amp;B1400)+SUM($Q$2:$Q1400)</f>
        <v>90.195000000000007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37"/>
        <v>1391</v>
      </c>
      <c r="P1401" s="7">
        <f ca="1">SUMIFS($N$2:$N1401,$B$2:$B1401,"&lt;&gt;"&amp;B1401)+SUM($Q$2:$Q1401)</f>
        <v>90.195000000000007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37"/>
        <v>1392</v>
      </c>
      <c r="P1402" s="7">
        <f ca="1">SUMIFS($N$2:$N1402,$B$2:$B1402,"&lt;&gt;"&amp;B1402)+SUM($Q$2:$Q1402)</f>
        <v>90.195000000000007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37"/>
        <v>1393</v>
      </c>
      <c r="P1403" s="7">
        <f ca="1">SUMIFS($N$2:$N1403,$B$2:$B1403,"&lt;&gt;"&amp;B1403)+SUM($Q$2:$Q1403)</f>
        <v>90.195000000000007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37"/>
        <v>1394</v>
      </c>
      <c r="P1404" s="7">
        <f ca="1">SUMIFS($N$2:$N1404,$B$2:$B1404,"&lt;&gt;"&amp;B1404)+SUM($Q$2:$Q1404)</f>
        <v>90.195000000000007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37"/>
        <v>1395</v>
      </c>
      <c r="P1405" s="7">
        <f ca="1">SUMIFS($N$2:$N1405,$B$2:$B1405,"&lt;&gt;"&amp;B1405)+SUM($Q$2:$Q1405)</f>
        <v>90.195000000000007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37"/>
        <v>1396</v>
      </c>
      <c r="P1406" s="7">
        <f ca="1">SUMIFS($N$2:$N1406,$B$2:$B1406,"&lt;&gt;"&amp;B1406)+SUM($Q$2:$Q1406)</f>
        <v>90.195000000000007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37"/>
        <v>1397</v>
      </c>
      <c r="P1407" s="7">
        <f ca="1">SUMIFS($N$2:$N1407,$B$2:$B1407,"&lt;&gt;"&amp;B1407)+SUM($Q$2:$Q1407)</f>
        <v>90.195000000000007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37"/>
        <v>1398</v>
      </c>
      <c r="P1408" s="7">
        <f ca="1">SUMIFS($N$2:$N1408,$B$2:$B1408,"&lt;&gt;"&amp;B1408)+SUM($Q$2:$Q1408)</f>
        <v>90.195000000000007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37"/>
        <v>1399</v>
      </c>
      <c r="P1409" s="7">
        <f ca="1">SUMIFS($N$2:$N1409,$B$2:$B1409,"&lt;&gt;"&amp;B1409)+SUM($Q$2:$Q1409)</f>
        <v>90.195000000000007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37"/>
        <v>1400</v>
      </c>
      <c r="P1410" s="7">
        <f ca="1">SUMIFS($N$2:$N1410,$B$2:$B1410,"&lt;&gt;"&amp;B1410)+SUM($Q$2:$Q1410)</f>
        <v>90.195000000000007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ref="A1411:A1474" si="38">IF(AND(B1411="", D1411&lt;&gt;""), A1410, A1410+1)</f>
        <v>1401</v>
      </c>
      <c r="P1411" s="7">
        <f ca="1">SUMIFS($N$2:$N1411,$B$2:$B1411,"&lt;&gt;"&amp;B1411)+SUM($Q$2:$Q1411)</f>
        <v>90.195000000000007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38"/>
        <v>1402</v>
      </c>
      <c r="P1412" s="7">
        <f ca="1">SUMIFS($N$2:$N1412,$B$2:$B1412,"&lt;&gt;"&amp;B1412)+SUM($Q$2:$Q1412)</f>
        <v>90.195000000000007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38"/>
        <v>1403</v>
      </c>
      <c r="P1413" s="7">
        <f ca="1">SUMIFS($N$2:$N1413,$B$2:$B1413,"&lt;&gt;"&amp;B1413)+SUM($Q$2:$Q1413)</f>
        <v>90.195000000000007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38"/>
        <v>1404</v>
      </c>
      <c r="P1414" s="7">
        <f ca="1">SUMIFS($N$2:$N1414,$B$2:$B1414,"&lt;&gt;"&amp;B1414)+SUM($Q$2:$Q1414)</f>
        <v>90.195000000000007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38"/>
        <v>1405</v>
      </c>
      <c r="P1415" s="7">
        <f ca="1">SUMIFS($N$2:$N1415,$B$2:$B1415,"&lt;&gt;"&amp;B1415)+SUM($Q$2:$Q1415)</f>
        <v>90.195000000000007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38"/>
        <v>1406</v>
      </c>
      <c r="P1416" s="7">
        <f ca="1">SUMIFS($N$2:$N1416,$B$2:$B1416,"&lt;&gt;"&amp;B1416)+SUM($Q$2:$Q1416)</f>
        <v>90.195000000000007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38"/>
        <v>1407</v>
      </c>
      <c r="P1417" s="7">
        <f ca="1">SUMIFS($N$2:$N1417,$B$2:$B1417,"&lt;&gt;"&amp;B1417)+SUM($Q$2:$Q1417)</f>
        <v>90.195000000000007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38"/>
        <v>1408</v>
      </c>
      <c r="P1418" s="7">
        <f ca="1">SUMIFS($N$2:$N1418,$B$2:$B1418,"&lt;&gt;"&amp;B1418)+SUM($Q$2:$Q1418)</f>
        <v>90.195000000000007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38"/>
        <v>1409</v>
      </c>
      <c r="P1419" s="7">
        <f ca="1">SUMIFS($N$2:$N1419,$B$2:$B1419,"&lt;&gt;"&amp;B1419)+SUM($Q$2:$Q1419)</f>
        <v>90.195000000000007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38"/>
        <v>1410</v>
      </c>
      <c r="P1420" s="7">
        <f ca="1">SUMIFS($N$2:$N1420,$B$2:$B1420,"&lt;&gt;"&amp;B1420)+SUM($Q$2:$Q1420)</f>
        <v>90.195000000000007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38"/>
        <v>1411</v>
      </c>
      <c r="P1421" s="7">
        <f ca="1">SUMIFS($N$2:$N1421,$B$2:$B1421,"&lt;&gt;"&amp;B1421)+SUM($Q$2:$Q1421)</f>
        <v>90.195000000000007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38"/>
        <v>1412</v>
      </c>
      <c r="P1422" s="7">
        <f ca="1">SUMIFS($N$2:$N1422,$B$2:$B1422,"&lt;&gt;"&amp;B1422)+SUM($Q$2:$Q1422)</f>
        <v>90.195000000000007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38"/>
        <v>1413</v>
      </c>
      <c r="P1423" s="7">
        <f ca="1">SUMIFS($N$2:$N1423,$B$2:$B1423,"&lt;&gt;"&amp;B1423)+SUM($Q$2:$Q1423)</f>
        <v>90.195000000000007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38"/>
        <v>1414</v>
      </c>
      <c r="P1424" s="7">
        <f ca="1">SUMIFS($N$2:$N1424,$B$2:$B1424,"&lt;&gt;"&amp;B1424)+SUM($Q$2:$Q1424)</f>
        <v>90.195000000000007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38"/>
        <v>1415</v>
      </c>
      <c r="P1425" s="7">
        <f ca="1">SUMIFS($N$2:$N1425,$B$2:$B1425,"&lt;&gt;"&amp;B1425)+SUM($Q$2:$Q1425)</f>
        <v>90.195000000000007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38"/>
        <v>1416</v>
      </c>
      <c r="P1426" s="7">
        <f ca="1">SUMIFS($N$2:$N1426,$B$2:$B1426,"&lt;&gt;"&amp;B1426)+SUM($Q$2:$Q1426)</f>
        <v>90.195000000000007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38"/>
        <v>1417</v>
      </c>
      <c r="P1427" s="7">
        <f ca="1">SUMIFS($N$2:$N1427,$B$2:$B1427,"&lt;&gt;"&amp;B1427)+SUM($Q$2:$Q1427)</f>
        <v>90.195000000000007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38"/>
        <v>1418</v>
      </c>
      <c r="P1428" s="7">
        <f ca="1">SUMIFS($N$2:$N1428,$B$2:$B1428,"&lt;&gt;"&amp;B1428)+SUM($Q$2:$Q1428)</f>
        <v>90.195000000000007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38"/>
        <v>1419</v>
      </c>
      <c r="P1429" s="7">
        <f ca="1">SUMIFS($N$2:$N1429,$B$2:$B1429,"&lt;&gt;"&amp;B1429)+SUM($Q$2:$Q1429)</f>
        <v>90.195000000000007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38"/>
        <v>1420</v>
      </c>
      <c r="P1430" s="7">
        <f ca="1">SUMIFS($N$2:$N1430,$B$2:$B1430,"&lt;&gt;"&amp;B1430)+SUM($Q$2:$Q1430)</f>
        <v>90.195000000000007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38"/>
        <v>1421</v>
      </c>
      <c r="P1431" s="7">
        <f ca="1">SUMIFS($N$2:$N1431,$B$2:$B1431,"&lt;&gt;"&amp;B1431)+SUM($Q$2:$Q1431)</f>
        <v>90.195000000000007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38"/>
        <v>1422</v>
      </c>
      <c r="P1432" s="7">
        <f ca="1">SUMIFS($N$2:$N1432,$B$2:$B1432,"&lt;&gt;"&amp;B1432)+SUM($Q$2:$Q1432)</f>
        <v>90.195000000000007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38"/>
        <v>1423</v>
      </c>
      <c r="P1433" s="7">
        <f ca="1">SUMIFS($N$2:$N1433,$B$2:$B1433,"&lt;&gt;"&amp;B1433)+SUM($Q$2:$Q1433)</f>
        <v>90.195000000000007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38"/>
        <v>1424</v>
      </c>
      <c r="P1434" s="7">
        <f ca="1">SUMIFS($N$2:$N1434,$B$2:$B1434,"&lt;&gt;"&amp;B1434)+SUM($Q$2:$Q1434)</f>
        <v>90.195000000000007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38"/>
        <v>1425</v>
      </c>
      <c r="P1435" s="7">
        <f ca="1">SUMIFS($N$2:$N1435,$B$2:$B1435,"&lt;&gt;"&amp;B1435)+SUM($Q$2:$Q1435)</f>
        <v>90.195000000000007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38"/>
        <v>1426</v>
      </c>
      <c r="P1436" s="7">
        <f ca="1">SUMIFS($N$2:$N1436,$B$2:$B1436,"&lt;&gt;"&amp;B1436)+SUM($Q$2:$Q1436)</f>
        <v>90.195000000000007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38"/>
        <v>1427</v>
      </c>
      <c r="P1437" s="7">
        <f ca="1">SUMIFS($N$2:$N1437,$B$2:$B1437,"&lt;&gt;"&amp;B1437)+SUM($Q$2:$Q1437)</f>
        <v>90.195000000000007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38"/>
        <v>1428</v>
      </c>
      <c r="P1438" s="7">
        <f ca="1">SUMIFS($N$2:$N1438,$B$2:$B1438,"&lt;&gt;"&amp;B1438)+SUM($Q$2:$Q1438)</f>
        <v>90.195000000000007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38"/>
        <v>1429</v>
      </c>
      <c r="P1439" s="7">
        <f ca="1">SUMIFS($N$2:$N1439,$B$2:$B1439,"&lt;&gt;"&amp;B1439)+SUM($Q$2:$Q1439)</f>
        <v>90.195000000000007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38"/>
        <v>1430</v>
      </c>
      <c r="P1440" s="7">
        <f ca="1">SUMIFS($N$2:$N1440,$B$2:$B1440,"&lt;&gt;"&amp;B1440)+SUM($Q$2:$Q1440)</f>
        <v>90.195000000000007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38"/>
        <v>1431</v>
      </c>
      <c r="P1441" s="7">
        <f ca="1">SUMIFS($N$2:$N1441,$B$2:$B1441,"&lt;&gt;"&amp;B1441)+SUM($Q$2:$Q1441)</f>
        <v>90.195000000000007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si="38"/>
        <v>1432</v>
      </c>
      <c r="P1442" s="7">
        <f ca="1">SUMIFS($N$2:$N1442,$B$2:$B1442,"&lt;&gt;"&amp;B1442)+SUM($Q$2:$Q1442)</f>
        <v>90.195000000000007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38"/>
        <v>1433</v>
      </c>
      <c r="P1443" s="7">
        <f ca="1">SUMIFS($N$2:$N1443,$B$2:$B1443,"&lt;&gt;"&amp;B1443)+SUM($Q$2:$Q1443)</f>
        <v>90.195000000000007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38"/>
        <v>1434</v>
      </c>
      <c r="P1444" s="7">
        <f ca="1">SUMIFS($N$2:$N1444,$B$2:$B1444,"&lt;&gt;"&amp;B1444)+SUM($Q$2:$Q1444)</f>
        <v>90.195000000000007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38"/>
        <v>1435</v>
      </c>
      <c r="P1445" s="7">
        <f ca="1">SUMIFS($N$2:$N1445,$B$2:$B1445,"&lt;&gt;"&amp;B1445)+SUM($Q$2:$Q1445)</f>
        <v>90.195000000000007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38"/>
        <v>1436</v>
      </c>
      <c r="P1446" s="7">
        <f ca="1">SUMIFS($N$2:$N1446,$B$2:$B1446,"&lt;&gt;"&amp;B1446)+SUM($Q$2:$Q1446)</f>
        <v>90.195000000000007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38"/>
        <v>1437</v>
      </c>
      <c r="P1447" s="7">
        <f ca="1">SUMIFS($N$2:$N1447,$B$2:$B1447,"&lt;&gt;"&amp;B1447)+SUM($Q$2:$Q1447)</f>
        <v>90.195000000000007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38"/>
        <v>1438</v>
      </c>
      <c r="P1448" s="7">
        <f ca="1">SUMIFS($N$2:$N1448,$B$2:$B1448,"&lt;&gt;"&amp;B1448)+SUM($Q$2:$Q1448)</f>
        <v>90.195000000000007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38"/>
        <v>1439</v>
      </c>
      <c r="P1449" s="7">
        <f ca="1">SUMIFS($N$2:$N1449,$B$2:$B1449,"&lt;&gt;"&amp;B1449)+SUM($Q$2:$Q1449)</f>
        <v>90.195000000000007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38"/>
        <v>1440</v>
      </c>
      <c r="P1450" s="7">
        <f ca="1">SUMIFS($N$2:$N1450,$B$2:$B1450,"&lt;&gt;"&amp;B1450)+SUM($Q$2:$Q1450)</f>
        <v>90.195000000000007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38"/>
        <v>1441</v>
      </c>
      <c r="P1451" s="7">
        <f ca="1">SUMIFS($N$2:$N1451,$B$2:$B1451,"&lt;&gt;"&amp;B1451)+SUM($Q$2:$Q1451)</f>
        <v>90.195000000000007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38"/>
        <v>1442</v>
      </c>
      <c r="P1452" s="7">
        <f ca="1">SUMIFS($N$2:$N1452,$B$2:$B1452,"&lt;&gt;"&amp;B1452)+SUM($Q$2:$Q1452)</f>
        <v>90.195000000000007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38"/>
        <v>1443</v>
      </c>
      <c r="P1453" s="7">
        <f ca="1">SUMIFS($N$2:$N1453,$B$2:$B1453,"&lt;&gt;"&amp;B1453)+SUM($Q$2:$Q1453)</f>
        <v>90.195000000000007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38"/>
        <v>1444</v>
      </c>
      <c r="P1454" s="7">
        <f ca="1">SUMIFS($N$2:$N1454,$B$2:$B1454,"&lt;&gt;"&amp;B1454)+SUM($Q$2:$Q1454)</f>
        <v>90.195000000000007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38"/>
        <v>1445</v>
      </c>
      <c r="P1455" s="7">
        <f ca="1">SUMIFS($N$2:$N1455,$B$2:$B1455,"&lt;&gt;"&amp;B1455)+SUM($Q$2:$Q1455)</f>
        <v>90.195000000000007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38"/>
        <v>1446</v>
      </c>
      <c r="P1456" s="7">
        <f ca="1">SUMIFS($N$2:$N1456,$B$2:$B1456,"&lt;&gt;"&amp;B1456)+SUM($Q$2:$Q1456)</f>
        <v>90.195000000000007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38"/>
        <v>1447</v>
      </c>
      <c r="P1457" s="7">
        <f ca="1">SUMIFS($N$2:$N1457,$B$2:$B1457,"&lt;&gt;"&amp;B1457)+SUM($Q$2:$Q1457)</f>
        <v>90.195000000000007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38"/>
        <v>1448</v>
      </c>
      <c r="P1458" s="7">
        <f ca="1">SUMIFS($N$2:$N1458,$B$2:$B1458,"&lt;&gt;"&amp;B1458)+SUM($Q$2:$Q1458)</f>
        <v>90.195000000000007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38"/>
        <v>1449</v>
      </c>
      <c r="P1459" s="7">
        <f ca="1">SUMIFS($N$2:$N1459,$B$2:$B1459,"&lt;&gt;"&amp;B1459)+SUM($Q$2:$Q1459)</f>
        <v>90.195000000000007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38"/>
        <v>1450</v>
      </c>
      <c r="P1460" s="7">
        <f ca="1">SUMIFS($N$2:$N1460,$B$2:$B1460,"&lt;&gt;"&amp;B1460)+SUM($Q$2:$Q1460)</f>
        <v>90.195000000000007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38"/>
        <v>1451</v>
      </c>
      <c r="P1461" s="7">
        <f ca="1">SUMIFS($N$2:$N1461,$B$2:$B1461,"&lt;&gt;"&amp;B1461)+SUM($Q$2:$Q1461)</f>
        <v>90.195000000000007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38"/>
        <v>1452</v>
      </c>
      <c r="P1462" s="7">
        <f ca="1">SUMIFS($N$2:$N1462,$B$2:$B1462,"&lt;&gt;"&amp;B1462)+SUM($Q$2:$Q1462)</f>
        <v>90.195000000000007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38"/>
        <v>1453</v>
      </c>
      <c r="P1463" s="7">
        <f ca="1">SUMIFS($N$2:$N1463,$B$2:$B1463,"&lt;&gt;"&amp;B1463)+SUM($Q$2:$Q1463)</f>
        <v>90.195000000000007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38"/>
        <v>1454</v>
      </c>
      <c r="P1464" s="7">
        <f ca="1">SUMIFS($N$2:$N1464,$B$2:$B1464,"&lt;&gt;"&amp;B1464)+SUM($Q$2:$Q1464)</f>
        <v>90.195000000000007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38"/>
        <v>1455</v>
      </c>
      <c r="P1465" s="7">
        <f ca="1">SUMIFS($N$2:$N1465,$B$2:$B1465,"&lt;&gt;"&amp;B1465)+SUM($Q$2:$Q1465)</f>
        <v>90.195000000000007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38"/>
        <v>1456</v>
      </c>
      <c r="P1466" s="7">
        <f ca="1">SUMIFS($N$2:$N1466,$B$2:$B1466,"&lt;&gt;"&amp;B1466)+SUM($Q$2:$Q1466)</f>
        <v>90.195000000000007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38"/>
        <v>1457</v>
      </c>
      <c r="P1467" s="7">
        <f ca="1">SUMIFS($N$2:$N1467,$B$2:$B1467,"&lt;&gt;"&amp;B1467)+SUM($Q$2:$Q1467)</f>
        <v>90.195000000000007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38"/>
        <v>1458</v>
      </c>
      <c r="P1468" s="7">
        <f ca="1">SUMIFS($N$2:$N1468,$B$2:$B1468,"&lt;&gt;"&amp;B1468)+SUM($Q$2:$Q1468)</f>
        <v>90.195000000000007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38"/>
        <v>1459</v>
      </c>
      <c r="P1469" s="7">
        <f ca="1">SUMIFS($N$2:$N1469,$B$2:$B1469,"&lt;&gt;"&amp;B1469)+SUM($Q$2:$Q1469)</f>
        <v>90.195000000000007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38"/>
        <v>1460</v>
      </c>
      <c r="P1470" s="7">
        <f ca="1">SUMIFS($N$2:$N1470,$B$2:$B1470,"&lt;&gt;"&amp;B1470)+SUM($Q$2:$Q1470)</f>
        <v>90.195000000000007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38"/>
        <v>1461</v>
      </c>
      <c r="P1471" s="7">
        <f ca="1">SUMIFS($N$2:$N1471,$B$2:$B1471,"&lt;&gt;"&amp;B1471)+SUM($Q$2:$Q1471)</f>
        <v>90.195000000000007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38"/>
        <v>1462</v>
      </c>
      <c r="P1472" s="7">
        <f ca="1">SUMIFS($N$2:$N1472,$B$2:$B1472,"&lt;&gt;"&amp;B1472)+SUM($Q$2:$Q1472)</f>
        <v>90.195000000000007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38"/>
        <v>1463</v>
      </c>
      <c r="P1473" s="7">
        <f ca="1">SUMIFS($N$2:$N1473,$B$2:$B1473,"&lt;&gt;"&amp;B1473)+SUM($Q$2:$Q1473)</f>
        <v>90.195000000000007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38"/>
        <v>1464</v>
      </c>
      <c r="P1474" s="7">
        <f ca="1">SUMIFS($N$2:$N1474,$B$2:$B1474,"&lt;&gt;"&amp;B1474)+SUM($Q$2:$Q1474)</f>
        <v>90.195000000000007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ref="A1475:A1538" si="39">IF(AND(B1475="", D1475&lt;&gt;""), A1474, A1474+1)</f>
        <v>1465</v>
      </c>
      <c r="P1475" s="7">
        <f ca="1">SUMIFS($N$2:$N1475,$B$2:$B1475,"&lt;&gt;"&amp;B1475)+SUM($Q$2:$Q1475)</f>
        <v>90.195000000000007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39"/>
        <v>1466</v>
      </c>
      <c r="P1476" s="7">
        <f ca="1">SUMIFS($N$2:$N1476,$B$2:$B1476,"&lt;&gt;"&amp;B1476)+SUM($Q$2:$Q1476)</f>
        <v>90.195000000000007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39"/>
        <v>1467</v>
      </c>
      <c r="P1477" s="7">
        <f ca="1">SUMIFS($N$2:$N1477,$B$2:$B1477,"&lt;&gt;"&amp;B1477)+SUM($Q$2:$Q1477)</f>
        <v>90.195000000000007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39"/>
        <v>1468</v>
      </c>
      <c r="P1478" s="7">
        <f ca="1">SUMIFS($N$2:$N1478,$B$2:$B1478,"&lt;&gt;"&amp;B1478)+SUM($Q$2:$Q1478)</f>
        <v>90.195000000000007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39"/>
        <v>1469</v>
      </c>
      <c r="P1479" s="7">
        <f ca="1">SUMIFS($N$2:$N1479,$B$2:$B1479,"&lt;&gt;"&amp;B1479)+SUM($Q$2:$Q1479)</f>
        <v>90.195000000000007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39"/>
        <v>1470</v>
      </c>
      <c r="P1480" s="7">
        <f ca="1">SUMIFS($N$2:$N1480,$B$2:$B1480,"&lt;&gt;"&amp;B1480)+SUM($Q$2:$Q1480)</f>
        <v>90.195000000000007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39"/>
        <v>1471</v>
      </c>
      <c r="P1481" s="7">
        <f ca="1">SUMIFS($N$2:$N1481,$B$2:$B1481,"&lt;&gt;"&amp;B1481)+SUM($Q$2:$Q1481)</f>
        <v>90.195000000000007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39"/>
        <v>1472</v>
      </c>
      <c r="P1482" s="7">
        <f ca="1">SUMIFS($N$2:$N1482,$B$2:$B1482,"&lt;&gt;"&amp;B1482)+SUM($Q$2:$Q1482)</f>
        <v>90.195000000000007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39"/>
        <v>1473</v>
      </c>
      <c r="P1483" s="7">
        <f ca="1">SUMIFS($N$2:$N1483,$B$2:$B1483,"&lt;&gt;"&amp;B1483)+SUM($Q$2:$Q1483)</f>
        <v>90.195000000000007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39"/>
        <v>1474</v>
      </c>
      <c r="P1484" s="7">
        <f ca="1">SUMIFS($N$2:$N1484,$B$2:$B1484,"&lt;&gt;"&amp;B1484)+SUM($Q$2:$Q1484)</f>
        <v>90.195000000000007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39"/>
        <v>1475</v>
      </c>
      <c r="P1485" s="7">
        <f ca="1">SUMIFS($N$2:$N1485,$B$2:$B1485,"&lt;&gt;"&amp;B1485)+SUM($Q$2:$Q1485)</f>
        <v>90.195000000000007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39"/>
        <v>1476</v>
      </c>
      <c r="P1486" s="7">
        <f ca="1">SUMIFS($N$2:$N1486,$B$2:$B1486,"&lt;&gt;"&amp;B1486)+SUM($Q$2:$Q1486)</f>
        <v>90.195000000000007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39"/>
        <v>1477</v>
      </c>
      <c r="P1487" s="7">
        <f ca="1">SUMIFS($N$2:$N1487,$B$2:$B1487,"&lt;&gt;"&amp;B1487)+SUM($Q$2:$Q1487)</f>
        <v>90.195000000000007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39"/>
        <v>1478</v>
      </c>
      <c r="P1488" s="7">
        <f ca="1">SUMIFS($N$2:$N1488,$B$2:$B1488,"&lt;&gt;"&amp;B1488)+SUM($Q$2:$Q1488)</f>
        <v>90.195000000000007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39"/>
        <v>1479</v>
      </c>
      <c r="P1489" s="7">
        <f ca="1">SUMIFS($N$2:$N1489,$B$2:$B1489,"&lt;&gt;"&amp;B1489)+SUM($Q$2:$Q1489)</f>
        <v>90.195000000000007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39"/>
        <v>1480</v>
      </c>
      <c r="P1490" s="7">
        <f ca="1">SUMIFS($N$2:$N1490,$B$2:$B1490,"&lt;&gt;"&amp;B1490)+SUM($Q$2:$Q1490)</f>
        <v>90.195000000000007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39"/>
        <v>1481</v>
      </c>
      <c r="P1491" s="7">
        <f ca="1">SUMIFS($N$2:$N1491,$B$2:$B1491,"&lt;&gt;"&amp;B1491)+SUM($Q$2:$Q1491)</f>
        <v>90.195000000000007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39"/>
        <v>1482</v>
      </c>
      <c r="P1492" s="7">
        <f ca="1">SUMIFS($N$2:$N1492,$B$2:$B1492,"&lt;&gt;"&amp;B1492)+SUM($Q$2:$Q1492)</f>
        <v>90.195000000000007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39"/>
        <v>1483</v>
      </c>
      <c r="P1493" s="7">
        <f ca="1">SUMIFS($N$2:$N1493,$B$2:$B1493,"&lt;&gt;"&amp;B1493)+SUM($Q$2:$Q1493)</f>
        <v>90.195000000000007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39"/>
        <v>1484</v>
      </c>
      <c r="P1494" s="7">
        <f ca="1">SUMIFS($N$2:$N1494,$B$2:$B1494,"&lt;&gt;"&amp;B1494)+SUM($Q$2:$Q1494)</f>
        <v>90.195000000000007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39"/>
        <v>1485</v>
      </c>
      <c r="P1495" s="7">
        <f ca="1">SUMIFS($N$2:$N1495,$B$2:$B1495,"&lt;&gt;"&amp;B1495)+SUM($Q$2:$Q1495)</f>
        <v>90.195000000000007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39"/>
        <v>1486</v>
      </c>
      <c r="P1496" s="7">
        <f ca="1">SUMIFS($N$2:$N1496,$B$2:$B1496,"&lt;&gt;"&amp;B1496)+SUM($Q$2:$Q1496)</f>
        <v>90.195000000000007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39"/>
        <v>1487</v>
      </c>
      <c r="P1497" s="7">
        <f ca="1">SUMIFS($N$2:$N1497,$B$2:$B1497,"&lt;&gt;"&amp;B1497)+SUM($Q$2:$Q1497)</f>
        <v>90.195000000000007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39"/>
        <v>1488</v>
      </c>
      <c r="P1498" s="7">
        <f ca="1">SUMIFS($N$2:$N1498,$B$2:$B1498,"&lt;&gt;"&amp;B1498)+SUM($Q$2:$Q1498)</f>
        <v>90.195000000000007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39"/>
        <v>1489</v>
      </c>
      <c r="P1499" s="7">
        <f ca="1">SUMIFS($N$2:$N1499,$B$2:$B1499,"&lt;&gt;"&amp;B1499)+SUM($Q$2:$Q1499)</f>
        <v>90.195000000000007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39"/>
        <v>1490</v>
      </c>
      <c r="P1500" s="7">
        <f ca="1">SUMIFS($N$2:$N1500,$B$2:$B1500,"&lt;&gt;"&amp;B1500)+SUM($Q$2:$Q1500)</f>
        <v>90.195000000000007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39"/>
        <v>1491</v>
      </c>
      <c r="P1501" s="7">
        <f ca="1">SUMIFS($N$2:$N1501,$B$2:$B1501,"&lt;&gt;"&amp;B1501)+SUM($Q$2:$Q1501)</f>
        <v>90.195000000000007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39"/>
        <v>1492</v>
      </c>
      <c r="P1502" s="7">
        <f ca="1">SUMIFS($N$2:$N1502,$B$2:$B1502,"&lt;&gt;"&amp;B1502)+SUM($Q$2:$Q1502)</f>
        <v>90.195000000000007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39"/>
        <v>1493</v>
      </c>
      <c r="P1503" s="7">
        <f ca="1">SUMIFS($N$2:$N1503,$B$2:$B1503,"&lt;&gt;"&amp;B1503)+SUM($Q$2:$Q1503)</f>
        <v>90.195000000000007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39"/>
        <v>1494</v>
      </c>
      <c r="P1504" s="7">
        <f ca="1">SUMIFS($N$2:$N1504,$B$2:$B1504,"&lt;&gt;"&amp;B1504)+SUM($Q$2:$Q1504)</f>
        <v>90.195000000000007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39"/>
        <v>1495</v>
      </c>
      <c r="P1505" s="7">
        <f ca="1">SUMIFS($N$2:$N1505,$B$2:$B1505,"&lt;&gt;"&amp;B1505)+SUM($Q$2:$Q1505)</f>
        <v>90.195000000000007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si="39"/>
        <v>1496</v>
      </c>
      <c r="P1506" s="7">
        <f ca="1">SUMIFS($N$2:$N1506,$B$2:$B1506,"&lt;&gt;"&amp;B1506)+SUM($Q$2:$Q1506)</f>
        <v>90.195000000000007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39"/>
        <v>1497</v>
      </c>
      <c r="P1507" s="7">
        <f ca="1">SUMIFS($N$2:$N1507,$B$2:$B1507,"&lt;&gt;"&amp;B1507)+SUM($Q$2:$Q1507)</f>
        <v>90.195000000000007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39"/>
        <v>1498</v>
      </c>
      <c r="P1508" s="7">
        <f ca="1">SUMIFS($N$2:$N1508,$B$2:$B1508,"&lt;&gt;"&amp;B1508)+SUM($Q$2:$Q1508)</f>
        <v>90.195000000000007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39"/>
        <v>1499</v>
      </c>
      <c r="P1509" s="7">
        <f ca="1">SUMIFS($N$2:$N1509,$B$2:$B1509,"&lt;&gt;"&amp;B1509)+SUM($Q$2:$Q1509)</f>
        <v>90.195000000000007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39"/>
        <v>1500</v>
      </c>
      <c r="P1510" s="7">
        <f ca="1">SUMIFS($N$2:$N1510,$B$2:$B1510,"&lt;&gt;"&amp;B1510)+SUM($Q$2:$Q1510)</f>
        <v>90.195000000000007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39"/>
        <v>1501</v>
      </c>
      <c r="P1511" s="7">
        <f ca="1">SUMIFS($N$2:$N1511,$B$2:$B1511,"&lt;&gt;"&amp;B1511)+SUM($Q$2:$Q1511)</f>
        <v>90.195000000000007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39"/>
        <v>1502</v>
      </c>
      <c r="P1512" s="7">
        <f ca="1">SUMIFS($N$2:$N1512,$B$2:$B1512,"&lt;&gt;"&amp;B1512)+SUM($Q$2:$Q1512)</f>
        <v>90.195000000000007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39"/>
        <v>1503</v>
      </c>
      <c r="P1513" s="7">
        <f ca="1">SUMIFS($N$2:$N1513,$B$2:$B1513,"&lt;&gt;"&amp;B1513)+SUM($Q$2:$Q1513)</f>
        <v>90.195000000000007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39"/>
        <v>1504</v>
      </c>
      <c r="P1514" s="7">
        <f ca="1">SUMIFS($N$2:$N1514,$B$2:$B1514,"&lt;&gt;"&amp;B1514)+SUM($Q$2:$Q1514)</f>
        <v>90.195000000000007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39"/>
        <v>1505</v>
      </c>
      <c r="P1515" s="7">
        <f ca="1">SUMIFS($N$2:$N1515,$B$2:$B1515,"&lt;&gt;"&amp;B1515)+SUM($Q$2:$Q1515)</f>
        <v>90.195000000000007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39"/>
        <v>1506</v>
      </c>
      <c r="P1516" s="7">
        <f ca="1">SUMIFS($N$2:$N1516,$B$2:$B1516,"&lt;&gt;"&amp;B1516)+SUM($Q$2:$Q1516)</f>
        <v>90.195000000000007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39"/>
        <v>1507</v>
      </c>
      <c r="P1517" s="7">
        <f ca="1">SUMIFS($N$2:$N1517,$B$2:$B1517,"&lt;&gt;"&amp;B1517)+SUM($Q$2:$Q1517)</f>
        <v>90.195000000000007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39"/>
        <v>1508</v>
      </c>
      <c r="P1518" s="7">
        <f ca="1">SUMIFS($N$2:$N1518,$B$2:$B1518,"&lt;&gt;"&amp;B1518)+SUM($Q$2:$Q1518)</f>
        <v>90.195000000000007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39"/>
        <v>1509</v>
      </c>
      <c r="P1519" s="7">
        <f ca="1">SUMIFS($N$2:$N1519,$B$2:$B1519,"&lt;&gt;"&amp;B1519)+SUM($Q$2:$Q1519)</f>
        <v>90.195000000000007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39"/>
        <v>1510</v>
      </c>
      <c r="P1520" s="7">
        <f ca="1">SUMIFS($N$2:$N1520,$B$2:$B1520,"&lt;&gt;"&amp;B1520)+SUM($Q$2:$Q1520)</f>
        <v>90.195000000000007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39"/>
        <v>1511</v>
      </c>
      <c r="P1521" s="7">
        <f ca="1">SUMIFS($N$2:$N1521,$B$2:$B1521,"&lt;&gt;"&amp;B1521)+SUM($Q$2:$Q1521)</f>
        <v>90.195000000000007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39"/>
        <v>1512</v>
      </c>
      <c r="P1522" s="7">
        <f ca="1">SUMIFS($N$2:$N1522,$B$2:$B1522,"&lt;&gt;"&amp;B1522)+SUM($Q$2:$Q1522)</f>
        <v>90.195000000000007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39"/>
        <v>1513</v>
      </c>
      <c r="P1523" s="7">
        <f ca="1">SUMIFS($N$2:$N1523,$B$2:$B1523,"&lt;&gt;"&amp;B1523)+SUM($Q$2:$Q1523)</f>
        <v>90.195000000000007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39"/>
        <v>1514</v>
      </c>
      <c r="P1524" s="7">
        <f ca="1">SUMIFS($N$2:$N1524,$B$2:$B1524,"&lt;&gt;"&amp;B1524)+SUM($Q$2:$Q1524)</f>
        <v>90.195000000000007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39"/>
        <v>1515</v>
      </c>
      <c r="P1525" s="7">
        <f ca="1">SUMIFS($N$2:$N1525,$B$2:$B1525,"&lt;&gt;"&amp;B1525)+SUM($Q$2:$Q1525)</f>
        <v>90.195000000000007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39"/>
        <v>1516</v>
      </c>
      <c r="P1526" s="7">
        <f ca="1">SUMIFS($N$2:$N1526,$B$2:$B1526,"&lt;&gt;"&amp;B1526)+SUM($Q$2:$Q1526)</f>
        <v>90.195000000000007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39"/>
        <v>1517</v>
      </c>
      <c r="P1527" s="7">
        <f ca="1">SUMIFS($N$2:$N1527,$B$2:$B1527,"&lt;&gt;"&amp;B1527)+SUM($Q$2:$Q1527)</f>
        <v>90.195000000000007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39"/>
        <v>1518</v>
      </c>
      <c r="P1528" s="7">
        <f ca="1">SUMIFS($N$2:$N1528,$B$2:$B1528,"&lt;&gt;"&amp;B1528)+SUM($Q$2:$Q1528)</f>
        <v>90.195000000000007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39"/>
        <v>1519</v>
      </c>
      <c r="P1529" s="7">
        <f ca="1">SUMIFS($N$2:$N1529,$B$2:$B1529,"&lt;&gt;"&amp;B1529)+SUM($Q$2:$Q1529)</f>
        <v>90.195000000000007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39"/>
        <v>1520</v>
      </c>
      <c r="P1530" s="7">
        <f ca="1">SUMIFS($N$2:$N1530,$B$2:$B1530,"&lt;&gt;"&amp;B1530)+SUM($Q$2:$Q1530)</f>
        <v>90.195000000000007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39"/>
        <v>1521</v>
      </c>
      <c r="P1531" s="7">
        <f ca="1">SUMIFS($N$2:$N1531,$B$2:$B1531,"&lt;&gt;"&amp;B1531)+SUM($Q$2:$Q1531)</f>
        <v>90.195000000000007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39"/>
        <v>1522</v>
      </c>
      <c r="P1532" s="7">
        <f ca="1">SUMIFS($N$2:$N1532,$B$2:$B1532,"&lt;&gt;"&amp;B1532)+SUM($Q$2:$Q1532)</f>
        <v>90.195000000000007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39"/>
        <v>1523</v>
      </c>
      <c r="P1533" s="7">
        <f ca="1">SUMIFS($N$2:$N1533,$B$2:$B1533,"&lt;&gt;"&amp;B1533)+SUM($Q$2:$Q1533)</f>
        <v>90.195000000000007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39"/>
        <v>1524</v>
      </c>
      <c r="P1534" s="7">
        <f ca="1">SUMIFS($N$2:$N1534,$B$2:$B1534,"&lt;&gt;"&amp;B1534)+SUM($Q$2:$Q1534)</f>
        <v>90.195000000000007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39"/>
        <v>1525</v>
      </c>
      <c r="P1535" s="7">
        <f ca="1">SUMIFS($N$2:$N1535,$B$2:$B1535,"&lt;&gt;"&amp;B1535)+SUM($Q$2:$Q1535)</f>
        <v>90.195000000000007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39"/>
        <v>1526</v>
      </c>
      <c r="P1536" s="7">
        <f ca="1">SUMIFS($N$2:$N1536,$B$2:$B1536,"&lt;&gt;"&amp;B1536)+SUM($Q$2:$Q1536)</f>
        <v>90.195000000000007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39"/>
        <v>1527</v>
      </c>
      <c r="P1537" s="7">
        <f ca="1">SUMIFS($N$2:$N1537,$B$2:$B1537,"&lt;&gt;"&amp;B1537)+SUM($Q$2:$Q1537)</f>
        <v>90.195000000000007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39"/>
        <v>1528</v>
      </c>
      <c r="P1538" s="7">
        <f ca="1">SUMIFS($N$2:$N1538,$B$2:$B1538,"&lt;&gt;"&amp;B1538)+SUM($Q$2:$Q1538)</f>
        <v>90.195000000000007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ref="A1539:A1602" si="40">IF(AND(B1539="", D1539&lt;&gt;""), A1538, A1538+1)</f>
        <v>1529</v>
      </c>
      <c r="P1539" s="7">
        <f ca="1">SUMIFS($N$2:$N1539,$B$2:$B1539,"&lt;&gt;"&amp;B1539)+SUM($Q$2:$Q1539)</f>
        <v>90.195000000000007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40"/>
        <v>1530</v>
      </c>
      <c r="P1540" s="7">
        <f ca="1">SUMIFS($N$2:$N1540,$B$2:$B1540,"&lt;&gt;"&amp;B1540)+SUM($Q$2:$Q1540)</f>
        <v>90.195000000000007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40"/>
        <v>1531</v>
      </c>
      <c r="P1541" s="7">
        <f ca="1">SUMIFS($N$2:$N1541,$B$2:$B1541,"&lt;&gt;"&amp;B1541)+SUM($Q$2:$Q1541)</f>
        <v>90.195000000000007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40"/>
        <v>1532</v>
      </c>
      <c r="P1542" s="7">
        <f ca="1">SUMIFS($N$2:$N1542,$B$2:$B1542,"&lt;&gt;"&amp;B1542)+SUM($Q$2:$Q1542)</f>
        <v>90.195000000000007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40"/>
        <v>1533</v>
      </c>
      <c r="P1543" s="7">
        <f ca="1">SUMIFS($N$2:$N1543,$B$2:$B1543,"&lt;&gt;"&amp;B1543)+SUM($Q$2:$Q1543)</f>
        <v>90.195000000000007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40"/>
        <v>1534</v>
      </c>
      <c r="P1544" s="7">
        <f ca="1">SUMIFS($N$2:$N1544,$B$2:$B1544,"&lt;&gt;"&amp;B1544)+SUM($Q$2:$Q1544)</f>
        <v>90.195000000000007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40"/>
        <v>1535</v>
      </c>
      <c r="P1545" s="7">
        <f ca="1">SUMIFS($N$2:$N1545,$B$2:$B1545,"&lt;&gt;"&amp;B1545)+SUM($Q$2:$Q1545)</f>
        <v>90.195000000000007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40"/>
        <v>1536</v>
      </c>
      <c r="P1546" s="7">
        <f ca="1">SUMIFS($N$2:$N1546,$B$2:$B1546,"&lt;&gt;"&amp;B1546)+SUM($Q$2:$Q1546)</f>
        <v>90.195000000000007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40"/>
        <v>1537</v>
      </c>
      <c r="P1547" s="7">
        <f ca="1">SUMIFS($N$2:$N1547,$B$2:$B1547,"&lt;&gt;"&amp;B1547)+SUM($Q$2:$Q1547)</f>
        <v>90.195000000000007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40"/>
        <v>1538</v>
      </c>
      <c r="P1548" s="7">
        <f ca="1">SUMIFS($N$2:$N1548,$B$2:$B1548,"&lt;&gt;"&amp;B1548)+SUM($Q$2:$Q1548)</f>
        <v>90.195000000000007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40"/>
        <v>1539</v>
      </c>
      <c r="P1549" s="7">
        <f ca="1">SUMIFS($N$2:$N1549,$B$2:$B1549,"&lt;&gt;"&amp;B1549)+SUM($Q$2:$Q1549)</f>
        <v>90.195000000000007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40"/>
        <v>1540</v>
      </c>
      <c r="P1550" s="7">
        <f ca="1">SUMIFS($N$2:$N1550,$B$2:$B1550,"&lt;&gt;"&amp;B1550)+SUM($Q$2:$Q1550)</f>
        <v>90.195000000000007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40"/>
        <v>1541</v>
      </c>
      <c r="P1551" s="7">
        <f ca="1">SUMIFS($N$2:$N1551,$B$2:$B1551,"&lt;&gt;"&amp;B1551)+SUM($Q$2:$Q1551)</f>
        <v>90.195000000000007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40"/>
        <v>1542</v>
      </c>
      <c r="P1552" s="7">
        <f ca="1">SUMIFS($N$2:$N1552,$B$2:$B1552,"&lt;&gt;"&amp;B1552)+SUM($Q$2:$Q1552)</f>
        <v>90.195000000000007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40"/>
        <v>1543</v>
      </c>
      <c r="P1553" s="7">
        <f ca="1">SUMIFS($N$2:$N1553,$B$2:$B1553,"&lt;&gt;"&amp;B1553)+SUM($Q$2:$Q1553)</f>
        <v>90.195000000000007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40"/>
        <v>1544</v>
      </c>
      <c r="P1554" s="7">
        <f ca="1">SUMIFS($N$2:$N1554,$B$2:$B1554,"&lt;&gt;"&amp;B1554)+SUM($Q$2:$Q1554)</f>
        <v>90.195000000000007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40"/>
        <v>1545</v>
      </c>
      <c r="P1555" s="7">
        <f ca="1">SUMIFS($N$2:$N1555,$B$2:$B1555,"&lt;&gt;"&amp;B1555)+SUM($Q$2:$Q1555)</f>
        <v>90.195000000000007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40"/>
        <v>1546</v>
      </c>
      <c r="P1556" s="7">
        <f ca="1">SUMIFS($N$2:$N1556,$B$2:$B1556,"&lt;&gt;"&amp;B1556)+SUM($Q$2:$Q1556)</f>
        <v>90.195000000000007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40"/>
        <v>1547</v>
      </c>
      <c r="P1557" s="7">
        <f ca="1">SUMIFS($N$2:$N1557,$B$2:$B1557,"&lt;&gt;"&amp;B1557)+SUM($Q$2:$Q1557)</f>
        <v>90.195000000000007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40"/>
        <v>1548</v>
      </c>
      <c r="P1558" s="7">
        <f ca="1">SUMIFS($N$2:$N1558,$B$2:$B1558,"&lt;&gt;"&amp;B1558)+SUM($Q$2:$Q1558)</f>
        <v>90.195000000000007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40"/>
        <v>1549</v>
      </c>
      <c r="P1559" s="7">
        <f ca="1">SUMIFS($N$2:$N1559,$B$2:$B1559,"&lt;&gt;"&amp;B1559)+SUM($Q$2:$Q1559)</f>
        <v>90.195000000000007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40"/>
        <v>1550</v>
      </c>
      <c r="P1560" s="7">
        <f ca="1">SUMIFS($N$2:$N1560,$B$2:$B1560,"&lt;&gt;"&amp;B1560)+SUM($Q$2:$Q1560)</f>
        <v>90.195000000000007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40"/>
        <v>1551</v>
      </c>
      <c r="P1561" s="7">
        <f ca="1">SUMIFS($N$2:$N1561,$B$2:$B1561,"&lt;&gt;"&amp;B1561)+SUM($Q$2:$Q1561)</f>
        <v>90.195000000000007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40"/>
        <v>1552</v>
      </c>
      <c r="P1562" s="7">
        <f ca="1">SUMIFS($N$2:$N1562,$B$2:$B1562,"&lt;&gt;"&amp;B1562)+SUM($Q$2:$Q1562)</f>
        <v>90.195000000000007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40"/>
        <v>1553</v>
      </c>
      <c r="P1563" s="7">
        <f ca="1">SUMIFS($N$2:$N1563,$B$2:$B1563,"&lt;&gt;"&amp;B1563)+SUM($Q$2:$Q1563)</f>
        <v>90.195000000000007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40"/>
        <v>1554</v>
      </c>
      <c r="P1564" s="7">
        <f ca="1">SUMIFS($N$2:$N1564,$B$2:$B1564,"&lt;&gt;"&amp;B1564)+SUM($Q$2:$Q1564)</f>
        <v>90.195000000000007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40"/>
        <v>1555</v>
      </c>
      <c r="P1565" s="7">
        <f ca="1">SUMIFS($N$2:$N1565,$B$2:$B1565,"&lt;&gt;"&amp;B1565)+SUM($Q$2:$Q1565)</f>
        <v>90.195000000000007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40"/>
        <v>1556</v>
      </c>
      <c r="P1566" s="7">
        <f ca="1">SUMIFS($N$2:$N1566,$B$2:$B1566,"&lt;&gt;"&amp;B1566)+SUM($Q$2:$Q1566)</f>
        <v>90.195000000000007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40"/>
        <v>1557</v>
      </c>
      <c r="P1567" s="7">
        <f ca="1">SUMIFS($N$2:$N1567,$B$2:$B1567,"&lt;&gt;"&amp;B1567)+SUM($Q$2:$Q1567)</f>
        <v>90.195000000000007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40"/>
        <v>1558</v>
      </c>
      <c r="P1568" s="7">
        <f ca="1">SUMIFS($N$2:$N1568,$B$2:$B1568,"&lt;&gt;"&amp;B1568)+SUM($Q$2:$Q1568)</f>
        <v>90.195000000000007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40"/>
        <v>1559</v>
      </c>
      <c r="P1569" s="7">
        <f ca="1">SUMIFS($N$2:$N1569,$B$2:$B1569,"&lt;&gt;"&amp;B1569)+SUM($Q$2:$Q1569)</f>
        <v>90.195000000000007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si="40"/>
        <v>1560</v>
      </c>
      <c r="P1570" s="7">
        <f ca="1">SUMIFS($N$2:$N1570,$B$2:$B1570,"&lt;&gt;"&amp;B1570)+SUM($Q$2:$Q1570)</f>
        <v>90.195000000000007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40"/>
        <v>1561</v>
      </c>
      <c r="P1571" s="7">
        <f ca="1">SUMIFS($N$2:$N1571,$B$2:$B1571,"&lt;&gt;"&amp;B1571)+SUM($Q$2:$Q1571)</f>
        <v>90.195000000000007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40"/>
        <v>1562</v>
      </c>
      <c r="P1572" s="7">
        <f ca="1">SUMIFS($N$2:$N1572,$B$2:$B1572,"&lt;&gt;"&amp;B1572)+SUM($Q$2:$Q1572)</f>
        <v>90.195000000000007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40"/>
        <v>1563</v>
      </c>
      <c r="P1573" s="7">
        <f ca="1">SUMIFS($N$2:$N1573,$B$2:$B1573,"&lt;&gt;"&amp;B1573)+SUM($Q$2:$Q1573)</f>
        <v>90.195000000000007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40"/>
        <v>1564</v>
      </c>
      <c r="P1574" s="7">
        <f ca="1">SUMIFS($N$2:$N1574,$B$2:$B1574,"&lt;&gt;"&amp;B1574)+SUM($Q$2:$Q1574)</f>
        <v>90.195000000000007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40"/>
        <v>1565</v>
      </c>
      <c r="P1575" s="7">
        <f ca="1">SUMIFS($N$2:$N1575,$B$2:$B1575,"&lt;&gt;"&amp;B1575)+SUM($Q$2:$Q1575)</f>
        <v>90.195000000000007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40"/>
        <v>1566</v>
      </c>
      <c r="P1576" s="7">
        <f ca="1">SUMIFS($N$2:$N1576,$B$2:$B1576,"&lt;&gt;"&amp;B1576)+SUM($Q$2:$Q1576)</f>
        <v>90.195000000000007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40"/>
        <v>1567</v>
      </c>
      <c r="P1577" s="7">
        <f ca="1">SUMIFS($N$2:$N1577,$B$2:$B1577,"&lt;&gt;"&amp;B1577)+SUM($Q$2:$Q1577)</f>
        <v>90.195000000000007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40"/>
        <v>1568</v>
      </c>
      <c r="P1578" s="7">
        <f ca="1">SUMIFS($N$2:$N1578,$B$2:$B1578,"&lt;&gt;"&amp;B1578)+SUM($Q$2:$Q1578)</f>
        <v>90.195000000000007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40"/>
        <v>1569</v>
      </c>
      <c r="P1579" s="7">
        <f ca="1">SUMIFS($N$2:$N1579,$B$2:$B1579,"&lt;&gt;"&amp;B1579)+SUM($Q$2:$Q1579)</f>
        <v>90.195000000000007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40"/>
        <v>1570</v>
      </c>
      <c r="P1580" s="7">
        <f ca="1">SUMIFS($N$2:$N1580,$B$2:$B1580,"&lt;&gt;"&amp;B1580)+SUM($Q$2:$Q1580)</f>
        <v>90.195000000000007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40"/>
        <v>1571</v>
      </c>
      <c r="P1581" s="7">
        <f ca="1">SUMIFS($N$2:$N1581,$B$2:$B1581,"&lt;&gt;"&amp;B1581)+SUM($Q$2:$Q1581)</f>
        <v>90.195000000000007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40"/>
        <v>1572</v>
      </c>
      <c r="P1582" s="7">
        <f ca="1">SUMIFS($N$2:$N1582,$B$2:$B1582,"&lt;&gt;"&amp;B1582)+SUM($Q$2:$Q1582)</f>
        <v>90.195000000000007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40"/>
        <v>1573</v>
      </c>
      <c r="P1583" s="7">
        <f ca="1">SUMIFS($N$2:$N1583,$B$2:$B1583,"&lt;&gt;"&amp;B1583)+SUM($Q$2:$Q1583)</f>
        <v>90.195000000000007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40"/>
        <v>1574</v>
      </c>
      <c r="P1584" s="7">
        <f ca="1">SUMIFS($N$2:$N1584,$B$2:$B1584,"&lt;&gt;"&amp;B1584)+SUM($Q$2:$Q1584)</f>
        <v>90.195000000000007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40"/>
        <v>1575</v>
      </c>
      <c r="P1585" s="7">
        <f ca="1">SUMIFS($N$2:$N1585,$B$2:$B1585,"&lt;&gt;"&amp;B1585)+SUM($Q$2:$Q1585)</f>
        <v>90.195000000000007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40"/>
        <v>1576</v>
      </c>
      <c r="P1586" s="7">
        <f ca="1">SUMIFS($N$2:$N1586,$B$2:$B1586,"&lt;&gt;"&amp;B1586)+SUM($Q$2:$Q1586)</f>
        <v>90.195000000000007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40"/>
        <v>1577</v>
      </c>
      <c r="P1587" s="7">
        <f ca="1">SUMIFS($N$2:$N1587,$B$2:$B1587,"&lt;&gt;"&amp;B1587)+SUM($Q$2:$Q1587)</f>
        <v>90.195000000000007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40"/>
        <v>1578</v>
      </c>
      <c r="P1588" s="7">
        <f ca="1">SUMIFS($N$2:$N1588,$B$2:$B1588,"&lt;&gt;"&amp;B1588)+SUM($Q$2:$Q1588)</f>
        <v>90.195000000000007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40"/>
        <v>1579</v>
      </c>
      <c r="P1589" s="7">
        <f ca="1">SUMIFS($N$2:$N1589,$B$2:$B1589,"&lt;&gt;"&amp;B1589)+SUM($Q$2:$Q1589)</f>
        <v>90.195000000000007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40"/>
        <v>1580</v>
      </c>
      <c r="P1590" s="7">
        <f ca="1">SUMIFS($N$2:$N1590,$B$2:$B1590,"&lt;&gt;"&amp;B1590)+SUM($Q$2:$Q1590)</f>
        <v>90.195000000000007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40"/>
        <v>1581</v>
      </c>
      <c r="P1591" s="7">
        <f ca="1">SUMIFS($N$2:$N1591,$B$2:$B1591,"&lt;&gt;"&amp;B1591)+SUM($Q$2:$Q1591)</f>
        <v>90.195000000000007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40"/>
        <v>1582</v>
      </c>
      <c r="P1592" s="7">
        <f ca="1">SUMIFS($N$2:$N1592,$B$2:$B1592,"&lt;&gt;"&amp;B1592)+SUM($Q$2:$Q1592)</f>
        <v>90.195000000000007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40"/>
        <v>1583</v>
      </c>
      <c r="P1593" s="7">
        <f ca="1">SUMIFS($N$2:$N1593,$B$2:$B1593,"&lt;&gt;"&amp;B1593)+SUM($Q$2:$Q1593)</f>
        <v>90.195000000000007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40"/>
        <v>1584</v>
      </c>
      <c r="P1594" s="7">
        <f ca="1">SUMIFS($N$2:$N1594,$B$2:$B1594,"&lt;&gt;"&amp;B1594)+SUM($Q$2:$Q1594)</f>
        <v>90.195000000000007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40"/>
        <v>1585</v>
      </c>
      <c r="P1595" s="7">
        <f ca="1">SUMIFS($N$2:$N1595,$B$2:$B1595,"&lt;&gt;"&amp;B1595)+SUM($Q$2:$Q1595)</f>
        <v>90.195000000000007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40"/>
        <v>1586</v>
      </c>
      <c r="P1596" s="7">
        <f ca="1">SUMIFS($N$2:$N1596,$B$2:$B1596,"&lt;&gt;"&amp;B1596)+SUM($Q$2:$Q1596)</f>
        <v>90.195000000000007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40"/>
        <v>1587</v>
      </c>
      <c r="P1597" s="7">
        <f ca="1">SUMIFS($N$2:$N1597,$B$2:$B1597,"&lt;&gt;"&amp;B1597)+SUM($Q$2:$Q1597)</f>
        <v>90.195000000000007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40"/>
        <v>1588</v>
      </c>
      <c r="P1598" s="7">
        <f ca="1">SUMIFS($N$2:$N1598,$B$2:$B1598,"&lt;&gt;"&amp;B1598)+SUM($Q$2:$Q1598)</f>
        <v>90.195000000000007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40"/>
        <v>1589</v>
      </c>
      <c r="P1599" s="7">
        <f ca="1">SUMIFS($N$2:$N1599,$B$2:$B1599,"&lt;&gt;"&amp;B1599)+SUM($Q$2:$Q1599)</f>
        <v>90.195000000000007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40"/>
        <v>1590</v>
      </c>
      <c r="P1600" s="7">
        <f ca="1">SUMIFS($N$2:$N1600,$B$2:$B1600,"&lt;&gt;"&amp;B1600)+SUM($Q$2:$Q1600)</f>
        <v>90.195000000000007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40"/>
        <v>1591</v>
      </c>
      <c r="P1601" s="7">
        <f ca="1">SUMIFS($N$2:$N1601,$B$2:$B1601,"&lt;&gt;"&amp;B1601)+SUM($Q$2:$Q1601)</f>
        <v>90.195000000000007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40"/>
        <v>1592</v>
      </c>
      <c r="P1602" s="7">
        <f ca="1">SUMIFS($N$2:$N1602,$B$2:$B1602,"&lt;&gt;"&amp;B1602)+SUM($Q$2:$Q1602)</f>
        <v>90.195000000000007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ref="A1603:A1666" si="41">IF(AND(B1603="", D1603&lt;&gt;""), A1602, A1602+1)</f>
        <v>1593</v>
      </c>
      <c r="P1603" s="7">
        <f ca="1">SUMIFS($N$2:$N1603,$B$2:$B1603,"&lt;&gt;"&amp;B1603)+SUM($Q$2:$Q1603)</f>
        <v>90.195000000000007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41"/>
        <v>1594</v>
      </c>
      <c r="P1604" s="7">
        <f ca="1">SUMIFS($N$2:$N1604,$B$2:$B1604,"&lt;&gt;"&amp;B1604)+SUM($Q$2:$Q1604)</f>
        <v>90.195000000000007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41"/>
        <v>1595</v>
      </c>
      <c r="P1605" s="7">
        <f ca="1">SUMIFS($N$2:$N1605,$B$2:$B1605,"&lt;&gt;"&amp;B1605)+SUM($Q$2:$Q1605)</f>
        <v>90.195000000000007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41"/>
        <v>1596</v>
      </c>
      <c r="P1606" s="7">
        <f ca="1">SUMIFS($N$2:$N1606,$B$2:$B1606,"&lt;&gt;"&amp;B1606)+SUM($Q$2:$Q1606)</f>
        <v>90.195000000000007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41"/>
        <v>1597</v>
      </c>
      <c r="P1607" s="7">
        <f ca="1">SUMIFS($N$2:$N1607,$B$2:$B1607,"&lt;&gt;"&amp;B1607)+SUM($Q$2:$Q1607)</f>
        <v>90.195000000000007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41"/>
        <v>1598</v>
      </c>
      <c r="P1608" s="7">
        <f ca="1">SUMIFS($N$2:$N1608,$B$2:$B1608,"&lt;&gt;"&amp;B1608)+SUM($Q$2:$Q1608)</f>
        <v>90.195000000000007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41"/>
        <v>1599</v>
      </c>
      <c r="P1609" s="7">
        <f ca="1">SUMIFS($N$2:$N1609,$B$2:$B1609,"&lt;&gt;"&amp;B1609)+SUM($Q$2:$Q1609)</f>
        <v>90.195000000000007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41"/>
        <v>1600</v>
      </c>
      <c r="P1610" s="7">
        <f ca="1">SUMIFS($N$2:$N1610,$B$2:$B1610,"&lt;&gt;"&amp;B1610)+SUM($Q$2:$Q1610)</f>
        <v>90.195000000000007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41"/>
        <v>1601</v>
      </c>
      <c r="P1611" s="7">
        <f ca="1">SUMIFS($N$2:$N1611,$B$2:$B1611,"&lt;&gt;"&amp;B1611)+SUM($Q$2:$Q1611)</f>
        <v>90.195000000000007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41"/>
        <v>1602</v>
      </c>
      <c r="P1612" s="7">
        <f ca="1">SUMIFS($N$2:$N1612,$B$2:$B1612,"&lt;&gt;"&amp;B1612)+SUM($Q$2:$Q1612)</f>
        <v>90.195000000000007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41"/>
        <v>1603</v>
      </c>
      <c r="P1613" s="7">
        <f ca="1">SUMIFS($N$2:$N1613,$B$2:$B1613,"&lt;&gt;"&amp;B1613)+SUM($Q$2:$Q1613)</f>
        <v>90.195000000000007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41"/>
        <v>1604</v>
      </c>
      <c r="P1614" s="7">
        <f ca="1">SUMIFS($N$2:$N1614,$B$2:$B1614,"&lt;&gt;"&amp;B1614)+SUM($Q$2:$Q1614)</f>
        <v>90.195000000000007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41"/>
        <v>1605</v>
      </c>
      <c r="P1615" s="7">
        <f ca="1">SUMIFS($N$2:$N1615,$B$2:$B1615,"&lt;&gt;"&amp;B1615)+SUM($Q$2:$Q1615)</f>
        <v>90.195000000000007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41"/>
        <v>1606</v>
      </c>
      <c r="P1616" s="7">
        <f ca="1">SUMIFS($N$2:$N1616,$B$2:$B1616,"&lt;&gt;"&amp;B1616)+SUM($Q$2:$Q1616)</f>
        <v>90.195000000000007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41"/>
        <v>1607</v>
      </c>
      <c r="P1617" s="7">
        <f ca="1">SUMIFS($N$2:$N1617,$B$2:$B1617,"&lt;&gt;"&amp;B1617)+SUM($Q$2:$Q1617)</f>
        <v>90.195000000000007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41"/>
        <v>1608</v>
      </c>
      <c r="P1618" s="7">
        <f ca="1">SUMIFS($N$2:$N1618,$B$2:$B1618,"&lt;&gt;"&amp;B1618)+SUM($Q$2:$Q1618)</f>
        <v>90.195000000000007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41"/>
        <v>1609</v>
      </c>
      <c r="P1619" s="7">
        <f ca="1">SUMIFS($N$2:$N1619,$B$2:$B1619,"&lt;&gt;"&amp;B1619)+SUM($Q$2:$Q1619)</f>
        <v>90.195000000000007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41"/>
        <v>1610</v>
      </c>
      <c r="P1620" s="7">
        <f ca="1">SUMIFS($N$2:$N1620,$B$2:$B1620,"&lt;&gt;"&amp;B1620)+SUM($Q$2:$Q1620)</f>
        <v>90.195000000000007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41"/>
        <v>1611</v>
      </c>
      <c r="P1621" s="7">
        <f ca="1">SUMIFS($N$2:$N1621,$B$2:$B1621,"&lt;&gt;"&amp;B1621)+SUM($Q$2:$Q1621)</f>
        <v>90.195000000000007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41"/>
        <v>1612</v>
      </c>
      <c r="P1622" s="7">
        <f ca="1">SUMIFS($N$2:$N1622,$B$2:$B1622,"&lt;&gt;"&amp;B1622)+SUM($Q$2:$Q1622)</f>
        <v>90.195000000000007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41"/>
        <v>1613</v>
      </c>
      <c r="P1623" s="7">
        <f ca="1">SUMIFS($N$2:$N1623,$B$2:$B1623,"&lt;&gt;"&amp;B1623)+SUM($Q$2:$Q1623)</f>
        <v>90.195000000000007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41"/>
        <v>1614</v>
      </c>
      <c r="P1624" s="7">
        <f ca="1">SUMIFS($N$2:$N1624,$B$2:$B1624,"&lt;&gt;"&amp;B1624)+SUM($Q$2:$Q1624)</f>
        <v>90.195000000000007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41"/>
        <v>1615</v>
      </c>
      <c r="P1625" s="7">
        <f ca="1">SUMIFS($N$2:$N1625,$B$2:$B1625,"&lt;&gt;"&amp;B1625)+SUM($Q$2:$Q1625)</f>
        <v>90.195000000000007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41"/>
        <v>1616</v>
      </c>
      <c r="P1626" s="7">
        <f ca="1">SUMIFS($N$2:$N1626,$B$2:$B1626,"&lt;&gt;"&amp;B1626)+SUM($Q$2:$Q1626)</f>
        <v>90.195000000000007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41"/>
        <v>1617</v>
      </c>
      <c r="P1627" s="7">
        <f ca="1">SUMIFS($N$2:$N1627,$B$2:$B1627,"&lt;&gt;"&amp;B1627)+SUM($Q$2:$Q1627)</f>
        <v>90.195000000000007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41"/>
        <v>1618</v>
      </c>
      <c r="P1628" s="7">
        <f ca="1">SUMIFS($N$2:$N1628,$B$2:$B1628,"&lt;&gt;"&amp;B1628)+SUM($Q$2:$Q1628)</f>
        <v>90.195000000000007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41"/>
        <v>1619</v>
      </c>
      <c r="P1629" s="7">
        <f ca="1">SUMIFS($N$2:$N1629,$B$2:$B1629,"&lt;&gt;"&amp;B1629)+SUM($Q$2:$Q1629)</f>
        <v>90.195000000000007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41"/>
        <v>1620</v>
      </c>
      <c r="P1630" s="7">
        <f ca="1">SUMIFS($N$2:$N1630,$B$2:$B1630,"&lt;&gt;"&amp;B1630)+SUM($Q$2:$Q1630)</f>
        <v>90.195000000000007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41"/>
        <v>1621</v>
      </c>
      <c r="P1631" s="7">
        <f ca="1">SUMIFS($N$2:$N1631,$B$2:$B1631,"&lt;&gt;"&amp;B1631)+SUM($Q$2:$Q1631)</f>
        <v>90.195000000000007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41"/>
        <v>1622</v>
      </c>
      <c r="P1632" s="7">
        <f ca="1">SUMIFS($N$2:$N1632,$B$2:$B1632,"&lt;&gt;"&amp;B1632)+SUM($Q$2:$Q1632)</f>
        <v>90.195000000000007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41"/>
        <v>1623</v>
      </c>
      <c r="P1633" s="7">
        <f ca="1">SUMIFS($N$2:$N1633,$B$2:$B1633,"&lt;&gt;"&amp;B1633)+SUM($Q$2:$Q1633)</f>
        <v>90.195000000000007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si="41"/>
        <v>1624</v>
      </c>
      <c r="P1634" s="7">
        <f ca="1">SUMIFS($N$2:$N1634,$B$2:$B1634,"&lt;&gt;"&amp;B1634)+SUM($Q$2:$Q1634)</f>
        <v>90.195000000000007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41"/>
        <v>1625</v>
      </c>
      <c r="P1635" s="7">
        <f ca="1">SUMIFS($N$2:$N1635,$B$2:$B1635,"&lt;&gt;"&amp;B1635)+SUM($Q$2:$Q1635)</f>
        <v>90.195000000000007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41"/>
        <v>1626</v>
      </c>
      <c r="P1636" s="7">
        <f ca="1">SUMIFS($N$2:$N1636,$B$2:$B1636,"&lt;&gt;"&amp;B1636)+SUM($Q$2:$Q1636)</f>
        <v>90.195000000000007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41"/>
        <v>1627</v>
      </c>
      <c r="P1637" s="7">
        <f ca="1">SUMIFS($N$2:$N1637,$B$2:$B1637,"&lt;&gt;"&amp;B1637)+SUM($Q$2:$Q1637)</f>
        <v>90.195000000000007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41"/>
        <v>1628</v>
      </c>
      <c r="P1638" s="7">
        <f ca="1">SUMIFS($N$2:$N1638,$B$2:$B1638,"&lt;&gt;"&amp;B1638)+SUM($Q$2:$Q1638)</f>
        <v>90.195000000000007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41"/>
        <v>1629</v>
      </c>
      <c r="P1639" s="7">
        <f ca="1">SUMIFS($N$2:$N1639,$B$2:$B1639,"&lt;&gt;"&amp;B1639)+SUM($Q$2:$Q1639)</f>
        <v>90.195000000000007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41"/>
        <v>1630</v>
      </c>
      <c r="P1640" s="7">
        <f ca="1">SUMIFS($N$2:$N1640,$B$2:$B1640,"&lt;&gt;"&amp;B1640)+SUM($Q$2:$Q1640)</f>
        <v>90.195000000000007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41"/>
        <v>1631</v>
      </c>
      <c r="P1641" s="7">
        <f ca="1">SUMIFS($N$2:$N1641,$B$2:$B1641,"&lt;&gt;"&amp;B1641)+SUM($Q$2:$Q1641)</f>
        <v>90.195000000000007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41"/>
        <v>1632</v>
      </c>
      <c r="P1642" s="7">
        <f ca="1">SUMIFS($N$2:$N1642,$B$2:$B1642,"&lt;&gt;"&amp;B1642)+SUM($Q$2:$Q1642)</f>
        <v>90.195000000000007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41"/>
        <v>1633</v>
      </c>
      <c r="P1643" s="7">
        <f ca="1">SUMIFS($N$2:$N1643,$B$2:$B1643,"&lt;&gt;"&amp;B1643)+SUM($Q$2:$Q1643)</f>
        <v>90.195000000000007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41"/>
        <v>1634</v>
      </c>
      <c r="P1644" s="7">
        <f ca="1">SUMIFS($N$2:$N1644,$B$2:$B1644,"&lt;&gt;"&amp;B1644)+SUM($Q$2:$Q1644)</f>
        <v>90.195000000000007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41"/>
        <v>1635</v>
      </c>
      <c r="P1645" s="7">
        <f ca="1">SUMIFS($N$2:$N1645,$B$2:$B1645,"&lt;&gt;"&amp;B1645)+SUM($Q$2:$Q1645)</f>
        <v>90.195000000000007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41"/>
        <v>1636</v>
      </c>
      <c r="P1646" s="7">
        <f ca="1">SUMIFS($N$2:$N1646,$B$2:$B1646,"&lt;&gt;"&amp;B1646)+SUM($Q$2:$Q1646)</f>
        <v>90.195000000000007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41"/>
        <v>1637</v>
      </c>
      <c r="P1647" s="7">
        <f ca="1">SUMIFS($N$2:$N1647,$B$2:$B1647,"&lt;&gt;"&amp;B1647)+SUM($Q$2:$Q1647)</f>
        <v>90.195000000000007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41"/>
        <v>1638</v>
      </c>
      <c r="P1648" s="7">
        <f ca="1">SUMIFS($N$2:$N1648,$B$2:$B1648,"&lt;&gt;"&amp;B1648)+SUM($Q$2:$Q1648)</f>
        <v>90.195000000000007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41"/>
        <v>1639</v>
      </c>
      <c r="P1649" s="7">
        <f ca="1">SUMIFS($N$2:$N1649,$B$2:$B1649,"&lt;&gt;"&amp;B1649)+SUM($Q$2:$Q1649)</f>
        <v>90.195000000000007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41"/>
        <v>1640</v>
      </c>
      <c r="P1650" s="7">
        <f ca="1">SUMIFS($N$2:$N1650,$B$2:$B1650,"&lt;&gt;"&amp;B1650)+SUM($Q$2:$Q1650)</f>
        <v>90.195000000000007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41"/>
        <v>1641</v>
      </c>
      <c r="P1651" s="7">
        <f ca="1">SUMIFS($N$2:$N1651,$B$2:$B1651,"&lt;&gt;"&amp;B1651)+SUM($Q$2:$Q1651)</f>
        <v>90.195000000000007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41"/>
        <v>1642</v>
      </c>
      <c r="P1652" s="7">
        <f ca="1">SUMIFS($N$2:$N1652,$B$2:$B1652,"&lt;&gt;"&amp;B1652)+SUM($Q$2:$Q1652)</f>
        <v>90.195000000000007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41"/>
        <v>1643</v>
      </c>
      <c r="P1653" s="7">
        <f ca="1">SUMIFS($N$2:$N1653,$B$2:$B1653,"&lt;&gt;"&amp;B1653)+SUM($Q$2:$Q1653)</f>
        <v>90.195000000000007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41"/>
        <v>1644</v>
      </c>
      <c r="P1654" s="7">
        <f ca="1">SUMIFS($N$2:$N1654,$B$2:$B1654,"&lt;&gt;"&amp;B1654)+SUM($Q$2:$Q1654)</f>
        <v>90.195000000000007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41"/>
        <v>1645</v>
      </c>
      <c r="P1655" s="7">
        <f ca="1">SUMIFS($N$2:$N1655,$B$2:$B1655,"&lt;&gt;"&amp;B1655)+SUM($Q$2:$Q1655)</f>
        <v>90.195000000000007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41"/>
        <v>1646</v>
      </c>
      <c r="P1656" s="7">
        <f ca="1">SUMIFS($N$2:$N1656,$B$2:$B1656,"&lt;&gt;"&amp;B1656)+SUM($Q$2:$Q1656)</f>
        <v>90.195000000000007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41"/>
        <v>1647</v>
      </c>
      <c r="P1657" s="7">
        <f ca="1">SUMIFS($N$2:$N1657,$B$2:$B1657,"&lt;&gt;"&amp;B1657)+SUM($Q$2:$Q1657)</f>
        <v>90.195000000000007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41"/>
        <v>1648</v>
      </c>
      <c r="P1658" s="7">
        <f ca="1">SUMIFS($N$2:$N1658,$B$2:$B1658,"&lt;&gt;"&amp;B1658)+SUM($Q$2:$Q1658)</f>
        <v>90.195000000000007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41"/>
        <v>1649</v>
      </c>
      <c r="P1659" s="7">
        <f ca="1">SUMIFS($N$2:$N1659,$B$2:$B1659,"&lt;&gt;"&amp;B1659)+SUM($Q$2:$Q1659)</f>
        <v>90.195000000000007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41"/>
        <v>1650</v>
      </c>
      <c r="P1660" s="7">
        <f ca="1">SUMIFS($N$2:$N1660,$B$2:$B1660,"&lt;&gt;"&amp;B1660)+SUM($Q$2:$Q1660)</f>
        <v>90.195000000000007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41"/>
        <v>1651</v>
      </c>
      <c r="P1661" s="7">
        <f ca="1">SUMIFS($N$2:$N1661,$B$2:$B1661,"&lt;&gt;"&amp;B1661)+SUM($Q$2:$Q1661)</f>
        <v>90.195000000000007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41"/>
        <v>1652</v>
      </c>
      <c r="P1662" s="7">
        <f ca="1">SUMIFS($N$2:$N1662,$B$2:$B1662,"&lt;&gt;"&amp;B1662)+SUM($Q$2:$Q1662)</f>
        <v>90.195000000000007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41"/>
        <v>1653</v>
      </c>
      <c r="P1663" s="7">
        <f ca="1">SUMIFS($N$2:$N1663,$B$2:$B1663,"&lt;&gt;"&amp;B1663)+SUM($Q$2:$Q1663)</f>
        <v>90.195000000000007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41"/>
        <v>1654</v>
      </c>
      <c r="P1664" s="7">
        <f ca="1">SUMIFS($N$2:$N1664,$B$2:$B1664,"&lt;&gt;"&amp;B1664)+SUM($Q$2:$Q1664)</f>
        <v>90.195000000000007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41"/>
        <v>1655</v>
      </c>
      <c r="P1665" s="7">
        <f ca="1">SUMIFS($N$2:$N1665,$B$2:$B1665,"&lt;&gt;"&amp;B1665)+SUM($Q$2:$Q1665)</f>
        <v>90.195000000000007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41"/>
        <v>1656</v>
      </c>
      <c r="P1666" s="7">
        <f ca="1">SUMIFS($N$2:$N1666,$B$2:$B1666,"&lt;&gt;"&amp;B1666)+SUM($Q$2:$Q1666)</f>
        <v>90.195000000000007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ref="A1667:A1730" si="42">IF(AND(B1667="", D1667&lt;&gt;""), A1666, A1666+1)</f>
        <v>1657</v>
      </c>
      <c r="P1667" s="7">
        <f ca="1">SUMIFS($N$2:$N1667,$B$2:$B1667,"&lt;&gt;"&amp;B1667)+SUM($Q$2:$Q1667)</f>
        <v>90.195000000000007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42"/>
        <v>1658</v>
      </c>
      <c r="P1668" s="7">
        <f ca="1">SUMIFS($N$2:$N1668,$B$2:$B1668,"&lt;&gt;"&amp;B1668)+SUM($Q$2:$Q1668)</f>
        <v>90.195000000000007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42"/>
        <v>1659</v>
      </c>
      <c r="P1669" s="7">
        <f ca="1">SUMIFS($N$2:$N1669,$B$2:$B1669,"&lt;&gt;"&amp;B1669)+SUM($Q$2:$Q1669)</f>
        <v>90.195000000000007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42"/>
        <v>1660</v>
      </c>
      <c r="P1670" s="7">
        <f ca="1">SUMIFS($N$2:$N1670,$B$2:$B1670,"&lt;&gt;"&amp;B1670)+SUM($Q$2:$Q1670)</f>
        <v>90.195000000000007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42"/>
        <v>1661</v>
      </c>
      <c r="P1671" s="7">
        <f ca="1">SUMIFS($N$2:$N1671,$B$2:$B1671,"&lt;&gt;"&amp;B1671)+SUM($Q$2:$Q1671)</f>
        <v>90.195000000000007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42"/>
        <v>1662</v>
      </c>
      <c r="P1672" s="7">
        <f ca="1">SUMIFS($N$2:$N1672,$B$2:$B1672,"&lt;&gt;"&amp;B1672)+SUM($Q$2:$Q1672)</f>
        <v>90.195000000000007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42"/>
        <v>1663</v>
      </c>
      <c r="P1673" s="7">
        <f ca="1">SUMIFS($N$2:$N1673,$B$2:$B1673,"&lt;&gt;"&amp;B1673)+SUM($Q$2:$Q1673)</f>
        <v>90.195000000000007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42"/>
        <v>1664</v>
      </c>
      <c r="P1674" s="7">
        <f ca="1">SUMIFS($N$2:$N1674,$B$2:$B1674,"&lt;&gt;"&amp;B1674)+SUM($Q$2:$Q1674)</f>
        <v>90.195000000000007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42"/>
        <v>1665</v>
      </c>
      <c r="P1675" s="7">
        <f ca="1">SUMIFS($N$2:$N1675,$B$2:$B1675,"&lt;&gt;"&amp;B1675)+SUM($Q$2:$Q1675)</f>
        <v>90.195000000000007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42"/>
        <v>1666</v>
      </c>
      <c r="P1676" s="7">
        <f ca="1">SUMIFS($N$2:$N1676,$B$2:$B1676,"&lt;&gt;"&amp;B1676)+SUM($Q$2:$Q1676)</f>
        <v>90.195000000000007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42"/>
        <v>1667</v>
      </c>
      <c r="P1677" s="7">
        <f ca="1">SUMIFS($N$2:$N1677,$B$2:$B1677,"&lt;&gt;"&amp;B1677)+SUM($Q$2:$Q1677)</f>
        <v>90.195000000000007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42"/>
        <v>1668</v>
      </c>
      <c r="P1678" s="7">
        <f ca="1">SUMIFS($N$2:$N1678,$B$2:$B1678,"&lt;&gt;"&amp;B1678)+SUM($Q$2:$Q1678)</f>
        <v>90.195000000000007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42"/>
        <v>1669</v>
      </c>
      <c r="P1679" s="7">
        <f ca="1">SUMIFS($N$2:$N1679,$B$2:$B1679,"&lt;&gt;"&amp;B1679)+SUM($Q$2:$Q1679)</f>
        <v>90.195000000000007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42"/>
        <v>1670</v>
      </c>
      <c r="P1680" s="7">
        <f ca="1">SUMIFS($N$2:$N1680,$B$2:$B1680,"&lt;&gt;"&amp;B1680)+SUM($Q$2:$Q1680)</f>
        <v>90.195000000000007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42"/>
        <v>1671</v>
      </c>
      <c r="P1681" s="7">
        <f ca="1">SUMIFS($N$2:$N1681,$B$2:$B1681,"&lt;&gt;"&amp;B1681)+SUM($Q$2:$Q1681)</f>
        <v>90.195000000000007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42"/>
        <v>1672</v>
      </c>
      <c r="P1682" s="7">
        <f ca="1">SUMIFS($N$2:$N1682,$B$2:$B1682,"&lt;&gt;"&amp;B1682)+SUM($Q$2:$Q1682)</f>
        <v>90.195000000000007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42"/>
        <v>1673</v>
      </c>
      <c r="P1683" s="7">
        <f ca="1">SUMIFS($N$2:$N1683,$B$2:$B1683,"&lt;&gt;"&amp;B1683)+SUM($Q$2:$Q1683)</f>
        <v>90.195000000000007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42"/>
        <v>1674</v>
      </c>
      <c r="P1684" s="7">
        <f ca="1">SUMIFS($N$2:$N1684,$B$2:$B1684,"&lt;&gt;"&amp;B1684)+SUM($Q$2:$Q1684)</f>
        <v>90.195000000000007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42"/>
        <v>1675</v>
      </c>
      <c r="P1685" s="7">
        <f ca="1">SUMIFS($N$2:$N1685,$B$2:$B1685,"&lt;&gt;"&amp;B1685)+SUM($Q$2:$Q1685)</f>
        <v>90.195000000000007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42"/>
        <v>1676</v>
      </c>
      <c r="P1686" s="7">
        <f ca="1">SUMIFS($N$2:$N1686,$B$2:$B1686,"&lt;&gt;"&amp;B1686)+SUM($Q$2:$Q1686)</f>
        <v>90.195000000000007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42"/>
        <v>1677</v>
      </c>
      <c r="P1687" s="7">
        <f ca="1">SUMIFS($N$2:$N1687,$B$2:$B1687,"&lt;&gt;"&amp;B1687)+SUM($Q$2:$Q1687)</f>
        <v>90.195000000000007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42"/>
        <v>1678</v>
      </c>
      <c r="P1688" s="7">
        <f ca="1">SUMIFS($N$2:$N1688,$B$2:$B1688,"&lt;&gt;"&amp;B1688)+SUM($Q$2:$Q1688)</f>
        <v>90.195000000000007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42"/>
        <v>1679</v>
      </c>
      <c r="P1689" s="7">
        <f ca="1">SUMIFS($N$2:$N1689,$B$2:$B1689,"&lt;&gt;"&amp;B1689)+SUM($Q$2:$Q1689)</f>
        <v>90.195000000000007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42"/>
        <v>1680</v>
      </c>
      <c r="P1690" s="7">
        <f ca="1">SUMIFS($N$2:$N1690,$B$2:$B1690,"&lt;&gt;"&amp;B1690)+SUM($Q$2:$Q1690)</f>
        <v>90.195000000000007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42"/>
        <v>1681</v>
      </c>
      <c r="P1691" s="7">
        <f ca="1">SUMIFS($N$2:$N1691,$B$2:$B1691,"&lt;&gt;"&amp;B1691)+SUM($Q$2:$Q1691)</f>
        <v>90.195000000000007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42"/>
        <v>1682</v>
      </c>
      <c r="P1692" s="7">
        <f ca="1">SUMIFS($N$2:$N1692,$B$2:$B1692,"&lt;&gt;"&amp;B1692)+SUM($Q$2:$Q1692)</f>
        <v>90.195000000000007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42"/>
        <v>1683</v>
      </c>
      <c r="P1693" s="7">
        <f ca="1">SUMIFS($N$2:$N1693,$B$2:$B1693,"&lt;&gt;"&amp;B1693)+SUM($Q$2:$Q1693)</f>
        <v>90.195000000000007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42"/>
        <v>1684</v>
      </c>
      <c r="P1694" s="7">
        <f ca="1">SUMIFS($N$2:$N1694,$B$2:$B1694,"&lt;&gt;"&amp;B1694)+SUM($Q$2:$Q1694)</f>
        <v>90.195000000000007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42"/>
        <v>1685</v>
      </c>
      <c r="P1695" s="7">
        <f ca="1">SUMIFS($N$2:$N1695,$B$2:$B1695,"&lt;&gt;"&amp;B1695)+SUM($Q$2:$Q1695)</f>
        <v>90.195000000000007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42"/>
        <v>1686</v>
      </c>
      <c r="P1696" s="7">
        <f ca="1">SUMIFS($N$2:$N1696,$B$2:$B1696,"&lt;&gt;"&amp;B1696)+SUM($Q$2:$Q1696)</f>
        <v>90.195000000000007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42"/>
        <v>1687</v>
      </c>
      <c r="P1697" s="7">
        <f ca="1">SUMIFS($N$2:$N1697,$B$2:$B1697,"&lt;&gt;"&amp;B1697)+SUM($Q$2:$Q1697)</f>
        <v>90.195000000000007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si="42"/>
        <v>1688</v>
      </c>
      <c r="P1698" s="7">
        <f ca="1">SUMIFS($N$2:$N1698,$B$2:$B1698,"&lt;&gt;"&amp;B1698)+SUM($Q$2:$Q1698)</f>
        <v>90.195000000000007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42"/>
        <v>1689</v>
      </c>
      <c r="P1699" s="7">
        <f ca="1">SUMIFS($N$2:$N1699,$B$2:$B1699,"&lt;&gt;"&amp;B1699)+SUM($Q$2:$Q1699)</f>
        <v>90.195000000000007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42"/>
        <v>1690</v>
      </c>
      <c r="P1700" s="7">
        <f ca="1">SUMIFS($N$2:$N1700,$B$2:$B1700,"&lt;&gt;"&amp;B1700)+SUM($Q$2:$Q1700)</f>
        <v>90.195000000000007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42"/>
        <v>1691</v>
      </c>
      <c r="P1701" s="7">
        <f ca="1">SUMIFS($N$2:$N1701,$B$2:$B1701,"&lt;&gt;"&amp;B1701)+SUM($Q$2:$Q1701)</f>
        <v>90.195000000000007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42"/>
        <v>1692</v>
      </c>
      <c r="P1702" s="7">
        <f ca="1">SUMIFS($N$2:$N1702,$B$2:$B1702,"&lt;&gt;"&amp;B1702)+SUM($Q$2:$Q1702)</f>
        <v>90.195000000000007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42"/>
        <v>1693</v>
      </c>
      <c r="P1703" s="7">
        <f ca="1">SUMIFS($N$2:$N1703,$B$2:$B1703,"&lt;&gt;"&amp;B1703)+SUM($Q$2:$Q1703)</f>
        <v>90.195000000000007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42"/>
        <v>1694</v>
      </c>
      <c r="P1704" s="7">
        <f ca="1">SUMIFS($N$2:$N1704,$B$2:$B1704,"&lt;&gt;"&amp;B1704)+SUM($Q$2:$Q1704)</f>
        <v>90.195000000000007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42"/>
        <v>1695</v>
      </c>
      <c r="P1705" s="7">
        <f ca="1">SUMIFS($N$2:$N1705,$B$2:$B1705,"&lt;&gt;"&amp;B1705)+SUM($Q$2:$Q1705)</f>
        <v>90.195000000000007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42"/>
        <v>1696</v>
      </c>
      <c r="P1706" s="7">
        <f ca="1">SUMIFS($N$2:$N1706,$B$2:$B1706,"&lt;&gt;"&amp;B1706)+SUM($Q$2:$Q1706)</f>
        <v>90.195000000000007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42"/>
        <v>1697</v>
      </c>
      <c r="P1707" s="7">
        <f ca="1">SUMIFS($N$2:$N1707,$B$2:$B1707,"&lt;&gt;"&amp;B1707)+SUM($Q$2:$Q1707)</f>
        <v>90.195000000000007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42"/>
        <v>1698</v>
      </c>
      <c r="P1708" s="7">
        <f ca="1">SUMIFS($N$2:$N1708,$B$2:$B1708,"&lt;&gt;"&amp;B1708)+SUM($Q$2:$Q1708)</f>
        <v>90.195000000000007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42"/>
        <v>1699</v>
      </c>
      <c r="P1709" s="7">
        <f ca="1">SUMIFS($N$2:$N1709,$B$2:$B1709,"&lt;&gt;"&amp;B1709)+SUM($Q$2:$Q1709)</f>
        <v>90.195000000000007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42"/>
        <v>1700</v>
      </c>
      <c r="P1710" s="7">
        <f ca="1">SUMIFS($N$2:$N1710,$B$2:$B1710,"&lt;&gt;"&amp;B1710)+SUM($Q$2:$Q1710)</f>
        <v>90.195000000000007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42"/>
        <v>1701</v>
      </c>
      <c r="P1711" s="7">
        <f ca="1">SUMIFS($N$2:$N1711,$B$2:$B1711,"&lt;&gt;"&amp;B1711)+SUM($Q$2:$Q1711)</f>
        <v>90.195000000000007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42"/>
        <v>1702</v>
      </c>
      <c r="P1712" s="7">
        <f ca="1">SUMIFS($N$2:$N1712,$B$2:$B1712,"&lt;&gt;"&amp;B1712)+SUM($Q$2:$Q1712)</f>
        <v>90.195000000000007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42"/>
        <v>1703</v>
      </c>
      <c r="P1713" s="7">
        <f ca="1">SUMIFS($N$2:$N1713,$B$2:$B1713,"&lt;&gt;"&amp;B1713)+SUM($Q$2:$Q1713)</f>
        <v>90.195000000000007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42"/>
        <v>1704</v>
      </c>
      <c r="P1714" s="7">
        <f ca="1">SUMIFS($N$2:$N1714,$B$2:$B1714,"&lt;&gt;"&amp;B1714)+SUM($Q$2:$Q1714)</f>
        <v>90.195000000000007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42"/>
        <v>1705</v>
      </c>
      <c r="P1715" s="7">
        <f ca="1">SUMIFS($N$2:$N1715,$B$2:$B1715,"&lt;&gt;"&amp;B1715)+SUM($Q$2:$Q1715)</f>
        <v>90.195000000000007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42"/>
        <v>1706</v>
      </c>
      <c r="P1716" s="7">
        <f ca="1">SUMIFS($N$2:$N1716,$B$2:$B1716,"&lt;&gt;"&amp;B1716)+SUM($Q$2:$Q1716)</f>
        <v>90.195000000000007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42"/>
        <v>1707</v>
      </c>
      <c r="P1717" s="7">
        <f ca="1">SUMIFS($N$2:$N1717,$B$2:$B1717,"&lt;&gt;"&amp;B1717)+SUM($Q$2:$Q1717)</f>
        <v>90.195000000000007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42"/>
        <v>1708</v>
      </c>
      <c r="P1718" s="7">
        <f ca="1">SUMIFS($N$2:$N1718,$B$2:$B1718,"&lt;&gt;"&amp;B1718)+SUM($Q$2:$Q1718)</f>
        <v>90.195000000000007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42"/>
        <v>1709</v>
      </c>
      <c r="P1719" s="7">
        <f ca="1">SUMIFS($N$2:$N1719,$B$2:$B1719,"&lt;&gt;"&amp;B1719)+SUM($Q$2:$Q1719)</f>
        <v>90.195000000000007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42"/>
        <v>1710</v>
      </c>
      <c r="P1720" s="7">
        <f ca="1">SUMIFS($N$2:$N1720,$B$2:$B1720,"&lt;&gt;"&amp;B1720)+SUM($Q$2:$Q1720)</f>
        <v>90.195000000000007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42"/>
        <v>1711</v>
      </c>
      <c r="P1721" s="7">
        <f ca="1">SUMIFS($N$2:$N1721,$B$2:$B1721,"&lt;&gt;"&amp;B1721)+SUM($Q$2:$Q1721)</f>
        <v>90.195000000000007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42"/>
        <v>1712</v>
      </c>
      <c r="P1722" s="7">
        <f ca="1">SUMIFS($N$2:$N1722,$B$2:$B1722,"&lt;&gt;"&amp;B1722)+SUM($Q$2:$Q1722)</f>
        <v>90.195000000000007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42"/>
        <v>1713</v>
      </c>
      <c r="P1723" s="7">
        <f ca="1">SUMIFS($N$2:$N1723,$B$2:$B1723,"&lt;&gt;"&amp;B1723)+SUM($Q$2:$Q1723)</f>
        <v>90.195000000000007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42"/>
        <v>1714</v>
      </c>
      <c r="P1724" s="7">
        <f ca="1">SUMIFS($N$2:$N1724,$B$2:$B1724,"&lt;&gt;"&amp;B1724)+SUM($Q$2:$Q1724)</f>
        <v>90.195000000000007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42"/>
        <v>1715</v>
      </c>
      <c r="P1725" s="7">
        <f ca="1">SUMIFS($N$2:$N1725,$B$2:$B1725,"&lt;&gt;"&amp;B1725)+SUM($Q$2:$Q1725)</f>
        <v>90.195000000000007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42"/>
        <v>1716</v>
      </c>
      <c r="P1726" s="7">
        <f ca="1">SUMIFS($N$2:$N1726,$B$2:$B1726,"&lt;&gt;"&amp;B1726)+SUM($Q$2:$Q1726)</f>
        <v>90.195000000000007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42"/>
        <v>1717</v>
      </c>
      <c r="P1727" s="7">
        <f ca="1">SUMIFS($N$2:$N1727,$B$2:$B1727,"&lt;&gt;"&amp;B1727)+SUM($Q$2:$Q1727)</f>
        <v>90.195000000000007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42"/>
        <v>1718</v>
      </c>
      <c r="P1728" s="7">
        <f ca="1">SUMIFS($N$2:$N1728,$B$2:$B1728,"&lt;&gt;"&amp;B1728)+SUM($Q$2:$Q1728)</f>
        <v>90.195000000000007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42"/>
        <v>1719</v>
      </c>
      <c r="P1729" s="7">
        <f ca="1">SUMIFS($N$2:$N1729,$B$2:$B1729,"&lt;&gt;"&amp;B1729)+SUM($Q$2:$Q1729)</f>
        <v>90.195000000000007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42"/>
        <v>1720</v>
      </c>
      <c r="P1730" s="7">
        <f ca="1">SUMIFS($N$2:$N1730,$B$2:$B1730,"&lt;&gt;"&amp;B1730)+SUM($Q$2:$Q1730)</f>
        <v>90.195000000000007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ref="A1731:A1794" si="43">IF(AND(B1731="", D1731&lt;&gt;""), A1730, A1730+1)</f>
        <v>1721</v>
      </c>
      <c r="P1731" s="7">
        <f ca="1">SUMIFS($N$2:$N1731,$B$2:$B1731,"&lt;&gt;"&amp;B1731)+SUM($Q$2:$Q1731)</f>
        <v>90.195000000000007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43"/>
        <v>1722</v>
      </c>
      <c r="P1732" s="7">
        <f ca="1">SUMIFS($N$2:$N1732,$B$2:$B1732,"&lt;&gt;"&amp;B1732)+SUM($Q$2:$Q1732)</f>
        <v>90.195000000000007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43"/>
        <v>1723</v>
      </c>
      <c r="P1733" s="7">
        <f ca="1">SUMIFS($N$2:$N1733,$B$2:$B1733,"&lt;&gt;"&amp;B1733)+SUM($Q$2:$Q1733)</f>
        <v>90.195000000000007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43"/>
        <v>1724</v>
      </c>
      <c r="P1734" s="7">
        <f ca="1">SUMIFS($N$2:$N1734,$B$2:$B1734,"&lt;&gt;"&amp;B1734)+SUM($Q$2:$Q1734)</f>
        <v>90.195000000000007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43"/>
        <v>1725</v>
      </c>
      <c r="P1735" s="7">
        <f ca="1">SUMIFS($N$2:$N1735,$B$2:$B1735,"&lt;&gt;"&amp;B1735)+SUM($Q$2:$Q1735)</f>
        <v>90.195000000000007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43"/>
        <v>1726</v>
      </c>
      <c r="P1736" s="7">
        <f ca="1">SUMIFS($N$2:$N1736,$B$2:$B1736,"&lt;&gt;"&amp;B1736)+SUM($Q$2:$Q1736)</f>
        <v>90.195000000000007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43"/>
        <v>1727</v>
      </c>
      <c r="P1737" s="7">
        <f ca="1">SUMIFS($N$2:$N1737,$B$2:$B1737,"&lt;&gt;"&amp;B1737)+SUM($Q$2:$Q1737)</f>
        <v>90.195000000000007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43"/>
        <v>1728</v>
      </c>
      <c r="P1738" s="7">
        <f ca="1">SUMIFS($N$2:$N1738,$B$2:$B1738,"&lt;&gt;"&amp;B1738)+SUM($Q$2:$Q1738)</f>
        <v>90.195000000000007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43"/>
        <v>1729</v>
      </c>
      <c r="P1739" s="7">
        <f ca="1">SUMIFS($N$2:$N1739,$B$2:$B1739,"&lt;&gt;"&amp;B1739)+SUM($Q$2:$Q1739)</f>
        <v>90.195000000000007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43"/>
        <v>1730</v>
      </c>
      <c r="P1740" s="7">
        <f ca="1">SUMIFS($N$2:$N1740,$B$2:$B1740,"&lt;&gt;"&amp;B1740)+SUM($Q$2:$Q1740)</f>
        <v>90.195000000000007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43"/>
        <v>1731</v>
      </c>
      <c r="P1741" s="7">
        <f ca="1">SUMIFS($N$2:$N1741,$B$2:$B1741,"&lt;&gt;"&amp;B1741)+SUM($Q$2:$Q1741)</f>
        <v>90.195000000000007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43"/>
        <v>1732</v>
      </c>
      <c r="P1742" s="7">
        <f ca="1">SUMIFS($N$2:$N1742,$B$2:$B1742,"&lt;&gt;"&amp;B1742)+SUM($Q$2:$Q1742)</f>
        <v>90.195000000000007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43"/>
        <v>1733</v>
      </c>
      <c r="P1743" s="7">
        <f ca="1">SUMIFS($N$2:$N1743,$B$2:$B1743,"&lt;&gt;"&amp;B1743)+SUM($Q$2:$Q1743)</f>
        <v>90.195000000000007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43"/>
        <v>1734</v>
      </c>
      <c r="P1744" s="7">
        <f ca="1">SUMIFS($N$2:$N1744,$B$2:$B1744,"&lt;&gt;"&amp;B1744)+SUM($Q$2:$Q1744)</f>
        <v>90.195000000000007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43"/>
        <v>1735</v>
      </c>
      <c r="P1745" s="7">
        <f ca="1">SUMIFS($N$2:$N1745,$B$2:$B1745,"&lt;&gt;"&amp;B1745)+SUM($Q$2:$Q1745)</f>
        <v>90.195000000000007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43"/>
        <v>1736</v>
      </c>
      <c r="P1746" s="7">
        <f ca="1">SUMIFS($N$2:$N1746,$B$2:$B1746,"&lt;&gt;"&amp;B1746)+SUM($Q$2:$Q1746)</f>
        <v>90.195000000000007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43"/>
        <v>1737</v>
      </c>
      <c r="P1747" s="7">
        <f ca="1">SUMIFS($N$2:$N1747,$B$2:$B1747,"&lt;&gt;"&amp;B1747)+SUM($Q$2:$Q1747)</f>
        <v>90.195000000000007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43"/>
        <v>1738</v>
      </c>
      <c r="P1748" s="7">
        <f ca="1">SUMIFS($N$2:$N1748,$B$2:$B1748,"&lt;&gt;"&amp;B1748)+SUM($Q$2:$Q1748)</f>
        <v>90.195000000000007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43"/>
        <v>1739</v>
      </c>
      <c r="P1749" s="7">
        <f ca="1">SUMIFS($N$2:$N1749,$B$2:$B1749,"&lt;&gt;"&amp;B1749)+SUM($Q$2:$Q1749)</f>
        <v>90.195000000000007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43"/>
        <v>1740</v>
      </c>
      <c r="P1750" s="7">
        <f ca="1">SUMIFS($N$2:$N1750,$B$2:$B1750,"&lt;&gt;"&amp;B1750)+SUM($Q$2:$Q1750)</f>
        <v>90.195000000000007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43"/>
        <v>1741</v>
      </c>
      <c r="P1751" s="7">
        <f ca="1">SUMIFS($N$2:$N1751,$B$2:$B1751,"&lt;&gt;"&amp;B1751)+SUM($Q$2:$Q1751)</f>
        <v>90.195000000000007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43"/>
        <v>1742</v>
      </c>
      <c r="P1752" s="7">
        <f ca="1">SUMIFS($N$2:$N1752,$B$2:$B1752,"&lt;&gt;"&amp;B1752)+SUM($Q$2:$Q1752)</f>
        <v>90.195000000000007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43"/>
        <v>1743</v>
      </c>
      <c r="P1753" s="7">
        <f ca="1">SUMIFS($N$2:$N1753,$B$2:$B1753,"&lt;&gt;"&amp;B1753)+SUM($Q$2:$Q1753)</f>
        <v>90.195000000000007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43"/>
        <v>1744</v>
      </c>
      <c r="P1754" s="7">
        <f ca="1">SUMIFS($N$2:$N1754,$B$2:$B1754,"&lt;&gt;"&amp;B1754)+SUM($Q$2:$Q1754)</f>
        <v>90.195000000000007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43"/>
        <v>1745</v>
      </c>
      <c r="P1755" s="7">
        <f ca="1">SUMIFS($N$2:$N1755,$B$2:$B1755,"&lt;&gt;"&amp;B1755)+SUM($Q$2:$Q1755)</f>
        <v>90.195000000000007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43"/>
        <v>1746</v>
      </c>
      <c r="P1756" s="7">
        <f ca="1">SUMIFS($N$2:$N1756,$B$2:$B1756,"&lt;&gt;"&amp;B1756)+SUM($Q$2:$Q1756)</f>
        <v>90.195000000000007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43"/>
        <v>1747</v>
      </c>
      <c r="P1757" s="7">
        <f ca="1">SUMIFS($N$2:$N1757,$B$2:$B1757,"&lt;&gt;"&amp;B1757)+SUM($Q$2:$Q1757)</f>
        <v>90.195000000000007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43"/>
        <v>1748</v>
      </c>
      <c r="P1758" s="7">
        <f ca="1">SUMIFS($N$2:$N1758,$B$2:$B1758,"&lt;&gt;"&amp;B1758)+SUM($Q$2:$Q1758)</f>
        <v>90.195000000000007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43"/>
        <v>1749</v>
      </c>
      <c r="P1759" s="7">
        <f ca="1">SUMIFS($N$2:$N1759,$B$2:$B1759,"&lt;&gt;"&amp;B1759)+SUM($Q$2:$Q1759)</f>
        <v>90.195000000000007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43"/>
        <v>1750</v>
      </c>
      <c r="P1760" s="7">
        <f ca="1">SUMIFS($N$2:$N1760,$B$2:$B1760,"&lt;&gt;"&amp;B1760)+SUM($Q$2:$Q1760)</f>
        <v>90.195000000000007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43"/>
        <v>1751</v>
      </c>
      <c r="P1761" s="7">
        <f ca="1">SUMIFS($N$2:$N1761,$B$2:$B1761,"&lt;&gt;"&amp;B1761)+SUM($Q$2:$Q1761)</f>
        <v>90.195000000000007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si="43"/>
        <v>1752</v>
      </c>
      <c r="P1762" s="7">
        <f ca="1">SUMIFS($N$2:$N1762,$B$2:$B1762,"&lt;&gt;"&amp;B1762)+SUM($Q$2:$Q1762)</f>
        <v>90.195000000000007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43"/>
        <v>1753</v>
      </c>
      <c r="P1763" s="7">
        <f ca="1">SUMIFS($N$2:$N1763,$B$2:$B1763,"&lt;&gt;"&amp;B1763)+SUM($Q$2:$Q1763)</f>
        <v>90.195000000000007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43"/>
        <v>1754</v>
      </c>
      <c r="P1764" s="7">
        <f ca="1">SUMIFS($N$2:$N1764,$B$2:$B1764,"&lt;&gt;"&amp;B1764)+SUM($Q$2:$Q1764)</f>
        <v>90.195000000000007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43"/>
        <v>1755</v>
      </c>
      <c r="P1765" s="7">
        <f ca="1">SUMIFS($N$2:$N1765,$B$2:$B1765,"&lt;&gt;"&amp;B1765)+SUM($Q$2:$Q1765)</f>
        <v>90.195000000000007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43"/>
        <v>1756</v>
      </c>
      <c r="P1766" s="7">
        <f ca="1">SUMIFS($N$2:$N1766,$B$2:$B1766,"&lt;&gt;"&amp;B1766)+SUM($Q$2:$Q1766)</f>
        <v>90.195000000000007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43"/>
        <v>1757</v>
      </c>
      <c r="P1767" s="7">
        <f ca="1">SUMIFS($N$2:$N1767,$B$2:$B1767,"&lt;&gt;"&amp;B1767)+SUM($Q$2:$Q1767)</f>
        <v>90.195000000000007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43"/>
        <v>1758</v>
      </c>
      <c r="P1768" s="7">
        <f ca="1">SUMIFS($N$2:$N1768,$B$2:$B1768,"&lt;&gt;"&amp;B1768)+SUM($Q$2:$Q1768)</f>
        <v>90.195000000000007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43"/>
        <v>1759</v>
      </c>
      <c r="P1769" s="7">
        <f ca="1">SUMIFS($N$2:$N1769,$B$2:$B1769,"&lt;&gt;"&amp;B1769)+SUM($Q$2:$Q1769)</f>
        <v>90.195000000000007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43"/>
        <v>1760</v>
      </c>
      <c r="P1770" s="7">
        <f ca="1">SUMIFS($N$2:$N1770,$B$2:$B1770,"&lt;&gt;"&amp;B1770)+SUM($Q$2:$Q1770)</f>
        <v>90.195000000000007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43"/>
        <v>1761</v>
      </c>
      <c r="P1771" s="7">
        <f ca="1">SUMIFS($N$2:$N1771,$B$2:$B1771,"&lt;&gt;"&amp;B1771)+SUM($Q$2:$Q1771)</f>
        <v>90.195000000000007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43"/>
        <v>1762</v>
      </c>
      <c r="P1772" s="7">
        <f ca="1">SUMIFS($N$2:$N1772,$B$2:$B1772,"&lt;&gt;"&amp;B1772)+SUM($Q$2:$Q1772)</f>
        <v>90.195000000000007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43"/>
        <v>1763</v>
      </c>
      <c r="P1773" s="7">
        <f ca="1">SUMIFS($N$2:$N1773,$B$2:$B1773,"&lt;&gt;"&amp;B1773)+SUM($Q$2:$Q1773)</f>
        <v>90.195000000000007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43"/>
        <v>1764</v>
      </c>
      <c r="P1774" s="7">
        <f ca="1">SUMIFS($N$2:$N1774,$B$2:$B1774,"&lt;&gt;"&amp;B1774)+SUM($Q$2:$Q1774)</f>
        <v>90.195000000000007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43"/>
        <v>1765</v>
      </c>
      <c r="P1775" s="7">
        <f ca="1">SUMIFS($N$2:$N1775,$B$2:$B1775,"&lt;&gt;"&amp;B1775)+SUM($Q$2:$Q1775)</f>
        <v>90.195000000000007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43"/>
        <v>1766</v>
      </c>
      <c r="P1776" s="7">
        <f ca="1">SUMIFS($N$2:$N1776,$B$2:$B1776,"&lt;&gt;"&amp;B1776)+SUM($Q$2:$Q1776)</f>
        <v>90.195000000000007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43"/>
        <v>1767</v>
      </c>
      <c r="P1777" s="7">
        <f ca="1">SUMIFS($N$2:$N1777,$B$2:$B1777,"&lt;&gt;"&amp;B1777)+SUM($Q$2:$Q1777)</f>
        <v>90.195000000000007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43"/>
        <v>1768</v>
      </c>
      <c r="P1778" s="7">
        <f ca="1">SUMIFS($N$2:$N1778,$B$2:$B1778,"&lt;&gt;"&amp;B1778)+SUM($Q$2:$Q1778)</f>
        <v>90.195000000000007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43"/>
        <v>1769</v>
      </c>
      <c r="P1779" s="7">
        <f ca="1">SUMIFS($N$2:$N1779,$B$2:$B1779,"&lt;&gt;"&amp;B1779)+SUM($Q$2:$Q1779)</f>
        <v>90.195000000000007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43"/>
        <v>1770</v>
      </c>
      <c r="P1780" s="7">
        <f ca="1">SUMIFS($N$2:$N1780,$B$2:$B1780,"&lt;&gt;"&amp;B1780)+SUM($Q$2:$Q1780)</f>
        <v>90.195000000000007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43"/>
        <v>1771</v>
      </c>
      <c r="P1781" s="7">
        <f ca="1">SUMIFS($N$2:$N1781,$B$2:$B1781,"&lt;&gt;"&amp;B1781)+SUM($Q$2:$Q1781)</f>
        <v>90.195000000000007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43"/>
        <v>1772</v>
      </c>
      <c r="P1782" s="7">
        <f ca="1">SUMIFS($N$2:$N1782,$B$2:$B1782,"&lt;&gt;"&amp;B1782)+SUM($Q$2:$Q1782)</f>
        <v>90.195000000000007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43"/>
        <v>1773</v>
      </c>
      <c r="P1783" s="7">
        <f ca="1">SUMIFS($N$2:$N1783,$B$2:$B1783,"&lt;&gt;"&amp;B1783)+SUM($Q$2:$Q1783)</f>
        <v>90.195000000000007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43"/>
        <v>1774</v>
      </c>
      <c r="P1784" s="7">
        <f ca="1">SUMIFS($N$2:$N1784,$B$2:$B1784,"&lt;&gt;"&amp;B1784)+SUM($Q$2:$Q1784)</f>
        <v>90.195000000000007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43"/>
        <v>1775</v>
      </c>
      <c r="P1785" s="7">
        <f ca="1">SUMIFS($N$2:$N1785,$B$2:$B1785,"&lt;&gt;"&amp;B1785)+SUM($Q$2:$Q1785)</f>
        <v>90.195000000000007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43"/>
        <v>1776</v>
      </c>
      <c r="P1786" s="7">
        <f ca="1">SUMIFS($N$2:$N1786,$B$2:$B1786,"&lt;&gt;"&amp;B1786)+SUM($Q$2:$Q1786)</f>
        <v>90.195000000000007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43"/>
        <v>1777</v>
      </c>
      <c r="P1787" s="7">
        <f ca="1">SUMIFS($N$2:$N1787,$B$2:$B1787,"&lt;&gt;"&amp;B1787)+SUM($Q$2:$Q1787)</f>
        <v>90.195000000000007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43"/>
        <v>1778</v>
      </c>
      <c r="P1788" s="7">
        <f ca="1">SUMIFS($N$2:$N1788,$B$2:$B1788,"&lt;&gt;"&amp;B1788)+SUM($Q$2:$Q1788)</f>
        <v>90.195000000000007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43"/>
        <v>1779</v>
      </c>
      <c r="P1789" s="7">
        <f ca="1">SUMIFS($N$2:$N1789,$B$2:$B1789,"&lt;&gt;"&amp;B1789)+SUM($Q$2:$Q1789)</f>
        <v>90.195000000000007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43"/>
        <v>1780</v>
      </c>
      <c r="P1790" s="7">
        <f ca="1">SUMIFS($N$2:$N1790,$B$2:$B1790,"&lt;&gt;"&amp;B1790)+SUM($Q$2:$Q1790)</f>
        <v>90.195000000000007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43"/>
        <v>1781</v>
      </c>
      <c r="P1791" s="7">
        <f ca="1">SUMIFS($N$2:$N1791,$B$2:$B1791,"&lt;&gt;"&amp;B1791)+SUM($Q$2:$Q1791)</f>
        <v>90.195000000000007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43"/>
        <v>1782</v>
      </c>
      <c r="P1792" s="7">
        <f ca="1">SUMIFS($N$2:$N1792,$B$2:$B1792,"&lt;&gt;"&amp;B1792)+SUM($Q$2:$Q1792)</f>
        <v>90.195000000000007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43"/>
        <v>1783</v>
      </c>
      <c r="P1793" s="7">
        <f ca="1">SUMIFS($N$2:$N1793,$B$2:$B1793,"&lt;&gt;"&amp;B1793)+SUM($Q$2:$Q1793)</f>
        <v>90.195000000000007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43"/>
        <v>1784</v>
      </c>
      <c r="P1794" s="7">
        <f ca="1">SUMIFS($N$2:$N1794,$B$2:$B1794,"&lt;&gt;"&amp;B1794)+SUM($Q$2:$Q1794)</f>
        <v>90.195000000000007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ref="A1795:A1858" si="44">IF(AND(B1795="", D1795&lt;&gt;""), A1794, A1794+1)</f>
        <v>1785</v>
      </c>
      <c r="P1795" s="7">
        <f ca="1">SUMIFS($N$2:$N1795,$B$2:$B1795,"&lt;&gt;"&amp;B1795)+SUM($Q$2:$Q1795)</f>
        <v>90.195000000000007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44"/>
        <v>1786</v>
      </c>
      <c r="P1796" s="7">
        <f ca="1">SUMIFS($N$2:$N1796,$B$2:$B1796,"&lt;&gt;"&amp;B1796)+SUM($Q$2:$Q1796)</f>
        <v>90.195000000000007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44"/>
        <v>1787</v>
      </c>
      <c r="P1797" s="7">
        <f ca="1">SUMIFS($N$2:$N1797,$B$2:$B1797,"&lt;&gt;"&amp;B1797)+SUM($Q$2:$Q1797)</f>
        <v>90.195000000000007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44"/>
        <v>1788</v>
      </c>
      <c r="P1798" s="7">
        <f ca="1">SUMIFS($N$2:$N1798,$B$2:$B1798,"&lt;&gt;"&amp;B1798)+SUM($Q$2:$Q1798)</f>
        <v>90.195000000000007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44"/>
        <v>1789</v>
      </c>
      <c r="P1799" s="7">
        <f ca="1">SUMIFS($N$2:$N1799,$B$2:$B1799,"&lt;&gt;"&amp;B1799)+SUM($Q$2:$Q1799)</f>
        <v>90.195000000000007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44"/>
        <v>1790</v>
      </c>
      <c r="P1800" s="7">
        <f ca="1">SUMIFS($N$2:$N1800,$B$2:$B1800,"&lt;&gt;"&amp;B1800)+SUM($Q$2:$Q1800)</f>
        <v>90.195000000000007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44"/>
        <v>1791</v>
      </c>
      <c r="P1801" s="7">
        <f ca="1">SUMIFS($N$2:$N1801,$B$2:$B1801,"&lt;&gt;"&amp;B1801)+SUM($Q$2:$Q1801)</f>
        <v>90.195000000000007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44"/>
        <v>1792</v>
      </c>
      <c r="P1802" s="7">
        <f ca="1">SUMIFS($N$2:$N1802,$B$2:$B1802,"&lt;&gt;"&amp;B1802)+SUM($Q$2:$Q1802)</f>
        <v>90.195000000000007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44"/>
        <v>1793</v>
      </c>
      <c r="P1803" s="7">
        <f ca="1">SUMIFS($N$2:$N1803,$B$2:$B1803,"&lt;&gt;"&amp;B1803)+SUM($Q$2:$Q1803)</f>
        <v>90.195000000000007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44"/>
        <v>1794</v>
      </c>
      <c r="P1804" s="7">
        <f ca="1">SUMIFS($N$2:$N1804,$B$2:$B1804,"&lt;&gt;"&amp;B1804)+SUM($Q$2:$Q1804)</f>
        <v>90.195000000000007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44"/>
        <v>1795</v>
      </c>
      <c r="P1805" s="7">
        <f ca="1">SUMIFS($N$2:$N1805,$B$2:$B1805,"&lt;&gt;"&amp;B1805)+SUM($Q$2:$Q1805)</f>
        <v>90.195000000000007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44"/>
        <v>1796</v>
      </c>
      <c r="P1806" s="7">
        <f ca="1">SUMIFS($N$2:$N1806,$B$2:$B1806,"&lt;&gt;"&amp;B1806)+SUM($Q$2:$Q1806)</f>
        <v>90.195000000000007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44"/>
        <v>1797</v>
      </c>
      <c r="P1807" s="7">
        <f ca="1">SUMIFS($N$2:$N1807,$B$2:$B1807,"&lt;&gt;"&amp;B1807)+SUM($Q$2:$Q1807)</f>
        <v>90.195000000000007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44"/>
        <v>1798</v>
      </c>
      <c r="P1808" s="7">
        <f ca="1">SUMIFS($N$2:$N1808,$B$2:$B1808,"&lt;&gt;"&amp;B1808)+SUM($Q$2:$Q1808)</f>
        <v>90.195000000000007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44"/>
        <v>1799</v>
      </c>
      <c r="P1809" s="7">
        <f ca="1">SUMIFS($N$2:$N1809,$B$2:$B1809,"&lt;&gt;"&amp;B1809)+SUM($Q$2:$Q1809)</f>
        <v>90.195000000000007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44"/>
        <v>1800</v>
      </c>
      <c r="P1810" s="7">
        <f ca="1">SUMIFS($N$2:$N1810,$B$2:$B1810,"&lt;&gt;"&amp;B1810)+SUM($Q$2:$Q1810)</f>
        <v>90.195000000000007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44"/>
        <v>1801</v>
      </c>
      <c r="P1811" s="7">
        <f ca="1">SUMIFS($N$2:$N1811,$B$2:$B1811,"&lt;&gt;"&amp;B1811)+SUM($Q$2:$Q1811)</f>
        <v>90.195000000000007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44"/>
        <v>1802</v>
      </c>
      <c r="P1812" s="7">
        <f ca="1">SUMIFS($N$2:$N1812,$B$2:$B1812,"&lt;&gt;"&amp;B1812)+SUM($Q$2:$Q1812)</f>
        <v>90.195000000000007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44"/>
        <v>1803</v>
      </c>
      <c r="P1813" s="7">
        <f ca="1">SUMIFS($N$2:$N1813,$B$2:$B1813,"&lt;&gt;"&amp;B1813)+SUM($Q$2:$Q1813)</f>
        <v>90.195000000000007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44"/>
        <v>1804</v>
      </c>
      <c r="P1814" s="7">
        <f ca="1">SUMIFS($N$2:$N1814,$B$2:$B1814,"&lt;&gt;"&amp;B1814)+SUM($Q$2:$Q1814)</f>
        <v>90.195000000000007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44"/>
        <v>1805</v>
      </c>
      <c r="P1815" s="7">
        <f ca="1">SUMIFS($N$2:$N1815,$B$2:$B1815,"&lt;&gt;"&amp;B1815)+SUM($Q$2:$Q1815)</f>
        <v>90.195000000000007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44"/>
        <v>1806</v>
      </c>
      <c r="P1816" s="7">
        <f ca="1">SUMIFS($N$2:$N1816,$B$2:$B1816,"&lt;&gt;"&amp;B1816)+SUM($Q$2:$Q1816)</f>
        <v>90.195000000000007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44"/>
        <v>1807</v>
      </c>
      <c r="P1817" s="7">
        <f ca="1">SUMIFS($N$2:$N1817,$B$2:$B1817,"&lt;&gt;"&amp;B1817)+SUM($Q$2:$Q1817)</f>
        <v>90.195000000000007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44"/>
        <v>1808</v>
      </c>
      <c r="P1818" s="7">
        <f ca="1">SUMIFS($N$2:$N1818,$B$2:$B1818,"&lt;&gt;"&amp;B1818)+SUM($Q$2:$Q1818)</f>
        <v>90.195000000000007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44"/>
        <v>1809</v>
      </c>
      <c r="P1819" s="7">
        <f ca="1">SUMIFS($N$2:$N1819,$B$2:$B1819,"&lt;&gt;"&amp;B1819)+SUM($Q$2:$Q1819)</f>
        <v>90.195000000000007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44"/>
        <v>1810</v>
      </c>
      <c r="P1820" s="7">
        <f ca="1">SUMIFS($N$2:$N1820,$B$2:$B1820,"&lt;&gt;"&amp;B1820)+SUM($Q$2:$Q1820)</f>
        <v>90.195000000000007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44"/>
        <v>1811</v>
      </c>
      <c r="P1821" s="7">
        <f ca="1">SUMIFS($N$2:$N1821,$B$2:$B1821,"&lt;&gt;"&amp;B1821)+SUM($Q$2:$Q1821)</f>
        <v>90.195000000000007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44"/>
        <v>1812</v>
      </c>
      <c r="P1822" s="7">
        <f ca="1">SUMIFS($N$2:$N1822,$B$2:$B1822,"&lt;&gt;"&amp;B1822)+SUM($Q$2:$Q1822)</f>
        <v>90.195000000000007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44"/>
        <v>1813</v>
      </c>
      <c r="P1823" s="7">
        <f ca="1">SUMIFS($N$2:$N1823,$B$2:$B1823,"&lt;&gt;"&amp;B1823)+SUM($Q$2:$Q1823)</f>
        <v>90.195000000000007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44"/>
        <v>1814</v>
      </c>
      <c r="P1824" s="7">
        <f ca="1">SUMIFS($N$2:$N1824,$B$2:$B1824,"&lt;&gt;"&amp;B1824)+SUM($Q$2:$Q1824)</f>
        <v>90.195000000000007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44"/>
        <v>1815</v>
      </c>
      <c r="P1825" s="7">
        <f ca="1">SUMIFS($N$2:$N1825,$B$2:$B1825,"&lt;&gt;"&amp;B1825)+SUM($Q$2:$Q1825)</f>
        <v>90.195000000000007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si="44"/>
        <v>1816</v>
      </c>
      <c r="P1826" s="7">
        <f ca="1">SUMIFS($N$2:$N1826,$B$2:$B1826,"&lt;&gt;"&amp;B1826)+SUM($Q$2:$Q1826)</f>
        <v>90.195000000000007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44"/>
        <v>1817</v>
      </c>
      <c r="P1827" s="7">
        <f ca="1">SUMIFS($N$2:$N1827,$B$2:$B1827,"&lt;&gt;"&amp;B1827)+SUM($Q$2:$Q1827)</f>
        <v>90.195000000000007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44"/>
        <v>1818</v>
      </c>
      <c r="P1828" s="7">
        <f ca="1">SUMIFS($N$2:$N1828,$B$2:$B1828,"&lt;&gt;"&amp;B1828)+SUM($Q$2:$Q1828)</f>
        <v>90.195000000000007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44"/>
        <v>1819</v>
      </c>
      <c r="P1829" s="7">
        <f ca="1">SUMIFS($N$2:$N1829,$B$2:$B1829,"&lt;&gt;"&amp;B1829)+SUM($Q$2:$Q1829)</f>
        <v>90.195000000000007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44"/>
        <v>1820</v>
      </c>
      <c r="P1830" s="7">
        <f ca="1">SUMIFS($N$2:$N1830,$B$2:$B1830,"&lt;&gt;"&amp;B1830)+SUM($Q$2:$Q1830)</f>
        <v>90.195000000000007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44"/>
        <v>1821</v>
      </c>
      <c r="P1831" s="7">
        <f ca="1">SUMIFS($N$2:$N1831,$B$2:$B1831,"&lt;&gt;"&amp;B1831)+SUM($Q$2:$Q1831)</f>
        <v>90.195000000000007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44"/>
        <v>1822</v>
      </c>
      <c r="P1832" s="7">
        <f ca="1">SUMIFS($N$2:$N1832,$B$2:$B1832,"&lt;&gt;"&amp;B1832)+SUM($Q$2:$Q1832)</f>
        <v>90.195000000000007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44"/>
        <v>1823</v>
      </c>
      <c r="P1833" s="7">
        <f ca="1">SUMIFS($N$2:$N1833,$B$2:$B1833,"&lt;&gt;"&amp;B1833)+SUM($Q$2:$Q1833)</f>
        <v>90.195000000000007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44"/>
        <v>1824</v>
      </c>
      <c r="P1834" s="7">
        <f ca="1">SUMIFS($N$2:$N1834,$B$2:$B1834,"&lt;&gt;"&amp;B1834)+SUM($Q$2:$Q1834)</f>
        <v>90.195000000000007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44"/>
        <v>1825</v>
      </c>
      <c r="P1835" s="7">
        <f ca="1">SUMIFS($N$2:$N1835,$B$2:$B1835,"&lt;&gt;"&amp;B1835)+SUM($Q$2:$Q1835)</f>
        <v>90.195000000000007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44"/>
        <v>1826</v>
      </c>
      <c r="P1836" s="7">
        <f ca="1">SUMIFS($N$2:$N1836,$B$2:$B1836,"&lt;&gt;"&amp;B1836)+SUM($Q$2:$Q1836)</f>
        <v>90.195000000000007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44"/>
        <v>1827</v>
      </c>
      <c r="P1837" s="7">
        <f ca="1">SUMIFS($N$2:$N1837,$B$2:$B1837,"&lt;&gt;"&amp;B1837)+SUM($Q$2:$Q1837)</f>
        <v>90.195000000000007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44"/>
        <v>1828</v>
      </c>
      <c r="P1838" s="7">
        <f ca="1">SUMIFS($N$2:$N1838,$B$2:$B1838,"&lt;&gt;"&amp;B1838)+SUM($Q$2:$Q1838)</f>
        <v>90.195000000000007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44"/>
        <v>1829</v>
      </c>
      <c r="P1839" s="7">
        <f ca="1">SUMIFS($N$2:$N1839,$B$2:$B1839,"&lt;&gt;"&amp;B1839)+SUM($Q$2:$Q1839)</f>
        <v>90.195000000000007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44"/>
        <v>1830</v>
      </c>
      <c r="P1840" s="7">
        <f ca="1">SUMIFS($N$2:$N1840,$B$2:$B1840,"&lt;&gt;"&amp;B1840)+SUM($Q$2:$Q1840)</f>
        <v>90.195000000000007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44"/>
        <v>1831</v>
      </c>
      <c r="P1841" s="7">
        <f ca="1">SUMIFS($N$2:$N1841,$B$2:$B1841,"&lt;&gt;"&amp;B1841)+SUM($Q$2:$Q1841)</f>
        <v>90.195000000000007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44"/>
        <v>1832</v>
      </c>
      <c r="P1842" s="7">
        <f ca="1">SUMIFS($N$2:$N1842,$B$2:$B1842,"&lt;&gt;"&amp;B1842)+SUM($Q$2:$Q1842)</f>
        <v>90.195000000000007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44"/>
        <v>1833</v>
      </c>
      <c r="P1843" s="7">
        <f ca="1">SUMIFS($N$2:$N1843,$B$2:$B1843,"&lt;&gt;"&amp;B1843)+SUM($Q$2:$Q1843)</f>
        <v>90.195000000000007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44"/>
        <v>1834</v>
      </c>
      <c r="P1844" s="7">
        <f ca="1">SUMIFS($N$2:$N1844,$B$2:$B1844,"&lt;&gt;"&amp;B1844)+SUM($Q$2:$Q1844)</f>
        <v>90.195000000000007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44"/>
        <v>1835</v>
      </c>
      <c r="P1845" s="7">
        <f ca="1">SUMIFS($N$2:$N1845,$B$2:$B1845,"&lt;&gt;"&amp;B1845)+SUM($Q$2:$Q1845)</f>
        <v>90.195000000000007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44"/>
        <v>1836</v>
      </c>
      <c r="P1846" s="7">
        <f ca="1">SUMIFS($N$2:$N1846,$B$2:$B1846,"&lt;&gt;"&amp;B1846)+SUM($Q$2:$Q1846)</f>
        <v>90.195000000000007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44"/>
        <v>1837</v>
      </c>
      <c r="P1847" s="7">
        <f ca="1">SUMIFS($N$2:$N1847,$B$2:$B1847,"&lt;&gt;"&amp;B1847)+SUM($Q$2:$Q1847)</f>
        <v>90.195000000000007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44"/>
        <v>1838</v>
      </c>
      <c r="P1848" s="7">
        <f ca="1">SUMIFS($N$2:$N1848,$B$2:$B1848,"&lt;&gt;"&amp;B1848)+SUM($Q$2:$Q1848)</f>
        <v>90.195000000000007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44"/>
        <v>1839</v>
      </c>
      <c r="P1849" s="7">
        <f ca="1">SUMIFS($N$2:$N1849,$B$2:$B1849,"&lt;&gt;"&amp;B1849)+SUM($Q$2:$Q1849)</f>
        <v>90.195000000000007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44"/>
        <v>1840</v>
      </c>
      <c r="P1850" s="7">
        <f ca="1">SUMIFS($N$2:$N1850,$B$2:$B1850,"&lt;&gt;"&amp;B1850)+SUM($Q$2:$Q1850)</f>
        <v>90.195000000000007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44"/>
        <v>1841</v>
      </c>
      <c r="P1851" s="7">
        <f ca="1">SUMIFS($N$2:$N1851,$B$2:$B1851,"&lt;&gt;"&amp;B1851)+SUM($Q$2:$Q1851)</f>
        <v>90.195000000000007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44"/>
        <v>1842</v>
      </c>
      <c r="P1852" s="7">
        <f ca="1">SUMIFS($N$2:$N1852,$B$2:$B1852,"&lt;&gt;"&amp;B1852)+SUM($Q$2:$Q1852)</f>
        <v>90.195000000000007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44"/>
        <v>1843</v>
      </c>
      <c r="P1853" s="7">
        <f ca="1">SUMIFS($N$2:$N1853,$B$2:$B1853,"&lt;&gt;"&amp;B1853)+SUM($Q$2:$Q1853)</f>
        <v>90.195000000000007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44"/>
        <v>1844</v>
      </c>
      <c r="P1854" s="7">
        <f ca="1">SUMIFS($N$2:$N1854,$B$2:$B1854,"&lt;&gt;"&amp;B1854)+SUM($Q$2:$Q1854)</f>
        <v>90.195000000000007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44"/>
        <v>1845</v>
      </c>
      <c r="P1855" s="7">
        <f ca="1">SUMIFS($N$2:$N1855,$B$2:$B1855,"&lt;&gt;"&amp;B1855)+SUM($Q$2:$Q1855)</f>
        <v>90.195000000000007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44"/>
        <v>1846</v>
      </c>
      <c r="P1856" s="7">
        <f ca="1">SUMIFS($N$2:$N1856,$B$2:$B1856,"&lt;&gt;"&amp;B1856)+SUM($Q$2:$Q1856)</f>
        <v>90.195000000000007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44"/>
        <v>1847</v>
      </c>
      <c r="P1857" s="7">
        <f ca="1">SUMIFS($N$2:$N1857,$B$2:$B1857,"&lt;&gt;"&amp;B1857)+SUM($Q$2:$Q1857)</f>
        <v>90.195000000000007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44"/>
        <v>1848</v>
      </c>
      <c r="P1858" s="7">
        <f ca="1">SUMIFS($N$2:$N1858,$B$2:$B1858,"&lt;&gt;"&amp;B1858)+SUM($Q$2:$Q1858)</f>
        <v>90.195000000000007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ref="A1859:A1922" si="45">IF(AND(B1859="", D1859&lt;&gt;""), A1858, A1858+1)</f>
        <v>1849</v>
      </c>
      <c r="P1859" s="7">
        <f ca="1">SUMIFS($N$2:$N1859,$B$2:$B1859,"&lt;&gt;"&amp;B1859)+SUM($Q$2:$Q1859)</f>
        <v>90.195000000000007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45"/>
        <v>1850</v>
      </c>
      <c r="P1860" s="7">
        <f ca="1">SUMIFS($N$2:$N1860,$B$2:$B1860,"&lt;&gt;"&amp;B1860)+SUM($Q$2:$Q1860)</f>
        <v>90.195000000000007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45"/>
        <v>1851</v>
      </c>
      <c r="P1861" s="7">
        <f ca="1">SUMIFS($N$2:$N1861,$B$2:$B1861,"&lt;&gt;"&amp;B1861)+SUM($Q$2:$Q1861)</f>
        <v>90.195000000000007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45"/>
        <v>1852</v>
      </c>
      <c r="P1862" s="7">
        <f ca="1">SUMIFS($N$2:$N1862,$B$2:$B1862,"&lt;&gt;"&amp;B1862)+SUM($Q$2:$Q1862)</f>
        <v>90.195000000000007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45"/>
        <v>1853</v>
      </c>
      <c r="P1863" s="7">
        <f ca="1">SUMIFS($N$2:$N1863,$B$2:$B1863,"&lt;&gt;"&amp;B1863)+SUM($Q$2:$Q1863)</f>
        <v>90.195000000000007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45"/>
        <v>1854</v>
      </c>
      <c r="P1864" s="7">
        <f ca="1">SUMIFS($N$2:$N1864,$B$2:$B1864,"&lt;&gt;"&amp;B1864)+SUM($Q$2:$Q1864)</f>
        <v>90.195000000000007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45"/>
        <v>1855</v>
      </c>
      <c r="P1865" s="7">
        <f ca="1">SUMIFS($N$2:$N1865,$B$2:$B1865,"&lt;&gt;"&amp;B1865)+SUM($Q$2:$Q1865)</f>
        <v>90.195000000000007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45"/>
        <v>1856</v>
      </c>
      <c r="P1866" s="7">
        <f ca="1">SUMIFS($N$2:$N1866,$B$2:$B1866,"&lt;&gt;"&amp;B1866)+SUM($Q$2:$Q1866)</f>
        <v>90.195000000000007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45"/>
        <v>1857</v>
      </c>
      <c r="P1867" s="7">
        <f ca="1">SUMIFS($N$2:$N1867,$B$2:$B1867,"&lt;&gt;"&amp;B1867)+SUM($Q$2:$Q1867)</f>
        <v>90.195000000000007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45"/>
        <v>1858</v>
      </c>
      <c r="P1868" s="7">
        <f ca="1">SUMIFS($N$2:$N1868,$B$2:$B1868,"&lt;&gt;"&amp;B1868)+SUM($Q$2:$Q1868)</f>
        <v>90.195000000000007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45"/>
        <v>1859</v>
      </c>
      <c r="P1869" s="7">
        <f ca="1">SUMIFS($N$2:$N1869,$B$2:$B1869,"&lt;&gt;"&amp;B1869)+SUM($Q$2:$Q1869)</f>
        <v>90.195000000000007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45"/>
        <v>1860</v>
      </c>
      <c r="P1870" s="7">
        <f ca="1">SUMIFS($N$2:$N1870,$B$2:$B1870,"&lt;&gt;"&amp;B1870)+SUM($Q$2:$Q1870)</f>
        <v>90.195000000000007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45"/>
        <v>1861</v>
      </c>
      <c r="P1871" s="7">
        <f ca="1">SUMIFS($N$2:$N1871,$B$2:$B1871,"&lt;&gt;"&amp;B1871)+SUM($Q$2:$Q1871)</f>
        <v>90.195000000000007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45"/>
        <v>1862</v>
      </c>
      <c r="P1872" s="7">
        <f ca="1">SUMIFS($N$2:$N1872,$B$2:$B1872,"&lt;&gt;"&amp;B1872)+SUM($Q$2:$Q1872)</f>
        <v>90.195000000000007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45"/>
        <v>1863</v>
      </c>
      <c r="P1873" s="7">
        <f ca="1">SUMIFS($N$2:$N1873,$B$2:$B1873,"&lt;&gt;"&amp;B1873)+SUM($Q$2:$Q1873)</f>
        <v>90.195000000000007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45"/>
        <v>1864</v>
      </c>
      <c r="P1874" s="7">
        <f ca="1">SUMIFS($N$2:$N1874,$B$2:$B1874,"&lt;&gt;"&amp;B1874)+SUM($Q$2:$Q1874)</f>
        <v>90.195000000000007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45"/>
        <v>1865</v>
      </c>
      <c r="P1875" s="7">
        <f ca="1">SUMIFS($N$2:$N1875,$B$2:$B1875,"&lt;&gt;"&amp;B1875)+SUM($Q$2:$Q1875)</f>
        <v>90.195000000000007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45"/>
        <v>1866</v>
      </c>
      <c r="P1876" s="7">
        <f ca="1">SUMIFS($N$2:$N1876,$B$2:$B1876,"&lt;&gt;"&amp;B1876)+SUM($Q$2:$Q1876)</f>
        <v>90.195000000000007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45"/>
        <v>1867</v>
      </c>
      <c r="P1877" s="7">
        <f ca="1">SUMIFS($N$2:$N1877,$B$2:$B1877,"&lt;&gt;"&amp;B1877)+SUM($Q$2:$Q1877)</f>
        <v>90.195000000000007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45"/>
        <v>1868</v>
      </c>
      <c r="P1878" s="7">
        <f ca="1">SUMIFS($N$2:$N1878,$B$2:$B1878,"&lt;&gt;"&amp;B1878)+SUM($Q$2:$Q1878)</f>
        <v>90.195000000000007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45"/>
        <v>1869</v>
      </c>
      <c r="P1879" s="7">
        <f ca="1">SUMIFS($N$2:$N1879,$B$2:$B1879,"&lt;&gt;"&amp;B1879)+SUM($Q$2:$Q1879)</f>
        <v>90.195000000000007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45"/>
        <v>1870</v>
      </c>
      <c r="P1880" s="7">
        <f ca="1">SUMIFS($N$2:$N1880,$B$2:$B1880,"&lt;&gt;"&amp;B1880)+SUM($Q$2:$Q1880)</f>
        <v>90.195000000000007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45"/>
        <v>1871</v>
      </c>
      <c r="P1881" s="7">
        <f ca="1">SUMIFS($N$2:$N1881,$B$2:$B1881,"&lt;&gt;"&amp;B1881)+SUM($Q$2:$Q1881)</f>
        <v>90.195000000000007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45"/>
        <v>1872</v>
      </c>
      <c r="P1882" s="7">
        <f ca="1">SUMIFS($N$2:$N1882,$B$2:$B1882,"&lt;&gt;"&amp;B1882)+SUM($Q$2:$Q1882)</f>
        <v>90.195000000000007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45"/>
        <v>1873</v>
      </c>
      <c r="P1883" s="7">
        <f ca="1">SUMIFS($N$2:$N1883,$B$2:$B1883,"&lt;&gt;"&amp;B1883)+SUM($Q$2:$Q1883)</f>
        <v>90.195000000000007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45"/>
        <v>1874</v>
      </c>
      <c r="P1884" s="7">
        <f ca="1">SUMIFS($N$2:$N1884,$B$2:$B1884,"&lt;&gt;"&amp;B1884)+SUM($Q$2:$Q1884)</f>
        <v>90.195000000000007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45"/>
        <v>1875</v>
      </c>
      <c r="P1885" s="7">
        <f ca="1">SUMIFS($N$2:$N1885,$B$2:$B1885,"&lt;&gt;"&amp;B1885)+SUM($Q$2:$Q1885)</f>
        <v>90.195000000000007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45"/>
        <v>1876</v>
      </c>
      <c r="P1886" s="7">
        <f ca="1">SUMIFS($N$2:$N1886,$B$2:$B1886,"&lt;&gt;"&amp;B1886)+SUM($Q$2:$Q1886)</f>
        <v>90.195000000000007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45"/>
        <v>1877</v>
      </c>
      <c r="P1887" s="7">
        <f ca="1">SUMIFS($N$2:$N1887,$B$2:$B1887,"&lt;&gt;"&amp;B1887)+SUM($Q$2:$Q1887)</f>
        <v>90.195000000000007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45"/>
        <v>1878</v>
      </c>
      <c r="P1888" s="7">
        <f ca="1">SUMIFS($N$2:$N1888,$B$2:$B1888,"&lt;&gt;"&amp;B1888)+SUM($Q$2:$Q1888)</f>
        <v>90.195000000000007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45"/>
        <v>1879</v>
      </c>
      <c r="P1889" s="7">
        <f ca="1">SUMIFS($N$2:$N1889,$B$2:$B1889,"&lt;&gt;"&amp;B1889)+SUM($Q$2:$Q1889)</f>
        <v>90.195000000000007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si="45"/>
        <v>1880</v>
      </c>
      <c r="P1890" s="7">
        <f ca="1">SUMIFS($N$2:$N1890,$B$2:$B1890,"&lt;&gt;"&amp;B1890)+SUM($Q$2:$Q1890)</f>
        <v>90.195000000000007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45"/>
        <v>1881</v>
      </c>
      <c r="P1891" s="7">
        <f ca="1">SUMIFS($N$2:$N1891,$B$2:$B1891,"&lt;&gt;"&amp;B1891)+SUM($Q$2:$Q1891)</f>
        <v>90.195000000000007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45"/>
        <v>1882</v>
      </c>
      <c r="P1892" s="7">
        <f ca="1">SUMIFS($N$2:$N1892,$B$2:$B1892,"&lt;&gt;"&amp;B1892)+SUM($Q$2:$Q1892)</f>
        <v>90.195000000000007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45"/>
        <v>1883</v>
      </c>
      <c r="P1893" s="7">
        <f ca="1">SUMIFS($N$2:$N1893,$B$2:$B1893,"&lt;&gt;"&amp;B1893)+SUM($Q$2:$Q1893)</f>
        <v>90.195000000000007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45"/>
        <v>1884</v>
      </c>
      <c r="P1894" s="7">
        <f ca="1">SUMIFS($N$2:$N1894,$B$2:$B1894,"&lt;&gt;"&amp;B1894)+SUM($Q$2:$Q1894)</f>
        <v>90.195000000000007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45"/>
        <v>1885</v>
      </c>
      <c r="P1895" s="7">
        <f ca="1">SUMIFS($N$2:$N1895,$B$2:$B1895,"&lt;&gt;"&amp;B1895)+SUM($Q$2:$Q1895)</f>
        <v>90.195000000000007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45"/>
        <v>1886</v>
      </c>
      <c r="P1896" s="7">
        <f ca="1">SUMIFS($N$2:$N1896,$B$2:$B1896,"&lt;&gt;"&amp;B1896)+SUM($Q$2:$Q1896)</f>
        <v>90.195000000000007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45"/>
        <v>1887</v>
      </c>
      <c r="P1897" s="7">
        <f ca="1">SUMIFS($N$2:$N1897,$B$2:$B1897,"&lt;&gt;"&amp;B1897)+SUM($Q$2:$Q1897)</f>
        <v>90.195000000000007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45"/>
        <v>1888</v>
      </c>
      <c r="P1898" s="7">
        <f ca="1">SUMIFS($N$2:$N1898,$B$2:$B1898,"&lt;&gt;"&amp;B1898)+SUM($Q$2:$Q1898)</f>
        <v>90.195000000000007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45"/>
        <v>1889</v>
      </c>
      <c r="P1899" s="7">
        <f ca="1">SUMIFS($N$2:$N1899,$B$2:$B1899,"&lt;&gt;"&amp;B1899)+SUM($Q$2:$Q1899)</f>
        <v>90.195000000000007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45"/>
        <v>1890</v>
      </c>
      <c r="P1900" s="7">
        <f ca="1">SUMIFS($N$2:$N1900,$B$2:$B1900,"&lt;&gt;"&amp;B1900)+SUM($Q$2:$Q1900)</f>
        <v>90.195000000000007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45"/>
        <v>1891</v>
      </c>
      <c r="P1901" s="7">
        <f ca="1">SUMIFS($N$2:$N1901,$B$2:$B1901,"&lt;&gt;"&amp;B1901)+SUM($Q$2:$Q1901)</f>
        <v>90.195000000000007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45"/>
        <v>1892</v>
      </c>
      <c r="P1902" s="7">
        <f ca="1">SUMIFS($N$2:$N1902,$B$2:$B1902,"&lt;&gt;"&amp;B1902)+SUM($Q$2:$Q1902)</f>
        <v>90.195000000000007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45"/>
        <v>1893</v>
      </c>
      <c r="P1903" s="7">
        <f ca="1">SUMIFS($N$2:$N1903,$B$2:$B1903,"&lt;&gt;"&amp;B1903)+SUM($Q$2:$Q1903)</f>
        <v>90.195000000000007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45"/>
        <v>1894</v>
      </c>
      <c r="P1904" s="7">
        <f ca="1">SUMIFS($N$2:$N1904,$B$2:$B1904,"&lt;&gt;"&amp;B1904)+SUM($Q$2:$Q1904)</f>
        <v>90.195000000000007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45"/>
        <v>1895</v>
      </c>
      <c r="P1905" s="7">
        <f ca="1">SUMIFS($N$2:$N1905,$B$2:$B1905,"&lt;&gt;"&amp;B1905)+SUM($Q$2:$Q1905)</f>
        <v>90.195000000000007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45"/>
        <v>1896</v>
      </c>
      <c r="P1906" s="7">
        <f ca="1">SUMIFS($N$2:$N1906,$B$2:$B1906,"&lt;&gt;"&amp;B1906)+SUM($Q$2:$Q1906)</f>
        <v>90.195000000000007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45"/>
        <v>1897</v>
      </c>
      <c r="P1907" s="7">
        <f ca="1">SUMIFS($N$2:$N1907,$B$2:$B1907,"&lt;&gt;"&amp;B1907)+SUM($Q$2:$Q1907)</f>
        <v>90.195000000000007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45"/>
        <v>1898</v>
      </c>
      <c r="P1908" s="7">
        <f ca="1">SUMIFS($N$2:$N1908,$B$2:$B1908,"&lt;&gt;"&amp;B1908)+SUM($Q$2:$Q1908)</f>
        <v>90.195000000000007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45"/>
        <v>1899</v>
      </c>
      <c r="P1909" s="7">
        <f ca="1">SUMIFS($N$2:$N1909,$B$2:$B1909,"&lt;&gt;"&amp;B1909)+SUM($Q$2:$Q1909)</f>
        <v>90.195000000000007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45"/>
        <v>1900</v>
      </c>
      <c r="P1910" s="7">
        <f ca="1">SUMIFS($N$2:$N1910,$B$2:$B1910,"&lt;&gt;"&amp;B1910)+SUM($Q$2:$Q1910)</f>
        <v>90.195000000000007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45"/>
        <v>1901</v>
      </c>
      <c r="P1911" s="7">
        <f ca="1">SUMIFS($N$2:$N1911,$B$2:$B1911,"&lt;&gt;"&amp;B1911)+SUM($Q$2:$Q1911)</f>
        <v>90.195000000000007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45"/>
        <v>1902</v>
      </c>
      <c r="P1912" s="7">
        <f ca="1">SUMIFS($N$2:$N1912,$B$2:$B1912,"&lt;&gt;"&amp;B1912)+SUM($Q$2:$Q1912)</f>
        <v>90.195000000000007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45"/>
        <v>1903</v>
      </c>
      <c r="P1913" s="7">
        <f ca="1">SUMIFS($N$2:$N1913,$B$2:$B1913,"&lt;&gt;"&amp;B1913)+SUM($Q$2:$Q1913)</f>
        <v>90.195000000000007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45"/>
        <v>1904</v>
      </c>
      <c r="P1914" s="7">
        <f ca="1">SUMIFS($N$2:$N1914,$B$2:$B1914,"&lt;&gt;"&amp;B1914)+SUM($Q$2:$Q1914)</f>
        <v>90.195000000000007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45"/>
        <v>1905</v>
      </c>
      <c r="P1915" s="7">
        <f ca="1">SUMIFS($N$2:$N1915,$B$2:$B1915,"&lt;&gt;"&amp;B1915)+SUM($Q$2:$Q1915)</f>
        <v>90.195000000000007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45"/>
        <v>1906</v>
      </c>
      <c r="P1916" s="7">
        <f ca="1">SUMIFS($N$2:$N1916,$B$2:$B1916,"&lt;&gt;"&amp;B1916)+SUM($Q$2:$Q1916)</f>
        <v>90.195000000000007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45"/>
        <v>1907</v>
      </c>
      <c r="P1917" s="7">
        <f ca="1">SUMIFS($N$2:$N1917,$B$2:$B1917,"&lt;&gt;"&amp;B1917)+SUM($Q$2:$Q1917)</f>
        <v>90.195000000000007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45"/>
        <v>1908</v>
      </c>
      <c r="P1918" s="7">
        <f ca="1">SUMIFS($N$2:$N1918,$B$2:$B1918,"&lt;&gt;"&amp;B1918)+SUM($Q$2:$Q1918)</f>
        <v>90.195000000000007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45"/>
        <v>1909</v>
      </c>
      <c r="P1919" s="7">
        <f ca="1">SUMIFS($N$2:$N1919,$B$2:$B1919,"&lt;&gt;"&amp;B1919)+SUM($Q$2:$Q1919)</f>
        <v>90.195000000000007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45"/>
        <v>1910</v>
      </c>
      <c r="P1920" s="7">
        <f ca="1">SUMIFS($N$2:$N1920,$B$2:$B1920,"&lt;&gt;"&amp;B1920)+SUM($Q$2:$Q1920)</f>
        <v>90.195000000000007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45"/>
        <v>1911</v>
      </c>
      <c r="P1921" s="7">
        <f ca="1">SUMIFS($N$2:$N1921,$B$2:$B1921,"&lt;&gt;"&amp;B1921)+SUM($Q$2:$Q1921)</f>
        <v>90.195000000000007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45"/>
        <v>1912</v>
      </c>
      <c r="P1922" s="7">
        <f ca="1">SUMIFS($N$2:$N1922,$B$2:$B1922,"&lt;&gt;"&amp;B1922)+SUM($Q$2:$Q1922)</f>
        <v>90.195000000000007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ref="A1923:A1986" si="46">IF(AND(B1923="", D1923&lt;&gt;""), A1922, A1922+1)</f>
        <v>1913</v>
      </c>
      <c r="P1923" s="7">
        <f ca="1">SUMIFS($N$2:$N1923,$B$2:$B1923,"&lt;&gt;"&amp;B1923)+SUM($Q$2:$Q1923)</f>
        <v>90.195000000000007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46"/>
        <v>1914</v>
      </c>
      <c r="P1924" s="7">
        <f ca="1">SUMIFS($N$2:$N1924,$B$2:$B1924,"&lt;&gt;"&amp;B1924)+SUM($Q$2:$Q1924)</f>
        <v>90.195000000000007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46"/>
        <v>1915</v>
      </c>
      <c r="P1925" s="7">
        <f ca="1">SUMIFS($N$2:$N1925,$B$2:$B1925,"&lt;&gt;"&amp;B1925)+SUM($Q$2:$Q1925)</f>
        <v>90.195000000000007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46"/>
        <v>1916</v>
      </c>
      <c r="P1926" s="7">
        <f ca="1">SUMIFS($N$2:$N1926,$B$2:$B1926,"&lt;&gt;"&amp;B1926)+SUM($Q$2:$Q1926)</f>
        <v>90.195000000000007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46"/>
        <v>1917</v>
      </c>
      <c r="P1927" s="7">
        <f ca="1">SUMIFS($N$2:$N1927,$B$2:$B1927,"&lt;&gt;"&amp;B1927)+SUM($Q$2:$Q1927)</f>
        <v>90.195000000000007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46"/>
        <v>1918</v>
      </c>
      <c r="P1928" s="7">
        <f ca="1">SUMIFS($N$2:$N1928,$B$2:$B1928,"&lt;&gt;"&amp;B1928)+SUM($Q$2:$Q1928)</f>
        <v>90.195000000000007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46"/>
        <v>1919</v>
      </c>
      <c r="P1929" s="7">
        <f ca="1">SUMIFS($N$2:$N1929,$B$2:$B1929,"&lt;&gt;"&amp;B1929)+SUM($Q$2:$Q1929)</f>
        <v>90.195000000000007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46"/>
        <v>1920</v>
      </c>
      <c r="P1930" s="7">
        <f ca="1">SUMIFS($N$2:$N1930,$B$2:$B1930,"&lt;&gt;"&amp;B1930)+SUM($Q$2:$Q1930)</f>
        <v>90.195000000000007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46"/>
        <v>1921</v>
      </c>
      <c r="P1931" s="7">
        <f ca="1">SUMIFS($N$2:$N1931,$B$2:$B1931,"&lt;&gt;"&amp;B1931)+SUM($Q$2:$Q1931)</f>
        <v>90.195000000000007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46"/>
        <v>1922</v>
      </c>
      <c r="P1932" s="7">
        <f ca="1">SUMIFS($N$2:$N1932,$B$2:$B1932,"&lt;&gt;"&amp;B1932)+SUM($Q$2:$Q1932)</f>
        <v>90.195000000000007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46"/>
        <v>1923</v>
      </c>
      <c r="P1933" s="7">
        <f ca="1">SUMIFS($N$2:$N1933,$B$2:$B1933,"&lt;&gt;"&amp;B1933)+SUM($Q$2:$Q1933)</f>
        <v>90.195000000000007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46"/>
        <v>1924</v>
      </c>
      <c r="P1934" s="7">
        <f ca="1">SUMIFS($N$2:$N1934,$B$2:$B1934,"&lt;&gt;"&amp;B1934)+SUM($Q$2:$Q1934)</f>
        <v>90.195000000000007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46"/>
        <v>1925</v>
      </c>
      <c r="P1935" s="7">
        <f ca="1">SUMIFS($N$2:$N1935,$B$2:$B1935,"&lt;&gt;"&amp;B1935)+SUM($Q$2:$Q1935)</f>
        <v>90.195000000000007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46"/>
        <v>1926</v>
      </c>
      <c r="P1936" s="7">
        <f ca="1">SUMIFS($N$2:$N1936,$B$2:$B1936,"&lt;&gt;"&amp;B1936)+SUM($Q$2:$Q1936)</f>
        <v>90.195000000000007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46"/>
        <v>1927</v>
      </c>
      <c r="P1937" s="7">
        <f ca="1">SUMIFS($N$2:$N1937,$B$2:$B1937,"&lt;&gt;"&amp;B1937)+SUM($Q$2:$Q1937)</f>
        <v>90.195000000000007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46"/>
        <v>1928</v>
      </c>
      <c r="P1938" s="7">
        <f ca="1">SUMIFS($N$2:$N1938,$B$2:$B1938,"&lt;&gt;"&amp;B1938)+SUM($Q$2:$Q1938)</f>
        <v>90.195000000000007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46"/>
        <v>1929</v>
      </c>
      <c r="P1939" s="7">
        <f ca="1">SUMIFS($N$2:$N1939,$B$2:$B1939,"&lt;&gt;"&amp;B1939)+SUM($Q$2:$Q1939)</f>
        <v>90.195000000000007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46"/>
        <v>1930</v>
      </c>
      <c r="P1940" s="7">
        <f ca="1">SUMIFS($N$2:$N1940,$B$2:$B1940,"&lt;&gt;"&amp;B1940)+SUM($Q$2:$Q1940)</f>
        <v>90.195000000000007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46"/>
        <v>1931</v>
      </c>
      <c r="P1941" s="7">
        <f ca="1">SUMIFS($N$2:$N1941,$B$2:$B1941,"&lt;&gt;"&amp;B1941)+SUM($Q$2:$Q1941)</f>
        <v>90.195000000000007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46"/>
        <v>1932</v>
      </c>
      <c r="P1942" s="7">
        <f ca="1">SUMIFS($N$2:$N1942,$B$2:$B1942,"&lt;&gt;"&amp;B1942)+SUM($Q$2:$Q1942)</f>
        <v>90.195000000000007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46"/>
        <v>1933</v>
      </c>
      <c r="P1943" s="7">
        <f ca="1">SUMIFS($N$2:$N1943,$B$2:$B1943,"&lt;&gt;"&amp;B1943)+SUM($Q$2:$Q1943)</f>
        <v>90.195000000000007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46"/>
        <v>1934</v>
      </c>
      <c r="P1944" s="7">
        <f ca="1">SUMIFS($N$2:$N1944,$B$2:$B1944,"&lt;&gt;"&amp;B1944)+SUM($Q$2:$Q1944)</f>
        <v>90.195000000000007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46"/>
        <v>1935</v>
      </c>
      <c r="P1945" s="7">
        <f ca="1">SUMIFS($N$2:$N1945,$B$2:$B1945,"&lt;&gt;"&amp;B1945)+SUM($Q$2:$Q1945)</f>
        <v>90.195000000000007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46"/>
        <v>1936</v>
      </c>
      <c r="P1946" s="7">
        <f ca="1">SUMIFS($N$2:$N1946,$B$2:$B1946,"&lt;&gt;"&amp;B1946)+SUM($Q$2:$Q1946)</f>
        <v>90.195000000000007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46"/>
        <v>1937</v>
      </c>
      <c r="P1947" s="7">
        <f ca="1">SUMIFS($N$2:$N1947,$B$2:$B1947,"&lt;&gt;"&amp;B1947)+SUM($Q$2:$Q1947)</f>
        <v>90.195000000000007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46"/>
        <v>1938</v>
      </c>
      <c r="P1948" s="7">
        <f ca="1">SUMIFS($N$2:$N1948,$B$2:$B1948,"&lt;&gt;"&amp;B1948)+SUM($Q$2:$Q1948)</f>
        <v>90.195000000000007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46"/>
        <v>1939</v>
      </c>
      <c r="P1949" s="7">
        <f ca="1">SUMIFS($N$2:$N1949,$B$2:$B1949,"&lt;&gt;"&amp;B1949)+SUM($Q$2:$Q1949)</f>
        <v>90.195000000000007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46"/>
        <v>1940</v>
      </c>
      <c r="P1950" s="7">
        <f ca="1">SUMIFS($N$2:$N1950,$B$2:$B1950,"&lt;&gt;"&amp;B1950)+SUM($Q$2:$Q1950)</f>
        <v>90.195000000000007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46"/>
        <v>1941</v>
      </c>
      <c r="P1951" s="7">
        <f ca="1">SUMIFS($N$2:$N1951,$B$2:$B1951,"&lt;&gt;"&amp;B1951)+SUM($Q$2:$Q1951)</f>
        <v>90.195000000000007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46"/>
        <v>1942</v>
      </c>
      <c r="P1952" s="7">
        <f ca="1">SUMIFS($N$2:$N1952,$B$2:$B1952,"&lt;&gt;"&amp;B1952)+SUM($Q$2:$Q1952)</f>
        <v>90.195000000000007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46"/>
        <v>1943</v>
      </c>
      <c r="P1953" s="7">
        <f ca="1">SUMIFS($N$2:$N1953,$B$2:$B1953,"&lt;&gt;"&amp;B1953)+SUM($Q$2:$Q1953)</f>
        <v>90.195000000000007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si="46"/>
        <v>1944</v>
      </c>
      <c r="P1954" s="7">
        <f ca="1">SUMIFS($N$2:$N1954,$B$2:$B1954,"&lt;&gt;"&amp;B1954)+SUM($Q$2:$Q1954)</f>
        <v>90.195000000000007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46"/>
        <v>1945</v>
      </c>
      <c r="P1955" s="7">
        <f ca="1">SUMIFS($N$2:$N1955,$B$2:$B1955,"&lt;&gt;"&amp;B1955)+SUM($Q$2:$Q1955)</f>
        <v>90.195000000000007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46"/>
        <v>1946</v>
      </c>
      <c r="P1956" s="7">
        <f ca="1">SUMIFS($N$2:$N1956,$B$2:$B1956,"&lt;&gt;"&amp;B1956)+SUM($Q$2:$Q1956)</f>
        <v>90.195000000000007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46"/>
        <v>1947</v>
      </c>
      <c r="P1957" s="7">
        <f ca="1">SUMIFS($N$2:$N1957,$B$2:$B1957,"&lt;&gt;"&amp;B1957)+SUM($Q$2:$Q1957)</f>
        <v>90.195000000000007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46"/>
        <v>1948</v>
      </c>
      <c r="P1958" s="7">
        <f ca="1">SUMIFS($N$2:$N1958,$B$2:$B1958,"&lt;&gt;"&amp;B1958)+SUM($Q$2:$Q1958)</f>
        <v>90.195000000000007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46"/>
        <v>1949</v>
      </c>
      <c r="P1959" s="7">
        <f ca="1">SUMIFS($N$2:$N1959,$B$2:$B1959,"&lt;&gt;"&amp;B1959)+SUM($Q$2:$Q1959)</f>
        <v>90.195000000000007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46"/>
        <v>1950</v>
      </c>
      <c r="P1960" s="7">
        <f ca="1">SUMIFS($N$2:$N1960,$B$2:$B1960,"&lt;&gt;"&amp;B1960)+SUM($Q$2:$Q1960)</f>
        <v>90.195000000000007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46"/>
        <v>1951</v>
      </c>
      <c r="P1961" s="7">
        <f ca="1">SUMIFS($N$2:$N1961,$B$2:$B1961,"&lt;&gt;"&amp;B1961)+SUM($Q$2:$Q1961)</f>
        <v>90.195000000000007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46"/>
        <v>1952</v>
      </c>
      <c r="P1962" s="7">
        <f ca="1">SUMIFS($N$2:$N1962,$B$2:$B1962,"&lt;&gt;"&amp;B1962)+SUM($Q$2:$Q1962)</f>
        <v>90.195000000000007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46"/>
        <v>1953</v>
      </c>
      <c r="P1963" s="7">
        <f ca="1">SUMIFS($N$2:$N1963,$B$2:$B1963,"&lt;&gt;"&amp;B1963)+SUM($Q$2:$Q1963)</f>
        <v>90.195000000000007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46"/>
        <v>1954</v>
      </c>
      <c r="P1964" s="7">
        <f ca="1">SUMIFS($N$2:$N1964,$B$2:$B1964,"&lt;&gt;"&amp;B1964)+SUM($Q$2:$Q1964)</f>
        <v>90.195000000000007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46"/>
        <v>1955</v>
      </c>
      <c r="P1965" s="7">
        <f ca="1">SUMIFS($N$2:$N1965,$B$2:$B1965,"&lt;&gt;"&amp;B1965)+SUM($Q$2:$Q1965)</f>
        <v>90.195000000000007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46"/>
        <v>1956</v>
      </c>
      <c r="P1966" s="7">
        <f ca="1">SUMIFS($N$2:$N1966,$B$2:$B1966,"&lt;&gt;"&amp;B1966)+SUM($Q$2:$Q1966)</f>
        <v>90.195000000000007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46"/>
        <v>1957</v>
      </c>
      <c r="P1967" s="7">
        <f ca="1">SUMIFS($N$2:$N1967,$B$2:$B1967,"&lt;&gt;"&amp;B1967)+SUM($Q$2:$Q1967)</f>
        <v>90.195000000000007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46"/>
        <v>1958</v>
      </c>
      <c r="P1968" s="7">
        <f ca="1">SUMIFS($N$2:$N1968,$B$2:$B1968,"&lt;&gt;"&amp;B1968)+SUM($Q$2:$Q1968)</f>
        <v>90.195000000000007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46"/>
        <v>1959</v>
      </c>
      <c r="P1969" s="7">
        <f ca="1">SUMIFS($N$2:$N1969,$B$2:$B1969,"&lt;&gt;"&amp;B1969)+SUM($Q$2:$Q1969)</f>
        <v>90.195000000000007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46"/>
        <v>1960</v>
      </c>
      <c r="P1970" s="7">
        <f ca="1">SUMIFS($N$2:$N1970,$B$2:$B1970,"&lt;&gt;"&amp;B1970)+SUM($Q$2:$Q1970)</f>
        <v>90.195000000000007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46"/>
        <v>1961</v>
      </c>
      <c r="P1971" s="7">
        <f ca="1">SUMIFS($N$2:$N1971,$B$2:$B1971,"&lt;&gt;"&amp;B1971)+SUM($Q$2:$Q1971)</f>
        <v>90.195000000000007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46"/>
        <v>1962</v>
      </c>
      <c r="P1972" s="7">
        <f ca="1">SUMIFS($N$2:$N1972,$B$2:$B1972,"&lt;&gt;"&amp;B1972)+SUM($Q$2:$Q1972)</f>
        <v>90.195000000000007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46"/>
        <v>1963</v>
      </c>
      <c r="P1973" s="7">
        <f ca="1">SUMIFS($N$2:$N1973,$B$2:$B1973,"&lt;&gt;"&amp;B1973)+SUM($Q$2:$Q1973)</f>
        <v>90.195000000000007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46"/>
        <v>1964</v>
      </c>
      <c r="P1974" s="7">
        <f ca="1">SUMIFS($N$2:$N1974,$B$2:$B1974,"&lt;&gt;"&amp;B1974)+SUM($Q$2:$Q1974)</f>
        <v>90.195000000000007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46"/>
        <v>1965</v>
      </c>
      <c r="P1975" s="7">
        <f ca="1">SUMIFS($N$2:$N1975,$B$2:$B1975,"&lt;&gt;"&amp;B1975)+SUM($Q$2:$Q1975)</f>
        <v>90.195000000000007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46"/>
        <v>1966</v>
      </c>
      <c r="P1976" s="7">
        <f ca="1">SUMIFS($N$2:$N1976,$B$2:$B1976,"&lt;&gt;"&amp;B1976)+SUM($Q$2:$Q1976)</f>
        <v>90.195000000000007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46"/>
        <v>1967</v>
      </c>
      <c r="P1977" s="7">
        <f ca="1">SUMIFS($N$2:$N1977,$B$2:$B1977,"&lt;&gt;"&amp;B1977)+SUM($Q$2:$Q1977)</f>
        <v>90.195000000000007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46"/>
        <v>1968</v>
      </c>
      <c r="P1978" s="7">
        <f ca="1">SUMIFS($N$2:$N1978,$B$2:$B1978,"&lt;&gt;"&amp;B1978)+SUM($Q$2:$Q1978)</f>
        <v>90.195000000000007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46"/>
        <v>1969</v>
      </c>
      <c r="P1979" s="7">
        <f ca="1">SUMIFS($N$2:$N1979,$B$2:$B1979,"&lt;&gt;"&amp;B1979)+SUM($Q$2:$Q1979)</f>
        <v>90.195000000000007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46"/>
        <v>1970</v>
      </c>
      <c r="P1980" s="7">
        <f ca="1">SUMIFS($N$2:$N1980,$B$2:$B1980,"&lt;&gt;"&amp;B1980)+SUM($Q$2:$Q1980)</f>
        <v>90.195000000000007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46"/>
        <v>1971</v>
      </c>
      <c r="P1981" s="7">
        <f ca="1">SUMIFS($N$2:$N1981,$B$2:$B1981,"&lt;&gt;"&amp;B1981)+SUM($Q$2:$Q1981)</f>
        <v>90.195000000000007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46"/>
        <v>1972</v>
      </c>
      <c r="P1982" s="7">
        <f ca="1">SUMIFS($N$2:$N1982,$B$2:$B1982,"&lt;&gt;"&amp;B1982)+SUM($Q$2:$Q1982)</f>
        <v>90.195000000000007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46"/>
        <v>1973</v>
      </c>
      <c r="P1983" s="7">
        <f ca="1">SUMIFS($N$2:$N1983,$B$2:$B1983,"&lt;&gt;"&amp;B1983)+SUM($Q$2:$Q1983)</f>
        <v>90.195000000000007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46"/>
        <v>1974</v>
      </c>
      <c r="P1984" s="7">
        <f ca="1">SUMIFS($N$2:$N1984,$B$2:$B1984,"&lt;&gt;"&amp;B1984)+SUM($Q$2:$Q1984)</f>
        <v>90.195000000000007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46"/>
        <v>1975</v>
      </c>
      <c r="P1985" s="7">
        <f ca="1">SUMIFS($N$2:$N1985,$B$2:$B1985,"&lt;&gt;"&amp;B1985)+SUM($Q$2:$Q1985)</f>
        <v>90.195000000000007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46"/>
        <v>1976</v>
      </c>
      <c r="P1986" s="7">
        <f ca="1">SUMIFS($N$2:$N1986,$B$2:$B1986,"&lt;&gt;"&amp;B1986)+SUM($Q$2:$Q1986)</f>
        <v>90.195000000000007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ref="A1987:A2050" si="47">IF(AND(B1987="", D1987&lt;&gt;""), A1986, A1986+1)</f>
        <v>1977</v>
      </c>
      <c r="P1987" s="7">
        <f ca="1">SUMIFS($N$2:$N1987,$B$2:$B1987,"&lt;&gt;"&amp;B1987)+SUM($Q$2:$Q1987)</f>
        <v>90.195000000000007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47"/>
        <v>1978</v>
      </c>
      <c r="P1988" s="7">
        <f ca="1">SUMIFS($N$2:$N1988,$B$2:$B1988,"&lt;&gt;"&amp;B1988)+SUM($Q$2:$Q1988)</f>
        <v>90.195000000000007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47"/>
        <v>1979</v>
      </c>
      <c r="P1989" s="7">
        <f ca="1">SUMIFS($N$2:$N1989,$B$2:$B1989,"&lt;&gt;"&amp;B1989)+SUM($Q$2:$Q1989)</f>
        <v>90.195000000000007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47"/>
        <v>1980</v>
      </c>
      <c r="P1990" s="7">
        <f ca="1">SUMIFS($N$2:$N1990,$B$2:$B1990,"&lt;&gt;"&amp;B1990)+SUM($Q$2:$Q1990)</f>
        <v>90.195000000000007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47"/>
        <v>1981</v>
      </c>
      <c r="P1991" s="7">
        <f ca="1">SUMIFS($N$2:$N1991,$B$2:$B1991,"&lt;&gt;"&amp;B1991)+SUM($Q$2:$Q1991)</f>
        <v>90.195000000000007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47"/>
        <v>1982</v>
      </c>
      <c r="P1992" s="7">
        <f ca="1">SUMIFS($N$2:$N1992,$B$2:$B1992,"&lt;&gt;"&amp;B1992)+SUM($Q$2:$Q1992)</f>
        <v>90.195000000000007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47"/>
        <v>1983</v>
      </c>
      <c r="P1993" s="7">
        <f ca="1">SUMIFS($N$2:$N1993,$B$2:$B1993,"&lt;&gt;"&amp;B1993)+SUM($Q$2:$Q1993)</f>
        <v>90.195000000000007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47"/>
        <v>1984</v>
      </c>
      <c r="P1994" s="7">
        <f ca="1">SUMIFS($N$2:$N1994,$B$2:$B1994,"&lt;&gt;"&amp;B1994)+SUM($Q$2:$Q1994)</f>
        <v>90.195000000000007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47"/>
        <v>1985</v>
      </c>
      <c r="P1995" s="7">
        <f ca="1">SUMIFS($N$2:$N1995,$B$2:$B1995,"&lt;&gt;"&amp;B1995)+SUM($Q$2:$Q1995)</f>
        <v>90.195000000000007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47"/>
        <v>1986</v>
      </c>
      <c r="P1996" s="7">
        <f ca="1">SUMIFS($N$2:$N1996,$B$2:$B1996,"&lt;&gt;"&amp;B1996)+SUM($Q$2:$Q1996)</f>
        <v>90.195000000000007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47"/>
        <v>1987</v>
      </c>
      <c r="P1997" s="7">
        <f ca="1">SUMIFS($N$2:$N1997,$B$2:$B1997,"&lt;&gt;"&amp;B1997)+SUM($Q$2:$Q1997)</f>
        <v>90.195000000000007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47"/>
        <v>1988</v>
      </c>
      <c r="P1998" s="7">
        <f ca="1">SUMIFS($N$2:$N1998,$B$2:$B1998,"&lt;&gt;"&amp;B1998)+SUM($Q$2:$Q1998)</f>
        <v>90.195000000000007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47"/>
        <v>1989</v>
      </c>
      <c r="P1999" s="7">
        <f ca="1">SUMIFS($N$2:$N1999,$B$2:$B1999,"&lt;&gt;"&amp;B1999)+SUM($Q$2:$Q1999)</f>
        <v>90.195000000000007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47"/>
        <v>1990</v>
      </c>
      <c r="P2000" s="7">
        <f ca="1">SUMIFS($N$2:$N2000,$B$2:$B2000,"&lt;&gt;"&amp;B2000)+SUM($Q$2:$Q2000)</f>
        <v>90.195000000000007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47"/>
        <v>1991</v>
      </c>
      <c r="P2001" s="7">
        <f ca="1">SUMIFS($N$2:$N2001,$B$2:$B2001,"&lt;&gt;"&amp;B2001)+SUM($Q$2:$Q2001)</f>
        <v>90.195000000000007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47"/>
        <v>1992</v>
      </c>
      <c r="P2002" s="7">
        <f ca="1">SUMIFS($N$2:$N2002,$B$2:$B2002,"&lt;&gt;"&amp;B2002)+SUM($Q$2:$Q2002)</f>
        <v>90.195000000000007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47"/>
        <v>1993</v>
      </c>
      <c r="P2003" s="7">
        <f ca="1">SUMIFS($N$2:$N2003,$B$2:$B2003,"&lt;&gt;"&amp;B2003)+SUM($Q$2:$Q2003)</f>
        <v>90.195000000000007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47"/>
        <v>1994</v>
      </c>
      <c r="P2004" s="7">
        <f ca="1">SUMIFS($N$2:$N2004,$B$2:$B2004,"&lt;&gt;"&amp;B2004)+SUM($Q$2:$Q2004)</f>
        <v>90.195000000000007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47"/>
        <v>1995</v>
      </c>
      <c r="P2005" s="7">
        <f ca="1">SUMIFS($N$2:$N2005,$B$2:$B2005,"&lt;&gt;"&amp;B2005)+SUM($Q$2:$Q2005)</f>
        <v>90.195000000000007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47"/>
        <v>1996</v>
      </c>
      <c r="P2006" s="7">
        <f ca="1">SUMIFS($N$2:$N2006,$B$2:$B2006,"&lt;&gt;"&amp;B2006)+SUM($Q$2:$Q2006)</f>
        <v>90.195000000000007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47"/>
        <v>1997</v>
      </c>
      <c r="P2007" s="7">
        <f ca="1">SUMIFS($N$2:$N2007,$B$2:$B2007,"&lt;&gt;"&amp;B2007)+SUM($Q$2:$Q2007)</f>
        <v>90.195000000000007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47"/>
        <v>1998</v>
      </c>
      <c r="P2008" s="7">
        <f ca="1">SUMIFS($N$2:$N2008,$B$2:$B2008,"&lt;&gt;"&amp;B2008)+SUM($Q$2:$Q2008)</f>
        <v>90.195000000000007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47"/>
        <v>1999</v>
      </c>
      <c r="P2009" s="7">
        <f ca="1">SUMIFS($N$2:$N2009,$B$2:$B2009,"&lt;&gt;"&amp;B2009)+SUM($Q$2:$Q2009)</f>
        <v>90.195000000000007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47"/>
        <v>2000</v>
      </c>
      <c r="P2010" s="7">
        <f ca="1">SUMIFS($N$2:$N2010,$B$2:$B2010,"&lt;&gt;"&amp;B2010)+SUM($Q$2:$Q2010)</f>
        <v>90.195000000000007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47"/>
        <v>2001</v>
      </c>
      <c r="P2011" s="7">
        <f ca="1">SUMIFS($N$2:$N2011,$B$2:$B2011,"&lt;&gt;"&amp;B2011)+SUM($Q$2:$Q2011)</f>
        <v>90.195000000000007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47"/>
        <v>2002</v>
      </c>
      <c r="P2012" s="7">
        <f ca="1">SUMIFS($N$2:$N2012,$B$2:$B2012,"&lt;&gt;"&amp;B2012)+SUM($Q$2:$Q2012)</f>
        <v>90.195000000000007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47"/>
        <v>2003</v>
      </c>
      <c r="P2013" s="7">
        <f ca="1">SUMIFS($N$2:$N2013,$B$2:$B2013,"&lt;&gt;"&amp;B2013)+SUM($Q$2:$Q2013)</f>
        <v>90.195000000000007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47"/>
        <v>2004</v>
      </c>
      <c r="P2014" s="7">
        <f ca="1">SUMIFS($N$2:$N2014,$B$2:$B2014,"&lt;&gt;"&amp;B2014)+SUM($Q$2:$Q2014)</f>
        <v>90.195000000000007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47"/>
        <v>2005</v>
      </c>
      <c r="P2015" s="7">
        <f ca="1">SUMIFS($N$2:$N2015,$B$2:$B2015,"&lt;&gt;"&amp;B2015)+SUM($Q$2:$Q2015)</f>
        <v>90.195000000000007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47"/>
        <v>2006</v>
      </c>
      <c r="P2016" s="7">
        <f ca="1">SUMIFS($N$2:$N2016,$B$2:$B2016,"&lt;&gt;"&amp;B2016)+SUM($Q$2:$Q2016)</f>
        <v>90.195000000000007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47"/>
        <v>2007</v>
      </c>
      <c r="P2017" s="7">
        <f ca="1">SUMIFS($N$2:$N2017,$B$2:$B2017,"&lt;&gt;"&amp;B2017)+SUM($Q$2:$Q2017)</f>
        <v>90.195000000000007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si="47"/>
        <v>2008</v>
      </c>
      <c r="P2018" s="7">
        <f ca="1">SUMIFS($N$2:$N2018,$B$2:$B2018,"&lt;&gt;"&amp;B2018)+SUM($Q$2:$Q2018)</f>
        <v>90.195000000000007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47"/>
        <v>2009</v>
      </c>
      <c r="P2019" s="7">
        <f ca="1">SUMIFS($N$2:$N2019,$B$2:$B2019,"&lt;&gt;"&amp;B2019)+SUM($Q$2:$Q2019)</f>
        <v>90.195000000000007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47"/>
        <v>2010</v>
      </c>
      <c r="P2020" s="7">
        <f ca="1">SUMIFS($N$2:$N2020,$B$2:$B2020,"&lt;&gt;"&amp;B2020)+SUM($Q$2:$Q2020)</f>
        <v>90.195000000000007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47"/>
        <v>2011</v>
      </c>
      <c r="P2021" s="7">
        <f ca="1">SUMIFS($N$2:$N2021,$B$2:$B2021,"&lt;&gt;"&amp;B2021)+SUM($Q$2:$Q2021)</f>
        <v>90.195000000000007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47"/>
        <v>2012</v>
      </c>
      <c r="P2022" s="7">
        <f ca="1">SUMIFS($N$2:$N2022,$B$2:$B2022,"&lt;&gt;"&amp;B2022)+SUM($Q$2:$Q2022)</f>
        <v>90.195000000000007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47"/>
        <v>2013</v>
      </c>
      <c r="P2023" s="7">
        <f ca="1">SUMIFS($N$2:$N2023,$B$2:$B2023,"&lt;&gt;"&amp;B2023)+SUM($Q$2:$Q2023)</f>
        <v>90.195000000000007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47"/>
        <v>2014</v>
      </c>
      <c r="P2024" s="7">
        <f ca="1">SUMIFS($N$2:$N2024,$B$2:$B2024,"&lt;&gt;"&amp;B2024)+SUM($Q$2:$Q2024)</f>
        <v>90.195000000000007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47"/>
        <v>2015</v>
      </c>
      <c r="P2025" s="7">
        <f ca="1">SUMIFS($N$2:$N2025,$B$2:$B2025,"&lt;&gt;"&amp;B2025)+SUM($Q$2:$Q2025)</f>
        <v>90.195000000000007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47"/>
        <v>2016</v>
      </c>
      <c r="P2026" s="7">
        <f ca="1">SUMIFS($N$2:$N2026,$B$2:$B2026,"&lt;&gt;"&amp;B2026)+SUM($Q$2:$Q2026)</f>
        <v>90.195000000000007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47"/>
        <v>2017</v>
      </c>
      <c r="P2027" s="7">
        <f ca="1">SUMIFS($N$2:$N2027,$B$2:$B2027,"&lt;&gt;"&amp;B2027)+SUM($Q$2:$Q2027)</f>
        <v>90.195000000000007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47"/>
        <v>2018</v>
      </c>
      <c r="P2028" s="7">
        <f ca="1">SUMIFS($N$2:$N2028,$B$2:$B2028,"&lt;&gt;"&amp;B2028)+SUM($Q$2:$Q2028)</f>
        <v>90.195000000000007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47"/>
        <v>2019</v>
      </c>
      <c r="P2029" s="7">
        <f ca="1">SUMIFS($N$2:$N2029,$B$2:$B2029,"&lt;&gt;"&amp;B2029)+SUM($Q$2:$Q2029)</f>
        <v>90.195000000000007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47"/>
        <v>2020</v>
      </c>
      <c r="P2030" s="7">
        <f ca="1">SUMIFS($N$2:$N2030,$B$2:$B2030,"&lt;&gt;"&amp;B2030)+SUM($Q$2:$Q2030)</f>
        <v>90.195000000000007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47"/>
        <v>2021</v>
      </c>
      <c r="P2031" s="7">
        <f ca="1">SUMIFS($N$2:$N2031,$B$2:$B2031,"&lt;&gt;"&amp;B2031)+SUM($Q$2:$Q2031)</f>
        <v>90.195000000000007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47"/>
        <v>2022</v>
      </c>
      <c r="P2032" s="7">
        <f ca="1">SUMIFS($N$2:$N2032,$B$2:$B2032,"&lt;&gt;"&amp;B2032)+SUM($Q$2:$Q2032)</f>
        <v>90.195000000000007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47"/>
        <v>2023</v>
      </c>
      <c r="P2033" s="7">
        <f ca="1">SUMIFS($N$2:$N2033,$B$2:$B2033,"&lt;&gt;"&amp;B2033)+SUM($Q$2:$Q2033)</f>
        <v>90.195000000000007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47"/>
        <v>2024</v>
      </c>
      <c r="P2034" s="7">
        <f ca="1">SUMIFS($N$2:$N2034,$B$2:$B2034,"&lt;&gt;"&amp;B2034)+SUM($Q$2:$Q2034)</f>
        <v>90.195000000000007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47"/>
        <v>2025</v>
      </c>
      <c r="P2035" s="7">
        <f ca="1">SUMIFS($N$2:$N2035,$B$2:$B2035,"&lt;&gt;"&amp;B2035)+SUM($Q$2:$Q2035)</f>
        <v>90.195000000000007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47"/>
        <v>2026</v>
      </c>
      <c r="P2036" s="7">
        <f ca="1">SUMIFS($N$2:$N2036,$B$2:$B2036,"&lt;&gt;"&amp;B2036)+SUM($Q$2:$Q2036)</f>
        <v>90.195000000000007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47"/>
        <v>2027</v>
      </c>
      <c r="P2037" s="7">
        <f ca="1">SUMIFS($N$2:$N2037,$B$2:$B2037,"&lt;&gt;"&amp;B2037)+SUM($Q$2:$Q2037)</f>
        <v>90.195000000000007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47"/>
        <v>2028</v>
      </c>
      <c r="P2038" s="7">
        <f ca="1">SUMIFS($N$2:$N2038,$B$2:$B2038,"&lt;&gt;"&amp;B2038)+SUM($Q$2:$Q2038)</f>
        <v>90.195000000000007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47"/>
        <v>2029</v>
      </c>
      <c r="P2039" s="7">
        <f ca="1">SUMIFS($N$2:$N2039,$B$2:$B2039,"&lt;&gt;"&amp;B2039)+SUM($Q$2:$Q2039)</f>
        <v>90.195000000000007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47"/>
        <v>2030</v>
      </c>
      <c r="P2040" s="7">
        <f ca="1">SUMIFS($N$2:$N2040,$B$2:$B2040,"&lt;&gt;"&amp;B2040)+SUM($Q$2:$Q2040)</f>
        <v>90.195000000000007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47"/>
        <v>2031</v>
      </c>
      <c r="P2041" s="7">
        <f ca="1">SUMIFS($N$2:$N2041,$B$2:$B2041,"&lt;&gt;"&amp;B2041)+SUM($Q$2:$Q2041)</f>
        <v>90.195000000000007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47"/>
        <v>2032</v>
      </c>
      <c r="P2042" s="7">
        <f ca="1">SUMIFS($N$2:$N2042,$B$2:$B2042,"&lt;&gt;"&amp;B2042)+SUM($Q$2:$Q2042)</f>
        <v>90.195000000000007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47"/>
        <v>2033</v>
      </c>
      <c r="P2043" s="7">
        <f ca="1">SUMIFS($N$2:$N2043,$B$2:$B2043,"&lt;&gt;"&amp;B2043)+SUM($Q$2:$Q2043)</f>
        <v>90.195000000000007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47"/>
        <v>2034</v>
      </c>
      <c r="P2044" s="7">
        <f ca="1">SUMIFS($N$2:$N2044,$B$2:$B2044,"&lt;&gt;"&amp;B2044)+SUM($Q$2:$Q2044)</f>
        <v>90.195000000000007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47"/>
        <v>2035</v>
      </c>
      <c r="P2045" s="7">
        <f ca="1">SUMIFS($N$2:$N2045,$B$2:$B2045,"&lt;&gt;"&amp;B2045)+SUM($Q$2:$Q2045)</f>
        <v>90.195000000000007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47"/>
        <v>2036</v>
      </c>
      <c r="P2046" s="7">
        <f ca="1">SUMIFS($N$2:$N2046,$B$2:$B2046,"&lt;&gt;"&amp;B2046)+SUM($Q$2:$Q2046)</f>
        <v>90.195000000000007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47"/>
        <v>2037</v>
      </c>
      <c r="P2047" s="7">
        <f ca="1">SUMIFS($N$2:$N2047,$B$2:$B2047,"&lt;&gt;"&amp;B2047)+SUM($Q$2:$Q2047)</f>
        <v>90.195000000000007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47"/>
        <v>2038</v>
      </c>
      <c r="P2048" s="7">
        <f ca="1">SUMIFS($N$2:$N2048,$B$2:$B2048,"&lt;&gt;"&amp;B2048)+SUM($Q$2:$Q2048)</f>
        <v>90.195000000000007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47"/>
        <v>2039</v>
      </c>
      <c r="P2049" s="7">
        <f ca="1">SUMIFS($N$2:$N2049,$B$2:$B2049,"&lt;&gt;"&amp;B2049)+SUM($Q$2:$Q2049)</f>
        <v>90.195000000000007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47"/>
        <v>2040</v>
      </c>
      <c r="P2050" s="7">
        <f ca="1">SUMIFS($N$2:$N2050,$B$2:$B2050,"&lt;&gt;"&amp;B2050)+SUM($Q$2:$Q2050)</f>
        <v>90.195000000000007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ref="A2051:A2114" si="48">IF(AND(B2051="", D2051&lt;&gt;""), A2050, A2050+1)</f>
        <v>2041</v>
      </c>
      <c r="P2051" s="7">
        <f ca="1">SUMIFS($N$2:$N2051,$B$2:$B2051,"&lt;&gt;"&amp;B2051)+SUM($Q$2:$Q2051)</f>
        <v>90.195000000000007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48"/>
        <v>2042</v>
      </c>
      <c r="P2052" s="7">
        <f ca="1">SUMIFS($N$2:$N2052,$B$2:$B2052,"&lt;&gt;"&amp;B2052)+SUM($Q$2:$Q2052)</f>
        <v>90.195000000000007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48"/>
        <v>2043</v>
      </c>
      <c r="P2053" s="7">
        <f ca="1">SUMIFS($N$2:$N2053,$B$2:$B2053,"&lt;&gt;"&amp;B2053)+SUM($Q$2:$Q2053)</f>
        <v>90.195000000000007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48"/>
        <v>2044</v>
      </c>
      <c r="P2054" s="7">
        <f ca="1">SUMIFS($N$2:$N2054,$B$2:$B2054,"&lt;&gt;"&amp;B2054)+SUM($Q$2:$Q2054)</f>
        <v>90.195000000000007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48"/>
        <v>2045</v>
      </c>
      <c r="P2055" s="7">
        <f ca="1">SUMIFS($N$2:$N2055,$B$2:$B2055,"&lt;&gt;"&amp;B2055)+SUM($Q$2:$Q2055)</f>
        <v>90.195000000000007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48"/>
        <v>2046</v>
      </c>
      <c r="P2056" s="7">
        <f ca="1">SUMIFS($N$2:$N2056,$B$2:$B2056,"&lt;&gt;"&amp;B2056)+SUM($Q$2:$Q2056)</f>
        <v>90.195000000000007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48"/>
        <v>2047</v>
      </c>
      <c r="P2057" s="7">
        <f ca="1">SUMIFS($N$2:$N2057,$B$2:$B2057,"&lt;&gt;"&amp;B2057)+SUM($Q$2:$Q2057)</f>
        <v>90.195000000000007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48"/>
        <v>2048</v>
      </c>
      <c r="P2058" s="7">
        <f ca="1">SUMIFS($N$2:$N2058,$B$2:$B2058,"&lt;&gt;"&amp;B2058)+SUM($Q$2:$Q2058)</f>
        <v>90.195000000000007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48"/>
        <v>2049</v>
      </c>
      <c r="P2059" s="7">
        <f ca="1">SUMIFS($N$2:$N2059,$B$2:$B2059,"&lt;&gt;"&amp;B2059)+SUM($Q$2:$Q2059)</f>
        <v>90.195000000000007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48"/>
        <v>2050</v>
      </c>
      <c r="P2060" s="7">
        <f ca="1">SUMIFS($N$2:$N2060,$B$2:$B2060,"&lt;&gt;"&amp;B2060)+SUM($Q$2:$Q2060)</f>
        <v>90.195000000000007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48"/>
        <v>2051</v>
      </c>
      <c r="P2061" s="7">
        <f ca="1">SUMIFS($N$2:$N2061,$B$2:$B2061,"&lt;&gt;"&amp;B2061)+SUM($Q$2:$Q2061)</f>
        <v>90.195000000000007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48"/>
        <v>2052</v>
      </c>
      <c r="P2062" s="7">
        <f ca="1">SUMIFS($N$2:$N2062,$B$2:$B2062,"&lt;&gt;"&amp;B2062)+SUM($Q$2:$Q2062)</f>
        <v>90.195000000000007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48"/>
        <v>2053</v>
      </c>
      <c r="P2063" s="7">
        <f ca="1">SUMIFS($N$2:$N2063,$B$2:$B2063,"&lt;&gt;"&amp;B2063)+SUM($Q$2:$Q2063)</f>
        <v>90.195000000000007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48"/>
        <v>2054</v>
      </c>
      <c r="P2064" s="7">
        <f ca="1">SUMIFS($N$2:$N2064,$B$2:$B2064,"&lt;&gt;"&amp;B2064)+SUM($Q$2:$Q2064)</f>
        <v>90.195000000000007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48"/>
        <v>2055</v>
      </c>
      <c r="P2065" s="7">
        <f ca="1">SUMIFS($N$2:$N2065,$B$2:$B2065,"&lt;&gt;"&amp;B2065)+SUM($Q$2:$Q2065)</f>
        <v>90.195000000000007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48"/>
        <v>2056</v>
      </c>
      <c r="P2066" s="7">
        <f ca="1">SUMIFS($N$2:$N2066,$B$2:$B2066,"&lt;&gt;"&amp;B2066)+SUM($Q$2:$Q2066)</f>
        <v>90.195000000000007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48"/>
        <v>2057</v>
      </c>
      <c r="P2067" s="7">
        <f ca="1">SUMIFS($N$2:$N2067,$B$2:$B2067,"&lt;&gt;"&amp;B2067)+SUM($Q$2:$Q2067)</f>
        <v>90.195000000000007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48"/>
        <v>2058</v>
      </c>
      <c r="P2068" s="7">
        <f ca="1">SUMIFS($N$2:$N2068,$B$2:$B2068,"&lt;&gt;"&amp;B2068)+SUM($Q$2:$Q2068)</f>
        <v>90.195000000000007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48"/>
        <v>2059</v>
      </c>
      <c r="P2069" s="7">
        <f ca="1">SUMIFS($N$2:$N2069,$B$2:$B2069,"&lt;&gt;"&amp;B2069)+SUM($Q$2:$Q2069)</f>
        <v>90.195000000000007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48"/>
        <v>2060</v>
      </c>
      <c r="P2070" s="7">
        <f ca="1">SUMIFS($N$2:$N2070,$B$2:$B2070,"&lt;&gt;"&amp;B2070)+SUM($Q$2:$Q2070)</f>
        <v>90.195000000000007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48"/>
        <v>2061</v>
      </c>
      <c r="P2071" s="7">
        <f ca="1">SUMIFS($N$2:$N2071,$B$2:$B2071,"&lt;&gt;"&amp;B2071)+SUM($Q$2:$Q2071)</f>
        <v>90.195000000000007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48"/>
        <v>2062</v>
      </c>
      <c r="P2072" s="7">
        <f ca="1">SUMIFS($N$2:$N2072,$B$2:$B2072,"&lt;&gt;"&amp;B2072)+SUM($Q$2:$Q2072)</f>
        <v>90.195000000000007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48"/>
        <v>2063</v>
      </c>
      <c r="P2073" s="7">
        <f ca="1">SUMIFS($N$2:$N2073,$B$2:$B2073,"&lt;&gt;"&amp;B2073)+SUM($Q$2:$Q2073)</f>
        <v>90.195000000000007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48"/>
        <v>2064</v>
      </c>
      <c r="P2074" s="7">
        <f ca="1">SUMIFS($N$2:$N2074,$B$2:$B2074,"&lt;&gt;"&amp;B2074)+SUM($Q$2:$Q2074)</f>
        <v>90.195000000000007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48"/>
        <v>2065</v>
      </c>
      <c r="P2075" s="7">
        <f ca="1">SUMIFS($N$2:$N2075,$B$2:$B2075,"&lt;&gt;"&amp;B2075)+SUM($Q$2:$Q2075)</f>
        <v>90.195000000000007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48"/>
        <v>2066</v>
      </c>
      <c r="P2076" s="7">
        <f ca="1">SUMIFS($N$2:$N2076,$B$2:$B2076,"&lt;&gt;"&amp;B2076)+SUM($Q$2:$Q2076)</f>
        <v>90.195000000000007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48"/>
        <v>2067</v>
      </c>
      <c r="P2077" s="7">
        <f ca="1">SUMIFS($N$2:$N2077,$B$2:$B2077,"&lt;&gt;"&amp;B2077)+SUM($Q$2:$Q2077)</f>
        <v>90.195000000000007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48"/>
        <v>2068</v>
      </c>
      <c r="P2078" s="7">
        <f ca="1">SUMIFS($N$2:$N2078,$B$2:$B2078,"&lt;&gt;"&amp;B2078)+SUM($Q$2:$Q2078)</f>
        <v>90.195000000000007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48"/>
        <v>2069</v>
      </c>
      <c r="P2079" s="7">
        <f ca="1">SUMIFS($N$2:$N2079,$B$2:$B2079,"&lt;&gt;"&amp;B2079)+SUM($Q$2:$Q2079)</f>
        <v>90.195000000000007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48"/>
        <v>2070</v>
      </c>
      <c r="P2080" s="7">
        <f ca="1">SUMIFS($N$2:$N2080,$B$2:$B2080,"&lt;&gt;"&amp;B2080)+SUM($Q$2:$Q2080)</f>
        <v>90.195000000000007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48"/>
        <v>2071</v>
      </c>
      <c r="P2081" s="7">
        <f ca="1">SUMIFS($N$2:$N2081,$B$2:$B2081,"&lt;&gt;"&amp;B2081)+SUM($Q$2:$Q2081)</f>
        <v>90.195000000000007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si="48"/>
        <v>2072</v>
      </c>
      <c r="P2082" s="7">
        <f ca="1">SUMIFS($N$2:$N2082,$B$2:$B2082,"&lt;&gt;"&amp;B2082)+SUM($Q$2:$Q2082)</f>
        <v>90.195000000000007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48"/>
        <v>2073</v>
      </c>
      <c r="P2083" s="7">
        <f ca="1">SUMIFS($N$2:$N2083,$B$2:$B2083,"&lt;&gt;"&amp;B2083)+SUM($Q$2:$Q2083)</f>
        <v>90.195000000000007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48"/>
        <v>2074</v>
      </c>
      <c r="P2084" s="7">
        <f ca="1">SUMIFS($N$2:$N2084,$B$2:$B2084,"&lt;&gt;"&amp;B2084)+SUM($Q$2:$Q2084)</f>
        <v>90.195000000000007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48"/>
        <v>2075</v>
      </c>
      <c r="P2085" s="7">
        <f ca="1">SUMIFS($N$2:$N2085,$B$2:$B2085,"&lt;&gt;"&amp;B2085)+SUM($Q$2:$Q2085)</f>
        <v>90.195000000000007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48"/>
        <v>2076</v>
      </c>
      <c r="P2086" s="7">
        <f ca="1">SUMIFS($N$2:$N2086,$B$2:$B2086,"&lt;&gt;"&amp;B2086)+SUM($Q$2:$Q2086)</f>
        <v>90.195000000000007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48"/>
        <v>2077</v>
      </c>
      <c r="P2087" s="7">
        <f ca="1">SUMIFS($N$2:$N2087,$B$2:$B2087,"&lt;&gt;"&amp;B2087)+SUM($Q$2:$Q2087)</f>
        <v>90.195000000000007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48"/>
        <v>2078</v>
      </c>
      <c r="P2088" s="7">
        <f ca="1">SUMIFS($N$2:$N2088,$B$2:$B2088,"&lt;&gt;"&amp;B2088)+SUM($Q$2:$Q2088)</f>
        <v>90.195000000000007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48"/>
        <v>2079</v>
      </c>
      <c r="P2089" s="7">
        <f ca="1">SUMIFS($N$2:$N2089,$B$2:$B2089,"&lt;&gt;"&amp;B2089)+SUM($Q$2:$Q2089)</f>
        <v>90.195000000000007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48"/>
        <v>2080</v>
      </c>
      <c r="P2090" s="7">
        <f ca="1">SUMIFS($N$2:$N2090,$B$2:$B2090,"&lt;&gt;"&amp;B2090)+SUM($Q$2:$Q2090)</f>
        <v>90.195000000000007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48"/>
        <v>2081</v>
      </c>
      <c r="P2091" s="7">
        <f ca="1">SUMIFS($N$2:$N2091,$B$2:$B2091,"&lt;&gt;"&amp;B2091)+SUM($Q$2:$Q2091)</f>
        <v>90.195000000000007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48"/>
        <v>2082</v>
      </c>
      <c r="P2092" s="7">
        <f ca="1">SUMIFS($N$2:$N2092,$B$2:$B2092,"&lt;&gt;"&amp;B2092)+SUM($Q$2:$Q2092)</f>
        <v>90.195000000000007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48"/>
        <v>2083</v>
      </c>
      <c r="P2093" s="7">
        <f ca="1">SUMIFS($N$2:$N2093,$B$2:$B2093,"&lt;&gt;"&amp;B2093)+SUM($Q$2:$Q2093)</f>
        <v>90.195000000000007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48"/>
        <v>2084</v>
      </c>
      <c r="P2094" s="7">
        <f ca="1">SUMIFS($N$2:$N2094,$B$2:$B2094,"&lt;&gt;"&amp;B2094)+SUM($Q$2:$Q2094)</f>
        <v>90.195000000000007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48"/>
        <v>2085</v>
      </c>
      <c r="P2095" s="7">
        <f ca="1">SUMIFS($N$2:$N2095,$B$2:$B2095,"&lt;&gt;"&amp;B2095)+SUM($Q$2:$Q2095)</f>
        <v>90.195000000000007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48"/>
        <v>2086</v>
      </c>
      <c r="P2096" s="7">
        <f ca="1">SUMIFS($N$2:$N2096,$B$2:$B2096,"&lt;&gt;"&amp;B2096)+SUM($Q$2:$Q2096)</f>
        <v>90.195000000000007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48"/>
        <v>2087</v>
      </c>
      <c r="P2097" s="7">
        <f ca="1">SUMIFS($N$2:$N2097,$B$2:$B2097,"&lt;&gt;"&amp;B2097)+SUM($Q$2:$Q2097)</f>
        <v>90.195000000000007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48"/>
        <v>2088</v>
      </c>
      <c r="P2098" s="7">
        <f ca="1">SUMIFS($N$2:$N2098,$B$2:$B2098,"&lt;&gt;"&amp;B2098)+SUM($Q$2:$Q2098)</f>
        <v>90.195000000000007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48"/>
        <v>2089</v>
      </c>
      <c r="P2099" s="7">
        <f ca="1">SUMIFS($N$2:$N2099,$B$2:$B2099,"&lt;&gt;"&amp;B2099)+SUM($Q$2:$Q2099)</f>
        <v>90.195000000000007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48"/>
        <v>2090</v>
      </c>
      <c r="P2100" s="7">
        <f ca="1">SUMIFS($N$2:$N2100,$B$2:$B2100,"&lt;&gt;"&amp;B2100)+SUM($Q$2:$Q2100)</f>
        <v>90.195000000000007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48"/>
        <v>2091</v>
      </c>
      <c r="P2101" s="7">
        <f ca="1">SUMIFS($N$2:$N2101,$B$2:$B2101,"&lt;&gt;"&amp;B2101)+SUM($Q$2:$Q2101)</f>
        <v>90.195000000000007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48"/>
        <v>2092</v>
      </c>
      <c r="P2102" s="7">
        <f ca="1">SUMIFS($N$2:$N2102,$B$2:$B2102,"&lt;&gt;"&amp;B2102)+SUM($Q$2:$Q2102)</f>
        <v>90.195000000000007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48"/>
        <v>2093</v>
      </c>
      <c r="P2103" s="7">
        <f ca="1">SUMIFS($N$2:$N2103,$B$2:$B2103,"&lt;&gt;"&amp;B2103)+SUM($Q$2:$Q2103)</f>
        <v>90.195000000000007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48"/>
        <v>2094</v>
      </c>
      <c r="P2104" s="7">
        <f ca="1">SUMIFS($N$2:$N2104,$B$2:$B2104,"&lt;&gt;"&amp;B2104)+SUM($Q$2:$Q2104)</f>
        <v>90.195000000000007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48"/>
        <v>2095</v>
      </c>
      <c r="P2105" s="7">
        <f ca="1">SUMIFS($N$2:$N2105,$B$2:$B2105,"&lt;&gt;"&amp;B2105)+SUM($Q$2:$Q2105)</f>
        <v>90.195000000000007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48"/>
        <v>2096</v>
      </c>
      <c r="P2106" s="7">
        <f ca="1">SUMIFS($N$2:$N2106,$B$2:$B2106,"&lt;&gt;"&amp;B2106)+SUM($Q$2:$Q2106)</f>
        <v>90.195000000000007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48"/>
        <v>2097</v>
      </c>
      <c r="P2107" s="7">
        <f ca="1">SUMIFS($N$2:$N2107,$B$2:$B2107,"&lt;&gt;"&amp;B2107)+SUM($Q$2:$Q2107)</f>
        <v>90.195000000000007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48"/>
        <v>2098</v>
      </c>
      <c r="P2108" s="7">
        <f ca="1">SUMIFS($N$2:$N2108,$B$2:$B2108,"&lt;&gt;"&amp;B2108)+SUM($Q$2:$Q2108)</f>
        <v>90.195000000000007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48"/>
        <v>2099</v>
      </c>
      <c r="P2109" s="7">
        <f ca="1">SUMIFS($N$2:$N2109,$B$2:$B2109,"&lt;&gt;"&amp;B2109)+SUM($Q$2:$Q2109)</f>
        <v>90.195000000000007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48"/>
        <v>2100</v>
      </c>
      <c r="P2110" s="7">
        <f ca="1">SUMIFS($N$2:$N2110,$B$2:$B2110,"&lt;&gt;"&amp;B2110)+SUM($Q$2:$Q2110)</f>
        <v>90.195000000000007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48"/>
        <v>2101</v>
      </c>
      <c r="P2111" s="7">
        <f ca="1">SUMIFS($N$2:$N2111,$B$2:$B2111,"&lt;&gt;"&amp;B2111)+SUM($Q$2:$Q2111)</f>
        <v>90.195000000000007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48"/>
        <v>2102</v>
      </c>
      <c r="P2112" s="7">
        <f ca="1">SUMIFS($N$2:$N2112,$B$2:$B2112,"&lt;&gt;"&amp;B2112)+SUM($Q$2:$Q2112)</f>
        <v>90.195000000000007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48"/>
        <v>2103</v>
      </c>
      <c r="P2113" s="7">
        <f ca="1">SUMIFS($N$2:$N2113,$B$2:$B2113,"&lt;&gt;"&amp;B2113)+SUM($Q$2:$Q2113)</f>
        <v>90.195000000000007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48"/>
        <v>2104</v>
      </c>
      <c r="P2114" s="7">
        <f ca="1">SUMIFS($N$2:$N2114,$B$2:$B2114,"&lt;&gt;"&amp;B2114)+SUM($Q$2:$Q2114)</f>
        <v>90.195000000000007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ref="A2115:A2178" si="49">IF(AND(B2115="", D2115&lt;&gt;""), A2114, A2114+1)</f>
        <v>2105</v>
      </c>
      <c r="P2115" s="7">
        <f ca="1">SUMIFS($N$2:$N2115,$B$2:$B2115,"&lt;&gt;"&amp;B2115)+SUM($Q$2:$Q2115)</f>
        <v>90.195000000000007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49"/>
        <v>2106</v>
      </c>
      <c r="P2116" s="7">
        <f ca="1">SUMIFS($N$2:$N2116,$B$2:$B2116,"&lt;&gt;"&amp;B2116)+SUM($Q$2:$Q2116)</f>
        <v>90.195000000000007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49"/>
        <v>2107</v>
      </c>
      <c r="P2117" s="7">
        <f ca="1">SUMIFS($N$2:$N2117,$B$2:$B2117,"&lt;&gt;"&amp;B2117)+SUM($Q$2:$Q2117)</f>
        <v>90.195000000000007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49"/>
        <v>2108</v>
      </c>
      <c r="P2118" s="7">
        <f ca="1">SUMIFS($N$2:$N2118,$B$2:$B2118,"&lt;&gt;"&amp;B2118)+SUM($Q$2:$Q2118)</f>
        <v>90.195000000000007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49"/>
        <v>2109</v>
      </c>
      <c r="P2119" s="7">
        <f ca="1">SUMIFS($N$2:$N2119,$B$2:$B2119,"&lt;&gt;"&amp;B2119)+SUM($Q$2:$Q2119)</f>
        <v>90.195000000000007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49"/>
        <v>2110</v>
      </c>
      <c r="P2120" s="7">
        <f ca="1">SUMIFS($N$2:$N2120,$B$2:$B2120,"&lt;&gt;"&amp;B2120)+SUM($Q$2:$Q2120)</f>
        <v>90.195000000000007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49"/>
        <v>2111</v>
      </c>
      <c r="P2121" s="7">
        <f ca="1">SUMIFS($N$2:$N2121,$B$2:$B2121,"&lt;&gt;"&amp;B2121)+SUM($Q$2:$Q2121)</f>
        <v>90.195000000000007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49"/>
        <v>2112</v>
      </c>
      <c r="P2122" s="7">
        <f ca="1">SUMIFS($N$2:$N2122,$B$2:$B2122,"&lt;&gt;"&amp;B2122)+SUM($Q$2:$Q2122)</f>
        <v>90.195000000000007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49"/>
        <v>2113</v>
      </c>
      <c r="P2123" s="7">
        <f ca="1">SUMIFS($N$2:$N2123,$B$2:$B2123,"&lt;&gt;"&amp;B2123)+SUM($Q$2:$Q2123)</f>
        <v>90.195000000000007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49"/>
        <v>2114</v>
      </c>
      <c r="P2124" s="7">
        <f ca="1">SUMIFS($N$2:$N2124,$B$2:$B2124,"&lt;&gt;"&amp;B2124)+SUM($Q$2:$Q2124)</f>
        <v>90.195000000000007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49"/>
        <v>2115</v>
      </c>
      <c r="P2125" s="7">
        <f ca="1">SUMIFS($N$2:$N2125,$B$2:$B2125,"&lt;&gt;"&amp;B2125)+SUM($Q$2:$Q2125)</f>
        <v>90.195000000000007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49"/>
        <v>2116</v>
      </c>
      <c r="P2126" s="7">
        <f ca="1">SUMIFS($N$2:$N2126,$B$2:$B2126,"&lt;&gt;"&amp;B2126)+SUM($Q$2:$Q2126)</f>
        <v>90.195000000000007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49"/>
        <v>2117</v>
      </c>
      <c r="P2127" s="7">
        <f ca="1">SUMIFS($N$2:$N2127,$B$2:$B2127,"&lt;&gt;"&amp;B2127)+SUM($Q$2:$Q2127)</f>
        <v>90.195000000000007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49"/>
        <v>2118</v>
      </c>
      <c r="P2128" s="7">
        <f ca="1">SUMIFS($N$2:$N2128,$B$2:$B2128,"&lt;&gt;"&amp;B2128)+SUM($Q$2:$Q2128)</f>
        <v>90.195000000000007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49"/>
        <v>2119</v>
      </c>
      <c r="P2129" s="7">
        <f ca="1">SUMIFS($N$2:$N2129,$B$2:$B2129,"&lt;&gt;"&amp;B2129)+SUM($Q$2:$Q2129)</f>
        <v>90.195000000000007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49"/>
        <v>2120</v>
      </c>
      <c r="P2130" s="7">
        <f ca="1">SUMIFS($N$2:$N2130,$B$2:$B2130,"&lt;&gt;"&amp;B2130)+SUM($Q$2:$Q2130)</f>
        <v>90.195000000000007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49"/>
        <v>2121</v>
      </c>
      <c r="P2131" s="7">
        <f ca="1">SUMIFS($N$2:$N2131,$B$2:$B2131,"&lt;&gt;"&amp;B2131)+SUM($Q$2:$Q2131)</f>
        <v>90.195000000000007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49"/>
        <v>2122</v>
      </c>
      <c r="P2132" s="7">
        <f ca="1">SUMIFS($N$2:$N2132,$B$2:$B2132,"&lt;&gt;"&amp;B2132)+SUM($Q$2:$Q2132)</f>
        <v>90.195000000000007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49"/>
        <v>2123</v>
      </c>
      <c r="P2133" s="7">
        <f ca="1">SUMIFS($N$2:$N2133,$B$2:$B2133,"&lt;&gt;"&amp;B2133)+SUM($Q$2:$Q2133)</f>
        <v>90.195000000000007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49"/>
        <v>2124</v>
      </c>
      <c r="P2134" s="7">
        <f ca="1">SUMIFS($N$2:$N2134,$B$2:$B2134,"&lt;&gt;"&amp;B2134)+SUM($Q$2:$Q2134)</f>
        <v>90.195000000000007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49"/>
        <v>2125</v>
      </c>
      <c r="P2135" s="7">
        <f ca="1">SUMIFS($N$2:$N2135,$B$2:$B2135,"&lt;&gt;"&amp;B2135)+SUM($Q$2:$Q2135)</f>
        <v>90.195000000000007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49"/>
        <v>2126</v>
      </c>
      <c r="P2136" s="7">
        <f ca="1">SUMIFS($N$2:$N2136,$B$2:$B2136,"&lt;&gt;"&amp;B2136)+SUM($Q$2:$Q2136)</f>
        <v>90.195000000000007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49"/>
        <v>2127</v>
      </c>
      <c r="P2137" s="7">
        <f ca="1">SUMIFS($N$2:$N2137,$B$2:$B2137,"&lt;&gt;"&amp;B2137)+SUM($Q$2:$Q2137)</f>
        <v>90.195000000000007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49"/>
        <v>2128</v>
      </c>
      <c r="P2138" s="7">
        <f ca="1">SUMIFS($N$2:$N2138,$B$2:$B2138,"&lt;&gt;"&amp;B2138)+SUM($Q$2:$Q2138)</f>
        <v>90.195000000000007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49"/>
        <v>2129</v>
      </c>
      <c r="P2139" s="7">
        <f ca="1">SUMIFS($N$2:$N2139,$B$2:$B2139,"&lt;&gt;"&amp;B2139)+SUM($Q$2:$Q2139)</f>
        <v>90.195000000000007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49"/>
        <v>2130</v>
      </c>
      <c r="P2140" s="7">
        <f ca="1">SUMIFS($N$2:$N2140,$B$2:$B2140,"&lt;&gt;"&amp;B2140)+SUM($Q$2:$Q2140)</f>
        <v>90.195000000000007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49"/>
        <v>2131</v>
      </c>
      <c r="P2141" s="7">
        <f ca="1">SUMIFS($N$2:$N2141,$B$2:$B2141,"&lt;&gt;"&amp;B2141)+SUM($Q$2:$Q2141)</f>
        <v>90.195000000000007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49"/>
        <v>2132</v>
      </c>
      <c r="P2142" s="7">
        <f ca="1">SUMIFS($N$2:$N2142,$B$2:$B2142,"&lt;&gt;"&amp;B2142)+SUM($Q$2:$Q2142)</f>
        <v>90.195000000000007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49"/>
        <v>2133</v>
      </c>
      <c r="P2143" s="7">
        <f ca="1">SUMIFS($N$2:$N2143,$B$2:$B2143,"&lt;&gt;"&amp;B2143)+SUM($Q$2:$Q2143)</f>
        <v>90.195000000000007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49"/>
        <v>2134</v>
      </c>
      <c r="P2144" s="7">
        <f ca="1">SUMIFS($N$2:$N2144,$B$2:$B2144,"&lt;&gt;"&amp;B2144)+SUM($Q$2:$Q2144)</f>
        <v>90.195000000000007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49"/>
        <v>2135</v>
      </c>
      <c r="P2145" s="7">
        <f ca="1">SUMIFS($N$2:$N2145,$B$2:$B2145,"&lt;&gt;"&amp;B2145)+SUM($Q$2:$Q2145)</f>
        <v>90.195000000000007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si="49"/>
        <v>2136</v>
      </c>
      <c r="P2146" s="7">
        <f ca="1">SUMIFS($N$2:$N2146,$B$2:$B2146,"&lt;&gt;"&amp;B2146)+SUM($Q$2:$Q2146)</f>
        <v>90.195000000000007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49"/>
        <v>2137</v>
      </c>
      <c r="P2147" s="7">
        <f ca="1">SUMIFS($N$2:$N2147,$B$2:$B2147,"&lt;&gt;"&amp;B2147)+SUM($Q$2:$Q2147)</f>
        <v>90.195000000000007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49"/>
        <v>2138</v>
      </c>
      <c r="P2148" s="7">
        <f ca="1">SUMIFS($N$2:$N2148,$B$2:$B2148,"&lt;&gt;"&amp;B2148)+SUM($Q$2:$Q2148)</f>
        <v>90.195000000000007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49"/>
        <v>2139</v>
      </c>
      <c r="P2149" s="7">
        <f ca="1">SUMIFS($N$2:$N2149,$B$2:$B2149,"&lt;&gt;"&amp;B2149)+SUM($Q$2:$Q2149)</f>
        <v>90.195000000000007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49"/>
        <v>2140</v>
      </c>
      <c r="P2150" s="7">
        <f ca="1">SUMIFS($N$2:$N2150,$B$2:$B2150,"&lt;&gt;"&amp;B2150)+SUM($Q$2:$Q2150)</f>
        <v>90.195000000000007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49"/>
        <v>2141</v>
      </c>
      <c r="P2151" s="7">
        <f ca="1">SUMIFS($N$2:$N2151,$B$2:$B2151,"&lt;&gt;"&amp;B2151)+SUM($Q$2:$Q2151)</f>
        <v>90.195000000000007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49"/>
        <v>2142</v>
      </c>
      <c r="P2152" s="7">
        <f ca="1">SUMIFS($N$2:$N2152,$B$2:$B2152,"&lt;&gt;"&amp;B2152)+SUM($Q$2:$Q2152)</f>
        <v>90.195000000000007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49"/>
        <v>2143</v>
      </c>
      <c r="P2153" s="7">
        <f ca="1">SUMIFS($N$2:$N2153,$B$2:$B2153,"&lt;&gt;"&amp;B2153)+SUM($Q$2:$Q2153)</f>
        <v>90.195000000000007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49"/>
        <v>2144</v>
      </c>
      <c r="P2154" s="7">
        <f ca="1">SUMIFS($N$2:$N2154,$B$2:$B2154,"&lt;&gt;"&amp;B2154)+SUM($Q$2:$Q2154)</f>
        <v>90.195000000000007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49"/>
        <v>2145</v>
      </c>
      <c r="P2155" s="7">
        <f ca="1">SUMIFS($N$2:$N2155,$B$2:$B2155,"&lt;&gt;"&amp;B2155)+SUM($Q$2:$Q2155)</f>
        <v>90.195000000000007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49"/>
        <v>2146</v>
      </c>
      <c r="P2156" s="7">
        <f ca="1">SUMIFS($N$2:$N2156,$B$2:$B2156,"&lt;&gt;"&amp;B2156)+SUM($Q$2:$Q2156)</f>
        <v>90.195000000000007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49"/>
        <v>2147</v>
      </c>
      <c r="P2157" s="7">
        <f ca="1">SUMIFS($N$2:$N2157,$B$2:$B2157,"&lt;&gt;"&amp;B2157)+SUM($Q$2:$Q2157)</f>
        <v>90.195000000000007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49"/>
        <v>2148</v>
      </c>
      <c r="P2158" s="7">
        <f ca="1">SUMIFS($N$2:$N2158,$B$2:$B2158,"&lt;&gt;"&amp;B2158)+SUM($Q$2:$Q2158)</f>
        <v>90.195000000000007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49"/>
        <v>2149</v>
      </c>
      <c r="P2159" s="7">
        <f ca="1">SUMIFS($N$2:$N2159,$B$2:$B2159,"&lt;&gt;"&amp;B2159)+SUM($Q$2:$Q2159)</f>
        <v>90.195000000000007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49"/>
        <v>2150</v>
      </c>
      <c r="P2160" s="7">
        <f ca="1">SUMIFS($N$2:$N2160,$B$2:$B2160,"&lt;&gt;"&amp;B2160)+SUM($Q$2:$Q2160)</f>
        <v>90.195000000000007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49"/>
        <v>2151</v>
      </c>
      <c r="P2161" s="7">
        <f ca="1">SUMIFS($N$2:$N2161,$B$2:$B2161,"&lt;&gt;"&amp;B2161)+SUM($Q$2:$Q2161)</f>
        <v>90.195000000000007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49"/>
        <v>2152</v>
      </c>
      <c r="P2162" s="7">
        <f ca="1">SUMIFS($N$2:$N2162,$B$2:$B2162,"&lt;&gt;"&amp;B2162)+SUM($Q$2:$Q2162)</f>
        <v>90.195000000000007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49"/>
        <v>2153</v>
      </c>
      <c r="P2163" s="7">
        <f ca="1">SUMIFS($N$2:$N2163,$B$2:$B2163,"&lt;&gt;"&amp;B2163)+SUM($Q$2:$Q2163)</f>
        <v>90.195000000000007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49"/>
        <v>2154</v>
      </c>
      <c r="P2164" s="7">
        <f ca="1">SUMIFS($N$2:$N2164,$B$2:$B2164,"&lt;&gt;"&amp;B2164)+SUM($Q$2:$Q2164)</f>
        <v>90.195000000000007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49"/>
        <v>2155</v>
      </c>
      <c r="P2165" s="7">
        <f ca="1">SUMIFS($N$2:$N2165,$B$2:$B2165,"&lt;&gt;"&amp;B2165)+SUM($Q$2:$Q2165)</f>
        <v>90.195000000000007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49"/>
        <v>2156</v>
      </c>
      <c r="P2166" s="7">
        <f ca="1">SUMIFS($N$2:$N2166,$B$2:$B2166,"&lt;&gt;"&amp;B2166)+SUM($Q$2:$Q2166)</f>
        <v>90.195000000000007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49"/>
        <v>2157</v>
      </c>
      <c r="P2167" s="7">
        <f ca="1">SUMIFS($N$2:$N2167,$B$2:$B2167,"&lt;&gt;"&amp;B2167)+SUM($Q$2:$Q2167)</f>
        <v>90.195000000000007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49"/>
        <v>2158</v>
      </c>
      <c r="P2168" s="7">
        <f ca="1">SUMIFS($N$2:$N2168,$B$2:$B2168,"&lt;&gt;"&amp;B2168)+SUM($Q$2:$Q2168)</f>
        <v>90.195000000000007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49"/>
        <v>2159</v>
      </c>
      <c r="P2169" s="7">
        <f ca="1">SUMIFS($N$2:$N2169,$B$2:$B2169,"&lt;&gt;"&amp;B2169)+SUM($Q$2:$Q2169)</f>
        <v>90.195000000000007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49"/>
        <v>2160</v>
      </c>
      <c r="P2170" s="7">
        <f ca="1">SUMIFS($N$2:$N2170,$B$2:$B2170,"&lt;&gt;"&amp;B2170)+SUM($Q$2:$Q2170)</f>
        <v>90.195000000000007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49"/>
        <v>2161</v>
      </c>
      <c r="P2171" s="7">
        <f ca="1">SUMIFS($N$2:$N2171,$B$2:$B2171,"&lt;&gt;"&amp;B2171)+SUM($Q$2:$Q2171)</f>
        <v>90.195000000000007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49"/>
        <v>2162</v>
      </c>
      <c r="P2172" s="7">
        <f ca="1">SUMIFS($N$2:$N2172,$B$2:$B2172,"&lt;&gt;"&amp;B2172)+SUM($Q$2:$Q2172)</f>
        <v>90.195000000000007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49"/>
        <v>2163</v>
      </c>
      <c r="P2173" s="7">
        <f ca="1">SUMIFS($N$2:$N2173,$B$2:$B2173,"&lt;&gt;"&amp;B2173)+SUM($Q$2:$Q2173)</f>
        <v>90.195000000000007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49"/>
        <v>2164</v>
      </c>
      <c r="P2174" s="7">
        <f ca="1">SUMIFS($N$2:$N2174,$B$2:$B2174,"&lt;&gt;"&amp;B2174)+SUM($Q$2:$Q2174)</f>
        <v>90.195000000000007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49"/>
        <v>2165</v>
      </c>
      <c r="P2175" s="7">
        <f ca="1">SUMIFS($N$2:$N2175,$B$2:$B2175,"&lt;&gt;"&amp;B2175)+SUM($Q$2:$Q2175)</f>
        <v>90.195000000000007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49"/>
        <v>2166</v>
      </c>
      <c r="P2176" s="7">
        <f ca="1">SUMIFS($N$2:$N2176,$B$2:$B2176,"&lt;&gt;"&amp;B2176)+SUM($Q$2:$Q2176)</f>
        <v>90.195000000000007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49"/>
        <v>2167</v>
      </c>
      <c r="P2177" s="7">
        <f ca="1">SUMIFS($N$2:$N2177,$B$2:$B2177,"&lt;&gt;"&amp;B2177)+SUM($Q$2:$Q2177)</f>
        <v>90.195000000000007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49"/>
        <v>2168</v>
      </c>
      <c r="P2178" s="7">
        <f ca="1">SUMIFS($N$2:$N2178,$B$2:$B2178,"&lt;&gt;"&amp;B2178)+SUM($Q$2:$Q2178)</f>
        <v>90.195000000000007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ref="A2179:A2242" si="50">IF(AND(B2179="", D2179&lt;&gt;""), A2178, A2178+1)</f>
        <v>2169</v>
      </c>
      <c r="P2179" s="7">
        <f ca="1">SUMIFS($N$2:$N2179,$B$2:$B2179,"&lt;&gt;"&amp;B2179)+SUM($Q$2:$Q2179)</f>
        <v>90.195000000000007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50"/>
        <v>2170</v>
      </c>
      <c r="P2180" s="7">
        <f ca="1">SUMIFS($N$2:$N2180,$B$2:$B2180,"&lt;&gt;"&amp;B2180)+SUM($Q$2:$Q2180)</f>
        <v>90.195000000000007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50"/>
        <v>2171</v>
      </c>
      <c r="P2181" s="7">
        <f ca="1">SUMIFS($N$2:$N2181,$B$2:$B2181,"&lt;&gt;"&amp;B2181)+SUM($Q$2:$Q2181)</f>
        <v>90.195000000000007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50"/>
        <v>2172</v>
      </c>
      <c r="P2182" s="7">
        <f ca="1">SUMIFS($N$2:$N2182,$B$2:$B2182,"&lt;&gt;"&amp;B2182)+SUM($Q$2:$Q2182)</f>
        <v>90.195000000000007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50"/>
        <v>2173</v>
      </c>
      <c r="P2183" s="7">
        <f ca="1">SUMIFS($N$2:$N2183,$B$2:$B2183,"&lt;&gt;"&amp;B2183)+SUM($Q$2:$Q2183)</f>
        <v>90.195000000000007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50"/>
        <v>2174</v>
      </c>
      <c r="P2184" s="7">
        <f ca="1">SUMIFS($N$2:$N2184,$B$2:$B2184,"&lt;&gt;"&amp;B2184)+SUM($Q$2:$Q2184)</f>
        <v>90.195000000000007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50"/>
        <v>2175</v>
      </c>
      <c r="P2185" s="7">
        <f ca="1">SUMIFS($N$2:$N2185,$B$2:$B2185,"&lt;&gt;"&amp;B2185)+SUM($Q$2:$Q2185)</f>
        <v>90.195000000000007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50"/>
        <v>2176</v>
      </c>
      <c r="P2186" s="7">
        <f ca="1">SUMIFS($N$2:$N2186,$B$2:$B2186,"&lt;&gt;"&amp;B2186)+SUM($Q$2:$Q2186)</f>
        <v>90.195000000000007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50"/>
        <v>2177</v>
      </c>
      <c r="P2187" s="7">
        <f ca="1">SUMIFS($N$2:$N2187,$B$2:$B2187,"&lt;&gt;"&amp;B2187)+SUM($Q$2:$Q2187)</f>
        <v>90.195000000000007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50"/>
        <v>2178</v>
      </c>
      <c r="P2188" s="7">
        <f ca="1">SUMIFS($N$2:$N2188,$B$2:$B2188,"&lt;&gt;"&amp;B2188)+SUM($Q$2:$Q2188)</f>
        <v>90.195000000000007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50"/>
        <v>2179</v>
      </c>
      <c r="P2189" s="7">
        <f ca="1">SUMIFS($N$2:$N2189,$B$2:$B2189,"&lt;&gt;"&amp;B2189)+SUM($Q$2:$Q2189)</f>
        <v>90.195000000000007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50"/>
        <v>2180</v>
      </c>
      <c r="P2190" s="7">
        <f ca="1">SUMIFS($N$2:$N2190,$B$2:$B2190,"&lt;&gt;"&amp;B2190)+SUM($Q$2:$Q2190)</f>
        <v>90.195000000000007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50"/>
        <v>2181</v>
      </c>
      <c r="P2191" s="7">
        <f ca="1">SUMIFS($N$2:$N2191,$B$2:$B2191,"&lt;&gt;"&amp;B2191)+SUM($Q$2:$Q2191)</f>
        <v>90.195000000000007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50"/>
        <v>2182</v>
      </c>
      <c r="P2192" s="7">
        <f ca="1">SUMIFS($N$2:$N2192,$B$2:$B2192,"&lt;&gt;"&amp;B2192)+SUM($Q$2:$Q2192)</f>
        <v>90.195000000000007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50"/>
        <v>2183</v>
      </c>
      <c r="P2193" s="7">
        <f ca="1">SUMIFS($N$2:$N2193,$B$2:$B2193,"&lt;&gt;"&amp;B2193)+SUM($Q$2:$Q2193)</f>
        <v>90.195000000000007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50"/>
        <v>2184</v>
      </c>
      <c r="P2194" s="7">
        <f ca="1">SUMIFS($N$2:$N2194,$B$2:$B2194,"&lt;&gt;"&amp;B2194)+SUM($Q$2:$Q2194)</f>
        <v>90.195000000000007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50"/>
        <v>2185</v>
      </c>
      <c r="P2195" s="7">
        <f ca="1">SUMIFS($N$2:$N2195,$B$2:$B2195,"&lt;&gt;"&amp;B2195)+SUM($Q$2:$Q2195)</f>
        <v>90.195000000000007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50"/>
        <v>2186</v>
      </c>
      <c r="P2196" s="7">
        <f ca="1">SUMIFS($N$2:$N2196,$B$2:$B2196,"&lt;&gt;"&amp;B2196)+SUM($Q$2:$Q2196)</f>
        <v>90.195000000000007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50"/>
        <v>2187</v>
      </c>
      <c r="P2197" s="7">
        <f ca="1">SUMIFS($N$2:$N2197,$B$2:$B2197,"&lt;&gt;"&amp;B2197)+SUM($Q$2:$Q2197)</f>
        <v>90.195000000000007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50"/>
        <v>2188</v>
      </c>
      <c r="P2198" s="7">
        <f ca="1">SUMIFS($N$2:$N2198,$B$2:$B2198,"&lt;&gt;"&amp;B2198)+SUM($Q$2:$Q2198)</f>
        <v>90.195000000000007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50"/>
        <v>2189</v>
      </c>
      <c r="P2199" s="7">
        <f ca="1">SUMIFS($N$2:$N2199,$B$2:$B2199,"&lt;&gt;"&amp;B2199)+SUM($Q$2:$Q2199)</f>
        <v>90.195000000000007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50"/>
        <v>2190</v>
      </c>
      <c r="P2200" s="7">
        <f ca="1">SUMIFS($N$2:$N2200,$B$2:$B2200,"&lt;&gt;"&amp;B2200)+SUM($Q$2:$Q2200)</f>
        <v>90.195000000000007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50"/>
        <v>2191</v>
      </c>
      <c r="P2201" s="7">
        <f ca="1">SUMIFS($N$2:$N2201,$B$2:$B2201,"&lt;&gt;"&amp;B2201)+SUM($Q$2:$Q2201)</f>
        <v>90.195000000000007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50"/>
        <v>2192</v>
      </c>
      <c r="P2202" s="7">
        <f ca="1">SUMIFS($N$2:$N2202,$B$2:$B2202,"&lt;&gt;"&amp;B2202)+SUM($Q$2:$Q2202)</f>
        <v>90.195000000000007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50"/>
        <v>2193</v>
      </c>
      <c r="P2203" s="7">
        <f ca="1">SUMIFS($N$2:$N2203,$B$2:$B2203,"&lt;&gt;"&amp;B2203)+SUM($Q$2:$Q2203)</f>
        <v>90.195000000000007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50"/>
        <v>2194</v>
      </c>
      <c r="P2204" s="7">
        <f ca="1">SUMIFS($N$2:$N2204,$B$2:$B2204,"&lt;&gt;"&amp;B2204)+SUM($Q$2:$Q2204)</f>
        <v>90.195000000000007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50"/>
        <v>2195</v>
      </c>
      <c r="P2205" s="7">
        <f ca="1">SUMIFS($N$2:$N2205,$B$2:$B2205,"&lt;&gt;"&amp;B2205)+SUM($Q$2:$Q2205)</f>
        <v>90.195000000000007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50"/>
        <v>2196</v>
      </c>
      <c r="P2206" s="7">
        <f ca="1">SUMIFS($N$2:$N2206,$B$2:$B2206,"&lt;&gt;"&amp;B2206)+SUM($Q$2:$Q2206)</f>
        <v>90.195000000000007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50"/>
        <v>2197</v>
      </c>
      <c r="P2207" s="7">
        <f ca="1">SUMIFS($N$2:$N2207,$B$2:$B2207,"&lt;&gt;"&amp;B2207)+SUM($Q$2:$Q2207)</f>
        <v>90.195000000000007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50"/>
        <v>2198</v>
      </c>
      <c r="P2208" s="7">
        <f ca="1">SUMIFS($N$2:$N2208,$B$2:$B2208,"&lt;&gt;"&amp;B2208)+SUM($Q$2:$Q2208)</f>
        <v>90.195000000000007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50"/>
        <v>2199</v>
      </c>
      <c r="P2209" s="7">
        <f ca="1">SUMIFS($N$2:$N2209,$B$2:$B2209,"&lt;&gt;"&amp;B2209)+SUM($Q$2:$Q2209)</f>
        <v>90.195000000000007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si="50"/>
        <v>2200</v>
      </c>
      <c r="P2210" s="7">
        <f ca="1">SUMIFS($N$2:$N2210,$B$2:$B2210,"&lt;&gt;"&amp;B2210)+SUM($Q$2:$Q2210)</f>
        <v>90.195000000000007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50"/>
        <v>2201</v>
      </c>
      <c r="P2211" s="7">
        <f ca="1">SUMIFS($N$2:$N2211,$B$2:$B2211,"&lt;&gt;"&amp;B2211)+SUM($Q$2:$Q2211)</f>
        <v>90.195000000000007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50"/>
        <v>2202</v>
      </c>
      <c r="P2212" s="7">
        <f ca="1">SUMIFS($N$2:$N2212,$B$2:$B2212,"&lt;&gt;"&amp;B2212)+SUM($Q$2:$Q2212)</f>
        <v>90.195000000000007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50"/>
        <v>2203</v>
      </c>
      <c r="P2213" s="7">
        <f ca="1">SUMIFS($N$2:$N2213,$B$2:$B2213,"&lt;&gt;"&amp;B2213)+SUM($Q$2:$Q2213)</f>
        <v>90.195000000000007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50"/>
        <v>2204</v>
      </c>
      <c r="P2214" s="7">
        <f ca="1">SUMIFS($N$2:$N2214,$B$2:$B2214,"&lt;&gt;"&amp;B2214)+SUM($Q$2:$Q2214)</f>
        <v>90.195000000000007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50"/>
        <v>2205</v>
      </c>
      <c r="P2215" s="7">
        <f ca="1">SUMIFS($N$2:$N2215,$B$2:$B2215,"&lt;&gt;"&amp;B2215)+SUM($Q$2:$Q2215)</f>
        <v>90.195000000000007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50"/>
        <v>2206</v>
      </c>
      <c r="P2216" s="7">
        <f ca="1">SUMIFS($N$2:$N2216,$B$2:$B2216,"&lt;&gt;"&amp;B2216)+SUM($Q$2:$Q2216)</f>
        <v>90.195000000000007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50"/>
        <v>2207</v>
      </c>
      <c r="P2217" s="7">
        <f ca="1">SUMIFS($N$2:$N2217,$B$2:$B2217,"&lt;&gt;"&amp;B2217)+SUM($Q$2:$Q2217)</f>
        <v>90.195000000000007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50"/>
        <v>2208</v>
      </c>
      <c r="P2218" s="7">
        <f ca="1">SUMIFS($N$2:$N2218,$B$2:$B2218,"&lt;&gt;"&amp;B2218)+SUM($Q$2:$Q2218)</f>
        <v>90.195000000000007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50"/>
        <v>2209</v>
      </c>
      <c r="P2219" s="7">
        <f ca="1">SUMIFS($N$2:$N2219,$B$2:$B2219,"&lt;&gt;"&amp;B2219)+SUM($Q$2:$Q2219)</f>
        <v>90.195000000000007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50"/>
        <v>2210</v>
      </c>
      <c r="P2220" s="7">
        <f ca="1">SUMIFS($N$2:$N2220,$B$2:$B2220,"&lt;&gt;"&amp;B2220)+SUM($Q$2:$Q2220)</f>
        <v>90.195000000000007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50"/>
        <v>2211</v>
      </c>
      <c r="P2221" s="7">
        <f ca="1">SUMIFS($N$2:$N2221,$B$2:$B2221,"&lt;&gt;"&amp;B2221)+SUM($Q$2:$Q2221)</f>
        <v>90.195000000000007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50"/>
        <v>2212</v>
      </c>
      <c r="P2222" s="7">
        <f ca="1">SUMIFS($N$2:$N2222,$B$2:$B2222,"&lt;&gt;"&amp;B2222)+SUM($Q$2:$Q2222)</f>
        <v>90.195000000000007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50"/>
        <v>2213</v>
      </c>
      <c r="P2223" s="7">
        <f ca="1">SUMIFS($N$2:$N2223,$B$2:$B2223,"&lt;&gt;"&amp;B2223)+SUM($Q$2:$Q2223)</f>
        <v>90.195000000000007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50"/>
        <v>2214</v>
      </c>
      <c r="P2224" s="7">
        <f ca="1">SUMIFS($N$2:$N2224,$B$2:$B2224,"&lt;&gt;"&amp;B2224)+SUM($Q$2:$Q2224)</f>
        <v>90.195000000000007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50"/>
        <v>2215</v>
      </c>
      <c r="P2225" s="7">
        <f ca="1">SUMIFS($N$2:$N2225,$B$2:$B2225,"&lt;&gt;"&amp;B2225)+SUM($Q$2:$Q2225)</f>
        <v>90.195000000000007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50"/>
        <v>2216</v>
      </c>
      <c r="P2226" s="7">
        <f ca="1">SUMIFS($N$2:$N2226,$B$2:$B2226,"&lt;&gt;"&amp;B2226)+SUM($Q$2:$Q2226)</f>
        <v>90.195000000000007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50"/>
        <v>2217</v>
      </c>
      <c r="P2227" s="7">
        <f ca="1">SUMIFS($N$2:$N2227,$B$2:$B2227,"&lt;&gt;"&amp;B2227)+SUM($Q$2:$Q2227)</f>
        <v>90.195000000000007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50"/>
        <v>2218</v>
      </c>
      <c r="P2228" s="7">
        <f ca="1">SUMIFS($N$2:$N2228,$B$2:$B2228,"&lt;&gt;"&amp;B2228)+SUM($Q$2:$Q2228)</f>
        <v>90.195000000000007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50"/>
        <v>2219</v>
      </c>
      <c r="P2229" s="7">
        <f ca="1">SUMIFS($N$2:$N2229,$B$2:$B2229,"&lt;&gt;"&amp;B2229)+SUM($Q$2:$Q2229)</f>
        <v>90.195000000000007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50"/>
        <v>2220</v>
      </c>
      <c r="P2230" s="7">
        <f ca="1">SUMIFS($N$2:$N2230,$B$2:$B2230,"&lt;&gt;"&amp;B2230)+SUM($Q$2:$Q2230)</f>
        <v>90.195000000000007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50"/>
        <v>2221</v>
      </c>
      <c r="P2231" s="7">
        <f ca="1">SUMIFS($N$2:$N2231,$B$2:$B2231,"&lt;&gt;"&amp;B2231)+SUM($Q$2:$Q2231)</f>
        <v>90.195000000000007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50"/>
        <v>2222</v>
      </c>
      <c r="P2232" s="7">
        <f ca="1">SUMIFS($N$2:$N2232,$B$2:$B2232,"&lt;&gt;"&amp;B2232)+SUM($Q$2:$Q2232)</f>
        <v>90.195000000000007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50"/>
        <v>2223</v>
      </c>
      <c r="P2233" s="7">
        <f ca="1">SUMIFS($N$2:$N2233,$B$2:$B2233,"&lt;&gt;"&amp;B2233)+SUM($Q$2:$Q2233)</f>
        <v>90.195000000000007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50"/>
        <v>2224</v>
      </c>
      <c r="P2234" s="7">
        <f ca="1">SUMIFS($N$2:$N2234,$B$2:$B2234,"&lt;&gt;"&amp;B2234)+SUM($Q$2:$Q2234)</f>
        <v>90.195000000000007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50"/>
        <v>2225</v>
      </c>
      <c r="P2235" s="7">
        <f ca="1">SUMIFS($N$2:$N2235,$B$2:$B2235,"&lt;&gt;"&amp;B2235)+SUM($Q$2:$Q2235)</f>
        <v>90.195000000000007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50"/>
        <v>2226</v>
      </c>
      <c r="P2236" s="7">
        <f ca="1">SUMIFS($N$2:$N2236,$B$2:$B2236,"&lt;&gt;"&amp;B2236)+SUM($Q$2:$Q2236)</f>
        <v>90.195000000000007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50"/>
        <v>2227</v>
      </c>
      <c r="P2237" s="7">
        <f ca="1">SUMIFS($N$2:$N2237,$B$2:$B2237,"&lt;&gt;"&amp;B2237)+SUM($Q$2:$Q2237)</f>
        <v>90.195000000000007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50"/>
        <v>2228</v>
      </c>
      <c r="P2238" s="7">
        <f ca="1">SUMIFS($N$2:$N2238,$B$2:$B2238,"&lt;&gt;"&amp;B2238)+SUM($Q$2:$Q2238)</f>
        <v>90.195000000000007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50"/>
        <v>2229</v>
      </c>
      <c r="P2239" s="7">
        <f ca="1">SUMIFS($N$2:$N2239,$B$2:$B2239,"&lt;&gt;"&amp;B2239)+SUM($Q$2:$Q2239)</f>
        <v>90.195000000000007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50"/>
        <v>2230</v>
      </c>
      <c r="P2240" s="7">
        <f ca="1">SUMIFS($N$2:$N2240,$B$2:$B2240,"&lt;&gt;"&amp;B2240)+SUM($Q$2:$Q2240)</f>
        <v>90.195000000000007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50"/>
        <v>2231</v>
      </c>
      <c r="P2241" s="7">
        <f ca="1">SUMIFS($N$2:$N2241,$B$2:$B2241,"&lt;&gt;"&amp;B2241)+SUM($Q$2:$Q2241)</f>
        <v>90.195000000000007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50"/>
        <v>2232</v>
      </c>
      <c r="P2242" s="7">
        <f ca="1">SUMIFS($N$2:$N2242,$B$2:$B2242,"&lt;&gt;"&amp;B2242)+SUM($Q$2:$Q2242)</f>
        <v>90.195000000000007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ref="A2243:A2306" si="51">IF(AND(B2243="", D2243&lt;&gt;""), A2242, A2242+1)</f>
        <v>2233</v>
      </c>
      <c r="P2243" s="7">
        <f ca="1">SUMIFS($N$2:$N2243,$B$2:$B2243,"&lt;&gt;"&amp;B2243)+SUM($Q$2:$Q2243)</f>
        <v>90.195000000000007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51"/>
        <v>2234</v>
      </c>
      <c r="P2244" s="7">
        <f ca="1">SUMIFS($N$2:$N2244,$B$2:$B2244,"&lt;&gt;"&amp;B2244)+SUM($Q$2:$Q2244)</f>
        <v>90.195000000000007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51"/>
        <v>2235</v>
      </c>
      <c r="P2245" s="7">
        <f ca="1">SUMIFS($N$2:$N2245,$B$2:$B2245,"&lt;&gt;"&amp;B2245)+SUM($Q$2:$Q2245)</f>
        <v>90.195000000000007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51"/>
        <v>2236</v>
      </c>
      <c r="P2246" s="7">
        <f ca="1">SUMIFS($N$2:$N2246,$B$2:$B2246,"&lt;&gt;"&amp;B2246)+SUM($Q$2:$Q2246)</f>
        <v>90.195000000000007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51"/>
        <v>2237</v>
      </c>
      <c r="P2247" s="7">
        <f ca="1">SUMIFS($N$2:$N2247,$B$2:$B2247,"&lt;&gt;"&amp;B2247)+SUM($Q$2:$Q2247)</f>
        <v>90.195000000000007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51"/>
        <v>2238</v>
      </c>
      <c r="P2248" s="7">
        <f ca="1">SUMIFS($N$2:$N2248,$B$2:$B2248,"&lt;&gt;"&amp;B2248)+SUM($Q$2:$Q2248)</f>
        <v>90.195000000000007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51"/>
        <v>2239</v>
      </c>
      <c r="P2249" s="7">
        <f ca="1">SUMIFS($N$2:$N2249,$B$2:$B2249,"&lt;&gt;"&amp;B2249)+SUM($Q$2:$Q2249)</f>
        <v>90.195000000000007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51"/>
        <v>2240</v>
      </c>
      <c r="P2250" s="7">
        <f ca="1">SUMIFS($N$2:$N2250,$B$2:$B2250,"&lt;&gt;"&amp;B2250)+SUM($Q$2:$Q2250)</f>
        <v>90.195000000000007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51"/>
        <v>2241</v>
      </c>
      <c r="P2251" s="7">
        <f ca="1">SUMIFS($N$2:$N2251,$B$2:$B2251,"&lt;&gt;"&amp;B2251)+SUM($Q$2:$Q2251)</f>
        <v>90.195000000000007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51"/>
        <v>2242</v>
      </c>
      <c r="P2252" s="7">
        <f ca="1">SUMIFS($N$2:$N2252,$B$2:$B2252,"&lt;&gt;"&amp;B2252)+SUM($Q$2:$Q2252)</f>
        <v>90.195000000000007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51"/>
        <v>2243</v>
      </c>
      <c r="P2253" s="7">
        <f ca="1">SUMIFS($N$2:$N2253,$B$2:$B2253,"&lt;&gt;"&amp;B2253)+SUM($Q$2:$Q2253)</f>
        <v>90.195000000000007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51"/>
        <v>2244</v>
      </c>
      <c r="P2254" s="7">
        <f ca="1">SUMIFS($N$2:$N2254,$B$2:$B2254,"&lt;&gt;"&amp;B2254)+SUM($Q$2:$Q2254)</f>
        <v>90.195000000000007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51"/>
        <v>2245</v>
      </c>
      <c r="P2255" s="7">
        <f ca="1">SUMIFS($N$2:$N2255,$B$2:$B2255,"&lt;&gt;"&amp;B2255)+SUM($Q$2:$Q2255)</f>
        <v>90.195000000000007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51"/>
        <v>2246</v>
      </c>
      <c r="P2256" s="7">
        <f ca="1">SUMIFS($N$2:$N2256,$B$2:$B2256,"&lt;&gt;"&amp;B2256)+SUM($Q$2:$Q2256)</f>
        <v>90.195000000000007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51"/>
        <v>2247</v>
      </c>
      <c r="P2257" s="7">
        <f ca="1">SUMIFS($N$2:$N2257,$B$2:$B2257,"&lt;&gt;"&amp;B2257)+SUM($Q$2:$Q2257)</f>
        <v>90.195000000000007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51"/>
        <v>2248</v>
      </c>
      <c r="P2258" s="7">
        <f ca="1">SUMIFS($N$2:$N2258,$B$2:$B2258,"&lt;&gt;"&amp;B2258)+SUM($Q$2:$Q2258)</f>
        <v>90.195000000000007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51"/>
        <v>2249</v>
      </c>
      <c r="P2259" s="7">
        <f ca="1">SUMIFS($N$2:$N2259,$B$2:$B2259,"&lt;&gt;"&amp;B2259)+SUM($Q$2:$Q2259)</f>
        <v>90.195000000000007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51"/>
        <v>2250</v>
      </c>
      <c r="P2260" s="7">
        <f ca="1">SUMIFS($N$2:$N2260,$B$2:$B2260,"&lt;&gt;"&amp;B2260)+SUM($Q$2:$Q2260)</f>
        <v>90.195000000000007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51"/>
        <v>2251</v>
      </c>
      <c r="P2261" s="7">
        <f ca="1">SUMIFS($N$2:$N2261,$B$2:$B2261,"&lt;&gt;"&amp;B2261)+SUM($Q$2:$Q2261)</f>
        <v>90.195000000000007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51"/>
        <v>2252</v>
      </c>
      <c r="P2262" s="7">
        <f ca="1">SUMIFS($N$2:$N2262,$B$2:$B2262,"&lt;&gt;"&amp;B2262)+SUM($Q$2:$Q2262)</f>
        <v>90.195000000000007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51"/>
        <v>2253</v>
      </c>
      <c r="P2263" s="7">
        <f ca="1">SUMIFS($N$2:$N2263,$B$2:$B2263,"&lt;&gt;"&amp;B2263)+SUM($Q$2:$Q2263)</f>
        <v>90.195000000000007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51"/>
        <v>2254</v>
      </c>
      <c r="P2264" s="7">
        <f ca="1">SUMIFS($N$2:$N2264,$B$2:$B2264,"&lt;&gt;"&amp;B2264)+SUM($Q$2:$Q2264)</f>
        <v>90.195000000000007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51"/>
        <v>2255</v>
      </c>
      <c r="P2265" s="7">
        <f ca="1">SUMIFS($N$2:$N2265,$B$2:$B2265,"&lt;&gt;"&amp;B2265)+SUM($Q$2:$Q2265)</f>
        <v>90.195000000000007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51"/>
        <v>2256</v>
      </c>
      <c r="P2266" s="7">
        <f ca="1">SUMIFS($N$2:$N2266,$B$2:$B2266,"&lt;&gt;"&amp;B2266)+SUM($Q$2:$Q2266)</f>
        <v>90.195000000000007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51"/>
        <v>2257</v>
      </c>
      <c r="P2267" s="7">
        <f ca="1">SUMIFS($N$2:$N2267,$B$2:$B2267,"&lt;&gt;"&amp;B2267)+SUM($Q$2:$Q2267)</f>
        <v>90.195000000000007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51"/>
        <v>2258</v>
      </c>
      <c r="P2268" s="7">
        <f ca="1">SUMIFS($N$2:$N2268,$B$2:$B2268,"&lt;&gt;"&amp;B2268)+SUM($Q$2:$Q2268)</f>
        <v>90.195000000000007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51"/>
        <v>2259</v>
      </c>
      <c r="P2269" s="7">
        <f ca="1">SUMIFS($N$2:$N2269,$B$2:$B2269,"&lt;&gt;"&amp;B2269)+SUM($Q$2:$Q2269)</f>
        <v>90.195000000000007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51"/>
        <v>2260</v>
      </c>
      <c r="P2270" s="7">
        <f ca="1">SUMIFS($N$2:$N2270,$B$2:$B2270,"&lt;&gt;"&amp;B2270)+SUM($Q$2:$Q2270)</f>
        <v>90.195000000000007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51"/>
        <v>2261</v>
      </c>
      <c r="P2271" s="7">
        <f ca="1">SUMIFS($N$2:$N2271,$B$2:$B2271,"&lt;&gt;"&amp;B2271)+SUM($Q$2:$Q2271)</f>
        <v>90.195000000000007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51"/>
        <v>2262</v>
      </c>
      <c r="P2272" s="7">
        <f ca="1">SUMIFS($N$2:$N2272,$B$2:$B2272,"&lt;&gt;"&amp;B2272)+SUM($Q$2:$Q2272)</f>
        <v>90.195000000000007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51"/>
        <v>2263</v>
      </c>
      <c r="P2273" s="7">
        <f ca="1">SUMIFS($N$2:$N2273,$B$2:$B2273,"&lt;&gt;"&amp;B2273)+SUM($Q$2:$Q2273)</f>
        <v>90.195000000000007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si="51"/>
        <v>2264</v>
      </c>
      <c r="P2274" s="7">
        <f ca="1">SUMIFS($N$2:$N2274,$B$2:$B2274,"&lt;&gt;"&amp;B2274)+SUM($Q$2:$Q2274)</f>
        <v>90.195000000000007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51"/>
        <v>2265</v>
      </c>
      <c r="P2275" s="7">
        <f ca="1">SUMIFS($N$2:$N2275,$B$2:$B2275,"&lt;&gt;"&amp;B2275)+SUM($Q$2:$Q2275)</f>
        <v>90.195000000000007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51"/>
        <v>2266</v>
      </c>
      <c r="P2276" s="7">
        <f ca="1">SUMIFS($N$2:$N2276,$B$2:$B2276,"&lt;&gt;"&amp;B2276)+SUM($Q$2:$Q2276)</f>
        <v>90.195000000000007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51"/>
        <v>2267</v>
      </c>
      <c r="P2277" s="7">
        <f ca="1">SUMIFS($N$2:$N2277,$B$2:$B2277,"&lt;&gt;"&amp;B2277)+SUM($Q$2:$Q2277)</f>
        <v>90.195000000000007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51"/>
        <v>2268</v>
      </c>
      <c r="P2278" s="7">
        <f ca="1">SUMIFS($N$2:$N2278,$B$2:$B2278,"&lt;&gt;"&amp;B2278)+SUM($Q$2:$Q2278)</f>
        <v>90.195000000000007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51"/>
        <v>2269</v>
      </c>
      <c r="P2279" s="7">
        <f ca="1">SUMIFS($N$2:$N2279,$B$2:$B2279,"&lt;&gt;"&amp;B2279)+SUM($Q$2:$Q2279)</f>
        <v>90.195000000000007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51"/>
        <v>2270</v>
      </c>
      <c r="P2280" s="7">
        <f ca="1">SUMIFS($N$2:$N2280,$B$2:$B2280,"&lt;&gt;"&amp;B2280)+SUM($Q$2:$Q2280)</f>
        <v>90.195000000000007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51"/>
        <v>2271</v>
      </c>
      <c r="P2281" s="7">
        <f ca="1">SUMIFS($N$2:$N2281,$B$2:$B2281,"&lt;&gt;"&amp;B2281)+SUM($Q$2:$Q2281)</f>
        <v>90.195000000000007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51"/>
        <v>2272</v>
      </c>
      <c r="P2282" s="7">
        <f ca="1">SUMIFS($N$2:$N2282,$B$2:$B2282,"&lt;&gt;"&amp;B2282)+SUM($Q$2:$Q2282)</f>
        <v>90.195000000000007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51"/>
        <v>2273</v>
      </c>
      <c r="P2283" s="7">
        <f ca="1">SUMIFS($N$2:$N2283,$B$2:$B2283,"&lt;&gt;"&amp;B2283)+SUM($Q$2:$Q2283)</f>
        <v>90.195000000000007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51"/>
        <v>2274</v>
      </c>
      <c r="P2284" s="7">
        <f ca="1">SUMIFS($N$2:$N2284,$B$2:$B2284,"&lt;&gt;"&amp;B2284)+SUM($Q$2:$Q2284)</f>
        <v>90.195000000000007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51"/>
        <v>2275</v>
      </c>
      <c r="P2285" s="7">
        <f ca="1">SUMIFS($N$2:$N2285,$B$2:$B2285,"&lt;&gt;"&amp;B2285)+SUM($Q$2:$Q2285)</f>
        <v>90.195000000000007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51"/>
        <v>2276</v>
      </c>
      <c r="P2286" s="7">
        <f ca="1">SUMIFS($N$2:$N2286,$B$2:$B2286,"&lt;&gt;"&amp;B2286)+SUM($Q$2:$Q2286)</f>
        <v>90.195000000000007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51"/>
        <v>2277</v>
      </c>
      <c r="P2287" s="7">
        <f ca="1">SUMIFS($N$2:$N2287,$B$2:$B2287,"&lt;&gt;"&amp;B2287)+SUM($Q$2:$Q2287)</f>
        <v>90.195000000000007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51"/>
        <v>2278</v>
      </c>
      <c r="P2288" s="7">
        <f ca="1">SUMIFS($N$2:$N2288,$B$2:$B2288,"&lt;&gt;"&amp;B2288)+SUM($Q$2:$Q2288)</f>
        <v>90.195000000000007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51"/>
        <v>2279</v>
      </c>
      <c r="P2289" s="7">
        <f ca="1">SUMIFS($N$2:$N2289,$B$2:$B2289,"&lt;&gt;"&amp;B2289)+SUM($Q$2:$Q2289)</f>
        <v>90.195000000000007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51"/>
        <v>2280</v>
      </c>
      <c r="P2290" s="7">
        <f ca="1">SUMIFS($N$2:$N2290,$B$2:$B2290,"&lt;&gt;"&amp;B2290)+SUM($Q$2:$Q2290)</f>
        <v>90.195000000000007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51"/>
        <v>2281</v>
      </c>
      <c r="P2291" s="7">
        <f ca="1">SUMIFS($N$2:$N2291,$B$2:$B2291,"&lt;&gt;"&amp;B2291)+SUM($Q$2:$Q2291)</f>
        <v>90.195000000000007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51"/>
        <v>2282</v>
      </c>
      <c r="P2292" s="7">
        <f ca="1">SUMIFS($N$2:$N2292,$B$2:$B2292,"&lt;&gt;"&amp;B2292)+SUM($Q$2:$Q2292)</f>
        <v>90.195000000000007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51"/>
        <v>2283</v>
      </c>
      <c r="P2293" s="7">
        <f ca="1">SUMIFS($N$2:$N2293,$B$2:$B2293,"&lt;&gt;"&amp;B2293)+SUM($Q$2:$Q2293)</f>
        <v>90.195000000000007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51"/>
        <v>2284</v>
      </c>
      <c r="P2294" s="7">
        <f ca="1">SUMIFS($N$2:$N2294,$B$2:$B2294,"&lt;&gt;"&amp;B2294)+SUM($Q$2:$Q2294)</f>
        <v>90.195000000000007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51"/>
        <v>2285</v>
      </c>
      <c r="P2295" s="7">
        <f ca="1">SUMIFS($N$2:$N2295,$B$2:$B2295,"&lt;&gt;"&amp;B2295)+SUM($Q$2:$Q2295)</f>
        <v>90.195000000000007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51"/>
        <v>2286</v>
      </c>
      <c r="P2296" s="7">
        <f ca="1">SUMIFS($N$2:$N2296,$B$2:$B2296,"&lt;&gt;"&amp;B2296)+SUM($Q$2:$Q2296)</f>
        <v>90.195000000000007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51"/>
        <v>2287</v>
      </c>
      <c r="P2297" s="7">
        <f ca="1">SUMIFS($N$2:$N2297,$B$2:$B2297,"&lt;&gt;"&amp;B2297)+SUM($Q$2:$Q2297)</f>
        <v>90.195000000000007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51"/>
        <v>2288</v>
      </c>
      <c r="P2298" s="7">
        <f ca="1">SUMIFS($N$2:$N2298,$B$2:$B2298,"&lt;&gt;"&amp;B2298)+SUM($Q$2:$Q2298)</f>
        <v>90.195000000000007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51"/>
        <v>2289</v>
      </c>
      <c r="P2299" s="7">
        <f ca="1">SUMIFS($N$2:$N2299,$B$2:$B2299,"&lt;&gt;"&amp;B2299)+SUM($Q$2:$Q2299)</f>
        <v>90.195000000000007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51"/>
        <v>2290</v>
      </c>
      <c r="P2300" s="7">
        <f ca="1">SUMIFS($N$2:$N2300,$B$2:$B2300,"&lt;&gt;"&amp;B2300)+SUM($Q$2:$Q2300)</f>
        <v>90.195000000000007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51"/>
        <v>2291</v>
      </c>
      <c r="P2301" s="7">
        <f ca="1">SUMIFS($N$2:$N2301,$B$2:$B2301,"&lt;&gt;"&amp;B2301)+SUM($Q$2:$Q2301)</f>
        <v>90.195000000000007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51"/>
        <v>2292</v>
      </c>
      <c r="P2302" s="7">
        <f ca="1">SUMIFS($N$2:$N2302,$B$2:$B2302,"&lt;&gt;"&amp;B2302)+SUM($Q$2:$Q2302)</f>
        <v>90.195000000000007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51"/>
        <v>2293</v>
      </c>
      <c r="P2303" s="7">
        <f ca="1">SUMIFS($N$2:$N2303,$B$2:$B2303,"&lt;&gt;"&amp;B2303)+SUM($Q$2:$Q2303)</f>
        <v>90.195000000000007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51"/>
        <v>2294</v>
      </c>
      <c r="P2304" s="7">
        <f ca="1">SUMIFS($N$2:$N2304,$B$2:$B2304,"&lt;&gt;"&amp;B2304)+SUM($Q$2:$Q2304)</f>
        <v>90.195000000000007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51"/>
        <v>2295</v>
      </c>
      <c r="P2305" s="7">
        <f ca="1">SUMIFS($N$2:$N2305,$B$2:$B2305,"&lt;&gt;"&amp;B2305)+SUM($Q$2:$Q2305)</f>
        <v>90.195000000000007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51"/>
        <v>2296</v>
      </c>
      <c r="P2306" s="7">
        <f ca="1">SUMIFS($N$2:$N2306,$B$2:$B2306,"&lt;&gt;"&amp;B2306)+SUM($Q$2:$Q2306)</f>
        <v>90.195000000000007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ref="A2307:A2370" si="52">IF(AND(B2307="", D2307&lt;&gt;""), A2306, A2306+1)</f>
        <v>2297</v>
      </c>
      <c r="P2307" s="7">
        <f ca="1">SUMIFS($N$2:$N2307,$B$2:$B2307,"&lt;&gt;"&amp;B2307)+SUM($Q$2:$Q2307)</f>
        <v>90.195000000000007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52"/>
        <v>2298</v>
      </c>
      <c r="P2308" s="7">
        <f ca="1">SUMIFS($N$2:$N2308,$B$2:$B2308,"&lt;&gt;"&amp;B2308)+SUM($Q$2:$Q2308)</f>
        <v>90.195000000000007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52"/>
        <v>2299</v>
      </c>
      <c r="P2309" s="7">
        <f ca="1">SUMIFS($N$2:$N2309,$B$2:$B2309,"&lt;&gt;"&amp;B2309)+SUM($Q$2:$Q2309)</f>
        <v>90.195000000000007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52"/>
        <v>2300</v>
      </c>
      <c r="P2310" s="7">
        <f ca="1">SUMIFS($N$2:$N2310,$B$2:$B2310,"&lt;&gt;"&amp;B2310)+SUM($Q$2:$Q2310)</f>
        <v>90.195000000000007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52"/>
        <v>2301</v>
      </c>
      <c r="P2311" s="7">
        <f ca="1">SUMIFS($N$2:$N2311,$B$2:$B2311,"&lt;&gt;"&amp;B2311)+SUM($Q$2:$Q2311)</f>
        <v>90.195000000000007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52"/>
        <v>2302</v>
      </c>
      <c r="P2312" s="7">
        <f ca="1">SUMIFS($N$2:$N2312,$B$2:$B2312,"&lt;&gt;"&amp;B2312)+SUM($Q$2:$Q2312)</f>
        <v>90.195000000000007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52"/>
        <v>2303</v>
      </c>
      <c r="P2313" s="7">
        <f ca="1">SUMIFS($N$2:$N2313,$B$2:$B2313,"&lt;&gt;"&amp;B2313)+SUM($Q$2:$Q2313)</f>
        <v>90.195000000000007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52"/>
        <v>2304</v>
      </c>
      <c r="P2314" s="7">
        <f ca="1">SUMIFS($N$2:$N2314,$B$2:$B2314,"&lt;&gt;"&amp;B2314)+SUM($Q$2:$Q2314)</f>
        <v>90.195000000000007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52"/>
        <v>2305</v>
      </c>
      <c r="P2315" s="7">
        <f ca="1">SUMIFS($N$2:$N2315,$B$2:$B2315,"&lt;&gt;"&amp;B2315)+SUM($Q$2:$Q2315)</f>
        <v>90.195000000000007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52"/>
        <v>2306</v>
      </c>
      <c r="P2316" s="7">
        <f ca="1">SUMIFS($N$2:$N2316,$B$2:$B2316,"&lt;&gt;"&amp;B2316)+SUM($Q$2:$Q2316)</f>
        <v>90.195000000000007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52"/>
        <v>2307</v>
      </c>
      <c r="P2317" s="7">
        <f ca="1">SUMIFS($N$2:$N2317,$B$2:$B2317,"&lt;&gt;"&amp;B2317)+SUM($Q$2:$Q2317)</f>
        <v>90.195000000000007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52"/>
        <v>2308</v>
      </c>
      <c r="P2318" s="7">
        <f ca="1">SUMIFS($N$2:$N2318,$B$2:$B2318,"&lt;&gt;"&amp;B2318)+SUM($Q$2:$Q2318)</f>
        <v>90.195000000000007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52"/>
        <v>2309</v>
      </c>
      <c r="P2319" s="7">
        <f ca="1">SUMIFS($N$2:$N2319,$B$2:$B2319,"&lt;&gt;"&amp;B2319)+SUM($Q$2:$Q2319)</f>
        <v>90.195000000000007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52"/>
        <v>2310</v>
      </c>
      <c r="P2320" s="7">
        <f ca="1">SUMIFS($N$2:$N2320,$B$2:$B2320,"&lt;&gt;"&amp;B2320)+SUM($Q$2:$Q2320)</f>
        <v>90.195000000000007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52"/>
        <v>2311</v>
      </c>
      <c r="P2321" s="7">
        <f ca="1">SUMIFS($N$2:$N2321,$B$2:$B2321,"&lt;&gt;"&amp;B2321)+SUM($Q$2:$Q2321)</f>
        <v>90.195000000000007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52"/>
        <v>2312</v>
      </c>
      <c r="P2322" s="7">
        <f ca="1">SUMIFS($N$2:$N2322,$B$2:$B2322,"&lt;&gt;"&amp;B2322)+SUM($Q$2:$Q2322)</f>
        <v>90.195000000000007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52"/>
        <v>2313</v>
      </c>
      <c r="P2323" s="7">
        <f ca="1">SUMIFS($N$2:$N2323,$B$2:$B2323,"&lt;&gt;"&amp;B2323)+SUM($Q$2:$Q2323)</f>
        <v>90.195000000000007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52"/>
        <v>2314</v>
      </c>
      <c r="P2324" s="7">
        <f ca="1">SUMIFS($N$2:$N2324,$B$2:$B2324,"&lt;&gt;"&amp;B2324)+SUM($Q$2:$Q2324)</f>
        <v>90.195000000000007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52"/>
        <v>2315</v>
      </c>
      <c r="P2325" s="7">
        <f ca="1">SUMIFS($N$2:$N2325,$B$2:$B2325,"&lt;&gt;"&amp;B2325)+SUM($Q$2:$Q2325)</f>
        <v>90.195000000000007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52"/>
        <v>2316</v>
      </c>
      <c r="P2326" s="7">
        <f ca="1">SUMIFS($N$2:$N2326,$B$2:$B2326,"&lt;&gt;"&amp;B2326)+SUM($Q$2:$Q2326)</f>
        <v>90.195000000000007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52"/>
        <v>2317</v>
      </c>
      <c r="P2327" s="7">
        <f ca="1">SUMIFS($N$2:$N2327,$B$2:$B2327,"&lt;&gt;"&amp;B2327)+SUM($Q$2:$Q2327)</f>
        <v>90.195000000000007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52"/>
        <v>2318</v>
      </c>
      <c r="P2328" s="7">
        <f ca="1">SUMIFS($N$2:$N2328,$B$2:$B2328,"&lt;&gt;"&amp;B2328)+SUM($Q$2:$Q2328)</f>
        <v>90.195000000000007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52"/>
        <v>2319</v>
      </c>
      <c r="P2329" s="7">
        <f ca="1">SUMIFS($N$2:$N2329,$B$2:$B2329,"&lt;&gt;"&amp;B2329)+SUM($Q$2:$Q2329)</f>
        <v>90.195000000000007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52"/>
        <v>2320</v>
      </c>
      <c r="P2330" s="7">
        <f ca="1">SUMIFS($N$2:$N2330,$B$2:$B2330,"&lt;&gt;"&amp;B2330)+SUM($Q$2:$Q2330)</f>
        <v>90.195000000000007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52"/>
        <v>2321</v>
      </c>
      <c r="P2331" s="7">
        <f ca="1">SUMIFS($N$2:$N2331,$B$2:$B2331,"&lt;&gt;"&amp;B2331)+SUM($Q$2:$Q2331)</f>
        <v>90.195000000000007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52"/>
        <v>2322</v>
      </c>
      <c r="P2332" s="7">
        <f ca="1">SUMIFS($N$2:$N2332,$B$2:$B2332,"&lt;&gt;"&amp;B2332)+SUM($Q$2:$Q2332)</f>
        <v>90.195000000000007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52"/>
        <v>2323</v>
      </c>
      <c r="P2333" s="7">
        <f ca="1">SUMIFS($N$2:$N2333,$B$2:$B2333,"&lt;&gt;"&amp;B2333)+SUM($Q$2:$Q2333)</f>
        <v>90.195000000000007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52"/>
        <v>2324</v>
      </c>
      <c r="P2334" s="7">
        <f ca="1">SUMIFS($N$2:$N2334,$B$2:$B2334,"&lt;&gt;"&amp;B2334)+SUM($Q$2:$Q2334)</f>
        <v>90.195000000000007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52"/>
        <v>2325</v>
      </c>
      <c r="P2335" s="7">
        <f ca="1">SUMIFS($N$2:$N2335,$B$2:$B2335,"&lt;&gt;"&amp;B2335)+SUM($Q$2:$Q2335)</f>
        <v>90.195000000000007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52"/>
        <v>2326</v>
      </c>
      <c r="P2336" s="7">
        <f ca="1">SUMIFS($N$2:$N2336,$B$2:$B2336,"&lt;&gt;"&amp;B2336)+SUM($Q$2:$Q2336)</f>
        <v>90.195000000000007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52"/>
        <v>2327</v>
      </c>
      <c r="P2337" s="7">
        <f ca="1">SUMIFS($N$2:$N2337,$B$2:$B2337,"&lt;&gt;"&amp;B2337)+SUM($Q$2:$Q2337)</f>
        <v>90.195000000000007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si="52"/>
        <v>2328</v>
      </c>
      <c r="P2338" s="7">
        <f ca="1">SUMIFS($N$2:$N2338,$B$2:$B2338,"&lt;&gt;"&amp;B2338)+SUM($Q$2:$Q2338)</f>
        <v>90.195000000000007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52"/>
        <v>2329</v>
      </c>
      <c r="P2339" s="7">
        <f ca="1">SUMIFS($N$2:$N2339,$B$2:$B2339,"&lt;&gt;"&amp;B2339)+SUM($Q$2:$Q2339)</f>
        <v>90.195000000000007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52"/>
        <v>2330</v>
      </c>
      <c r="P2340" s="7">
        <f ca="1">SUMIFS($N$2:$N2340,$B$2:$B2340,"&lt;&gt;"&amp;B2340)+SUM($Q$2:$Q2340)</f>
        <v>90.195000000000007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52"/>
        <v>2331</v>
      </c>
      <c r="P2341" s="7">
        <f ca="1">SUMIFS($N$2:$N2341,$B$2:$B2341,"&lt;&gt;"&amp;B2341)+SUM($Q$2:$Q2341)</f>
        <v>90.195000000000007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52"/>
        <v>2332</v>
      </c>
      <c r="P2342" s="7">
        <f ca="1">SUMIFS($N$2:$N2342,$B$2:$B2342,"&lt;&gt;"&amp;B2342)+SUM($Q$2:$Q2342)</f>
        <v>90.195000000000007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52"/>
        <v>2333</v>
      </c>
      <c r="P2343" s="7">
        <f ca="1">SUMIFS($N$2:$N2343,$B$2:$B2343,"&lt;&gt;"&amp;B2343)+SUM($Q$2:$Q2343)</f>
        <v>90.195000000000007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52"/>
        <v>2334</v>
      </c>
      <c r="P2344" s="7">
        <f ca="1">SUMIFS($N$2:$N2344,$B$2:$B2344,"&lt;&gt;"&amp;B2344)+SUM($Q$2:$Q2344)</f>
        <v>90.195000000000007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52"/>
        <v>2335</v>
      </c>
      <c r="P2345" s="7">
        <f ca="1">SUMIFS($N$2:$N2345,$B$2:$B2345,"&lt;&gt;"&amp;B2345)+SUM($Q$2:$Q2345)</f>
        <v>90.195000000000007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52"/>
        <v>2336</v>
      </c>
      <c r="P2346" s="7">
        <f ca="1">SUMIFS($N$2:$N2346,$B$2:$B2346,"&lt;&gt;"&amp;B2346)+SUM($Q$2:$Q2346)</f>
        <v>90.195000000000007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52"/>
        <v>2337</v>
      </c>
      <c r="P2347" s="7">
        <f ca="1">SUMIFS($N$2:$N2347,$B$2:$B2347,"&lt;&gt;"&amp;B2347)+SUM($Q$2:$Q2347)</f>
        <v>90.195000000000007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52"/>
        <v>2338</v>
      </c>
      <c r="P2348" s="7">
        <f ca="1">SUMIFS($N$2:$N2348,$B$2:$B2348,"&lt;&gt;"&amp;B2348)+SUM($Q$2:$Q2348)</f>
        <v>90.195000000000007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52"/>
        <v>2339</v>
      </c>
      <c r="P2349" s="7">
        <f ca="1">SUMIFS($N$2:$N2349,$B$2:$B2349,"&lt;&gt;"&amp;B2349)+SUM($Q$2:$Q2349)</f>
        <v>90.195000000000007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52"/>
        <v>2340</v>
      </c>
      <c r="P2350" s="7">
        <f ca="1">SUMIFS($N$2:$N2350,$B$2:$B2350,"&lt;&gt;"&amp;B2350)+SUM($Q$2:$Q2350)</f>
        <v>90.195000000000007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52"/>
        <v>2341</v>
      </c>
      <c r="P2351" s="7">
        <f ca="1">SUMIFS($N$2:$N2351,$B$2:$B2351,"&lt;&gt;"&amp;B2351)+SUM($Q$2:$Q2351)</f>
        <v>90.195000000000007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52"/>
        <v>2342</v>
      </c>
      <c r="P2352" s="7">
        <f ca="1">SUMIFS($N$2:$N2352,$B$2:$B2352,"&lt;&gt;"&amp;B2352)+SUM($Q$2:$Q2352)</f>
        <v>90.195000000000007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52"/>
        <v>2343</v>
      </c>
      <c r="P2353" s="7">
        <f ca="1">SUMIFS($N$2:$N2353,$B$2:$B2353,"&lt;&gt;"&amp;B2353)+SUM($Q$2:$Q2353)</f>
        <v>90.195000000000007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52"/>
        <v>2344</v>
      </c>
      <c r="P2354" s="7">
        <f ca="1">SUMIFS($N$2:$N2354,$B$2:$B2354,"&lt;&gt;"&amp;B2354)+SUM($Q$2:$Q2354)</f>
        <v>90.195000000000007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52"/>
        <v>2345</v>
      </c>
      <c r="P2355" s="7">
        <f ca="1">SUMIFS($N$2:$N2355,$B$2:$B2355,"&lt;&gt;"&amp;B2355)+SUM($Q$2:$Q2355)</f>
        <v>90.195000000000007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52"/>
        <v>2346</v>
      </c>
      <c r="P2356" s="7">
        <f ca="1">SUMIFS($N$2:$N2356,$B$2:$B2356,"&lt;&gt;"&amp;B2356)+SUM($Q$2:$Q2356)</f>
        <v>90.195000000000007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52"/>
        <v>2347</v>
      </c>
      <c r="P2357" s="7">
        <f ca="1">SUMIFS($N$2:$N2357,$B$2:$B2357,"&lt;&gt;"&amp;B2357)+SUM($Q$2:$Q2357)</f>
        <v>90.195000000000007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52"/>
        <v>2348</v>
      </c>
      <c r="P2358" s="7">
        <f ca="1">SUMIFS($N$2:$N2358,$B$2:$B2358,"&lt;&gt;"&amp;B2358)+SUM($Q$2:$Q2358)</f>
        <v>90.195000000000007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52"/>
        <v>2349</v>
      </c>
      <c r="P2359" s="7">
        <f ca="1">SUMIFS($N$2:$N2359,$B$2:$B2359,"&lt;&gt;"&amp;B2359)+SUM($Q$2:$Q2359)</f>
        <v>90.195000000000007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52"/>
        <v>2350</v>
      </c>
      <c r="P2360" s="7">
        <f ca="1">SUMIFS($N$2:$N2360,$B$2:$B2360,"&lt;&gt;"&amp;B2360)+SUM($Q$2:$Q2360)</f>
        <v>90.195000000000007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52"/>
        <v>2351</v>
      </c>
      <c r="P2361" s="7">
        <f ca="1">SUMIFS($N$2:$N2361,$B$2:$B2361,"&lt;&gt;"&amp;B2361)+SUM($Q$2:$Q2361)</f>
        <v>90.195000000000007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52"/>
        <v>2352</v>
      </c>
      <c r="P2362" s="7">
        <f ca="1">SUMIFS($N$2:$N2362,$B$2:$B2362,"&lt;&gt;"&amp;B2362)+SUM($Q$2:$Q2362)</f>
        <v>90.195000000000007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52"/>
        <v>2353</v>
      </c>
      <c r="P2363" s="7">
        <f ca="1">SUMIFS($N$2:$N2363,$B$2:$B2363,"&lt;&gt;"&amp;B2363)+SUM($Q$2:$Q2363)</f>
        <v>90.195000000000007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52"/>
        <v>2354</v>
      </c>
      <c r="P2364" s="7">
        <f ca="1">SUMIFS($N$2:$N2364,$B$2:$B2364,"&lt;&gt;"&amp;B2364)+SUM($Q$2:$Q2364)</f>
        <v>90.195000000000007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52"/>
        <v>2355</v>
      </c>
      <c r="P2365" s="7">
        <f ca="1">SUMIFS($N$2:$N2365,$B$2:$B2365,"&lt;&gt;"&amp;B2365)+SUM($Q$2:$Q2365)</f>
        <v>90.195000000000007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52"/>
        <v>2356</v>
      </c>
      <c r="P2366" s="7">
        <f ca="1">SUMIFS($N$2:$N2366,$B$2:$B2366,"&lt;&gt;"&amp;B2366)+SUM($Q$2:$Q2366)</f>
        <v>90.195000000000007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52"/>
        <v>2357</v>
      </c>
      <c r="P2367" s="7">
        <f ca="1">SUMIFS($N$2:$N2367,$B$2:$B2367,"&lt;&gt;"&amp;B2367)+SUM($Q$2:$Q2367)</f>
        <v>90.195000000000007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52"/>
        <v>2358</v>
      </c>
      <c r="P2368" s="7">
        <f ca="1">SUMIFS($N$2:$N2368,$B$2:$B2368,"&lt;&gt;"&amp;B2368)+SUM($Q$2:$Q2368)</f>
        <v>90.195000000000007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52"/>
        <v>2359</v>
      </c>
      <c r="P2369" s="7">
        <f ca="1">SUMIFS($N$2:$N2369,$B$2:$B2369,"&lt;&gt;"&amp;B2369)+SUM($Q$2:$Q2369)</f>
        <v>90.195000000000007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52"/>
        <v>2360</v>
      </c>
      <c r="P2370" s="7">
        <f ca="1">SUMIFS($N$2:$N2370,$B$2:$B2370,"&lt;&gt;"&amp;B2370)+SUM($Q$2:$Q2370)</f>
        <v>90.195000000000007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ref="A2371:A2434" si="53">IF(AND(B2371="", D2371&lt;&gt;""), A2370, A2370+1)</f>
        <v>2361</v>
      </c>
      <c r="P2371" s="7">
        <f ca="1">SUMIFS($N$2:$N2371,$B$2:$B2371,"&lt;&gt;"&amp;B2371)+SUM($Q$2:$Q2371)</f>
        <v>90.195000000000007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53"/>
        <v>2362</v>
      </c>
      <c r="P2372" s="7">
        <f ca="1">SUMIFS($N$2:$N2372,$B$2:$B2372,"&lt;&gt;"&amp;B2372)+SUM($Q$2:$Q2372)</f>
        <v>90.195000000000007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53"/>
        <v>2363</v>
      </c>
      <c r="P2373" s="7">
        <f ca="1">SUMIFS($N$2:$N2373,$B$2:$B2373,"&lt;&gt;"&amp;B2373)+SUM($Q$2:$Q2373)</f>
        <v>90.195000000000007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53"/>
        <v>2364</v>
      </c>
      <c r="P2374" s="7">
        <f ca="1">SUMIFS($N$2:$N2374,$B$2:$B2374,"&lt;&gt;"&amp;B2374)+SUM($Q$2:$Q2374)</f>
        <v>90.195000000000007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53"/>
        <v>2365</v>
      </c>
      <c r="P2375" s="7">
        <f ca="1">SUMIFS($N$2:$N2375,$B$2:$B2375,"&lt;&gt;"&amp;B2375)+SUM($Q$2:$Q2375)</f>
        <v>90.195000000000007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53"/>
        <v>2366</v>
      </c>
      <c r="P2376" s="7">
        <f ca="1">SUMIFS($N$2:$N2376,$B$2:$B2376,"&lt;&gt;"&amp;B2376)+SUM($Q$2:$Q2376)</f>
        <v>90.195000000000007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53"/>
        <v>2367</v>
      </c>
      <c r="P2377" s="7">
        <f ca="1">SUMIFS($N$2:$N2377,$B$2:$B2377,"&lt;&gt;"&amp;B2377)+SUM($Q$2:$Q2377)</f>
        <v>90.195000000000007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53"/>
        <v>2368</v>
      </c>
      <c r="P2378" s="7">
        <f ca="1">SUMIFS($N$2:$N2378,$B$2:$B2378,"&lt;&gt;"&amp;B2378)+SUM($Q$2:$Q2378)</f>
        <v>90.195000000000007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53"/>
        <v>2369</v>
      </c>
      <c r="P2379" s="7">
        <f ca="1">SUMIFS($N$2:$N2379,$B$2:$B2379,"&lt;&gt;"&amp;B2379)+SUM($Q$2:$Q2379)</f>
        <v>90.195000000000007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53"/>
        <v>2370</v>
      </c>
      <c r="P2380" s="7">
        <f ca="1">SUMIFS($N$2:$N2380,$B$2:$B2380,"&lt;&gt;"&amp;B2380)+SUM($Q$2:$Q2380)</f>
        <v>90.195000000000007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53"/>
        <v>2371</v>
      </c>
      <c r="P2381" s="7">
        <f ca="1">SUMIFS($N$2:$N2381,$B$2:$B2381,"&lt;&gt;"&amp;B2381)+SUM($Q$2:$Q2381)</f>
        <v>90.195000000000007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53"/>
        <v>2372</v>
      </c>
      <c r="P2382" s="7">
        <f ca="1">SUMIFS($N$2:$N2382,$B$2:$B2382,"&lt;&gt;"&amp;B2382)+SUM($Q$2:$Q2382)</f>
        <v>90.195000000000007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53"/>
        <v>2373</v>
      </c>
      <c r="P2383" s="7">
        <f ca="1">SUMIFS($N$2:$N2383,$B$2:$B2383,"&lt;&gt;"&amp;B2383)+SUM($Q$2:$Q2383)</f>
        <v>90.195000000000007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53"/>
        <v>2374</v>
      </c>
      <c r="P2384" s="7">
        <f ca="1">SUMIFS($N$2:$N2384,$B$2:$B2384,"&lt;&gt;"&amp;B2384)+SUM($Q$2:$Q2384)</f>
        <v>90.195000000000007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53"/>
        <v>2375</v>
      </c>
      <c r="P2385" s="7">
        <f ca="1">SUMIFS($N$2:$N2385,$B$2:$B2385,"&lt;&gt;"&amp;B2385)+SUM($Q$2:$Q2385)</f>
        <v>90.195000000000007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53"/>
        <v>2376</v>
      </c>
      <c r="P2386" s="7">
        <f ca="1">SUMIFS($N$2:$N2386,$B$2:$B2386,"&lt;&gt;"&amp;B2386)+SUM($Q$2:$Q2386)</f>
        <v>90.195000000000007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53"/>
        <v>2377</v>
      </c>
      <c r="P2387" s="7">
        <f ca="1">SUMIFS($N$2:$N2387,$B$2:$B2387,"&lt;&gt;"&amp;B2387)+SUM($Q$2:$Q2387)</f>
        <v>90.195000000000007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53"/>
        <v>2378</v>
      </c>
      <c r="P2388" s="7">
        <f ca="1">SUMIFS($N$2:$N2388,$B$2:$B2388,"&lt;&gt;"&amp;B2388)+SUM($Q$2:$Q2388)</f>
        <v>90.195000000000007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53"/>
        <v>2379</v>
      </c>
      <c r="P2389" s="7">
        <f ca="1">SUMIFS($N$2:$N2389,$B$2:$B2389,"&lt;&gt;"&amp;B2389)+SUM($Q$2:$Q2389)</f>
        <v>90.195000000000007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53"/>
        <v>2380</v>
      </c>
      <c r="P2390" s="7">
        <f ca="1">SUMIFS($N$2:$N2390,$B$2:$B2390,"&lt;&gt;"&amp;B2390)+SUM($Q$2:$Q2390)</f>
        <v>90.195000000000007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53"/>
        <v>2381</v>
      </c>
      <c r="P2391" s="7">
        <f ca="1">SUMIFS($N$2:$N2391,$B$2:$B2391,"&lt;&gt;"&amp;B2391)+SUM($Q$2:$Q2391)</f>
        <v>90.195000000000007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53"/>
        <v>2382</v>
      </c>
      <c r="P2392" s="7">
        <f ca="1">SUMIFS($N$2:$N2392,$B$2:$B2392,"&lt;&gt;"&amp;B2392)+SUM($Q$2:$Q2392)</f>
        <v>90.195000000000007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53"/>
        <v>2383</v>
      </c>
      <c r="P2393" s="7">
        <f ca="1">SUMIFS($N$2:$N2393,$B$2:$B2393,"&lt;&gt;"&amp;B2393)+SUM($Q$2:$Q2393)</f>
        <v>90.195000000000007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53"/>
        <v>2384</v>
      </c>
      <c r="P2394" s="7">
        <f ca="1">SUMIFS($N$2:$N2394,$B$2:$B2394,"&lt;&gt;"&amp;B2394)+SUM($Q$2:$Q2394)</f>
        <v>90.195000000000007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53"/>
        <v>2385</v>
      </c>
      <c r="P2395" s="7">
        <f ca="1">SUMIFS($N$2:$N2395,$B$2:$B2395,"&lt;&gt;"&amp;B2395)+SUM($Q$2:$Q2395)</f>
        <v>90.195000000000007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53"/>
        <v>2386</v>
      </c>
      <c r="P2396" s="7">
        <f ca="1">SUMIFS($N$2:$N2396,$B$2:$B2396,"&lt;&gt;"&amp;B2396)+SUM($Q$2:$Q2396)</f>
        <v>90.195000000000007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53"/>
        <v>2387</v>
      </c>
      <c r="P2397" s="7">
        <f ca="1">SUMIFS($N$2:$N2397,$B$2:$B2397,"&lt;&gt;"&amp;B2397)+SUM($Q$2:$Q2397)</f>
        <v>90.195000000000007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53"/>
        <v>2388</v>
      </c>
      <c r="P2398" s="7">
        <f ca="1">SUMIFS($N$2:$N2398,$B$2:$B2398,"&lt;&gt;"&amp;B2398)+SUM($Q$2:$Q2398)</f>
        <v>90.195000000000007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53"/>
        <v>2389</v>
      </c>
      <c r="P2399" s="7">
        <f ca="1">SUMIFS($N$2:$N2399,$B$2:$B2399,"&lt;&gt;"&amp;B2399)+SUM($Q$2:$Q2399)</f>
        <v>90.195000000000007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53"/>
        <v>2390</v>
      </c>
      <c r="P2400" s="7">
        <f ca="1">SUMIFS($N$2:$N2400,$B$2:$B2400,"&lt;&gt;"&amp;B2400)+SUM($Q$2:$Q2400)</f>
        <v>90.195000000000007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53"/>
        <v>2391</v>
      </c>
      <c r="P2401" s="7">
        <f ca="1">SUMIFS($N$2:$N2401,$B$2:$B2401,"&lt;&gt;"&amp;B2401)+SUM($Q$2:$Q2401)</f>
        <v>90.195000000000007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si="53"/>
        <v>2392</v>
      </c>
      <c r="P2402" s="7">
        <f ca="1">SUMIFS($N$2:$N2402,$B$2:$B2402,"&lt;&gt;"&amp;B2402)+SUM($Q$2:$Q2402)</f>
        <v>90.195000000000007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53"/>
        <v>2393</v>
      </c>
      <c r="P2403" s="7">
        <f ca="1">SUMIFS($N$2:$N2403,$B$2:$B2403,"&lt;&gt;"&amp;B2403)+SUM($Q$2:$Q2403)</f>
        <v>90.195000000000007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53"/>
        <v>2394</v>
      </c>
      <c r="P2404" s="7">
        <f ca="1">SUMIFS($N$2:$N2404,$B$2:$B2404,"&lt;&gt;"&amp;B2404)+SUM($Q$2:$Q2404)</f>
        <v>90.195000000000007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53"/>
        <v>2395</v>
      </c>
      <c r="P2405" s="7">
        <f ca="1">SUMIFS($N$2:$N2405,$B$2:$B2405,"&lt;&gt;"&amp;B2405)+SUM($Q$2:$Q2405)</f>
        <v>90.195000000000007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53"/>
        <v>2396</v>
      </c>
      <c r="P2406" s="7">
        <f ca="1">SUMIFS($N$2:$N2406,$B$2:$B2406,"&lt;&gt;"&amp;B2406)+SUM($Q$2:$Q2406)</f>
        <v>90.195000000000007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53"/>
        <v>2397</v>
      </c>
      <c r="P2407" s="7">
        <f ca="1">SUMIFS($N$2:$N2407,$B$2:$B2407,"&lt;&gt;"&amp;B2407)+SUM($Q$2:$Q2407)</f>
        <v>90.195000000000007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53"/>
        <v>2398</v>
      </c>
      <c r="P2408" s="7">
        <f ca="1">SUMIFS($N$2:$N2408,$B$2:$B2408,"&lt;&gt;"&amp;B2408)+SUM($Q$2:$Q2408)</f>
        <v>90.195000000000007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53"/>
        <v>2399</v>
      </c>
      <c r="P2409" s="7">
        <f ca="1">SUMIFS($N$2:$N2409,$B$2:$B2409,"&lt;&gt;"&amp;B2409)+SUM($Q$2:$Q2409)</f>
        <v>90.195000000000007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53"/>
        <v>2400</v>
      </c>
      <c r="P2410" s="7">
        <f ca="1">SUMIFS($N$2:$N2410,$B$2:$B2410,"&lt;&gt;"&amp;B2410)+SUM($Q$2:$Q2410)</f>
        <v>90.195000000000007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53"/>
        <v>2401</v>
      </c>
      <c r="P2411" s="7">
        <f ca="1">SUMIFS($N$2:$N2411,$B$2:$B2411,"&lt;&gt;"&amp;B2411)+SUM($Q$2:$Q2411)</f>
        <v>90.195000000000007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53"/>
        <v>2402</v>
      </c>
      <c r="P2412" s="7">
        <f ca="1">SUMIFS($N$2:$N2412,$B$2:$B2412,"&lt;&gt;"&amp;B2412)+SUM($Q$2:$Q2412)</f>
        <v>90.195000000000007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53"/>
        <v>2403</v>
      </c>
      <c r="P2413" s="7">
        <f ca="1">SUMIFS($N$2:$N2413,$B$2:$B2413,"&lt;&gt;"&amp;B2413)+SUM($Q$2:$Q2413)</f>
        <v>90.195000000000007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53"/>
        <v>2404</v>
      </c>
      <c r="P2414" s="7">
        <f ca="1">SUMIFS($N$2:$N2414,$B$2:$B2414,"&lt;&gt;"&amp;B2414)+SUM($Q$2:$Q2414)</f>
        <v>90.195000000000007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53"/>
        <v>2405</v>
      </c>
      <c r="P2415" s="7">
        <f ca="1">SUMIFS($N$2:$N2415,$B$2:$B2415,"&lt;&gt;"&amp;B2415)+SUM($Q$2:$Q2415)</f>
        <v>90.195000000000007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53"/>
        <v>2406</v>
      </c>
      <c r="P2416" s="7">
        <f ca="1">SUMIFS($N$2:$N2416,$B$2:$B2416,"&lt;&gt;"&amp;B2416)+SUM($Q$2:$Q2416)</f>
        <v>90.195000000000007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53"/>
        <v>2407</v>
      </c>
      <c r="P2417" s="7">
        <f ca="1">SUMIFS($N$2:$N2417,$B$2:$B2417,"&lt;&gt;"&amp;B2417)+SUM($Q$2:$Q2417)</f>
        <v>90.195000000000007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53"/>
        <v>2408</v>
      </c>
      <c r="P2418" s="7">
        <f ca="1">SUMIFS($N$2:$N2418,$B$2:$B2418,"&lt;&gt;"&amp;B2418)+SUM($Q$2:$Q2418)</f>
        <v>90.195000000000007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53"/>
        <v>2409</v>
      </c>
      <c r="P2419" s="7">
        <f ca="1">SUMIFS($N$2:$N2419,$B$2:$B2419,"&lt;&gt;"&amp;B2419)+SUM($Q$2:$Q2419)</f>
        <v>90.195000000000007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53"/>
        <v>2410</v>
      </c>
      <c r="P2420" s="7">
        <f ca="1">SUMIFS($N$2:$N2420,$B$2:$B2420,"&lt;&gt;"&amp;B2420)+SUM($Q$2:$Q2420)</f>
        <v>90.195000000000007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53"/>
        <v>2411</v>
      </c>
      <c r="P2421" s="7">
        <f ca="1">SUMIFS($N$2:$N2421,$B$2:$B2421,"&lt;&gt;"&amp;B2421)+SUM($Q$2:$Q2421)</f>
        <v>90.195000000000007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53"/>
        <v>2412</v>
      </c>
      <c r="P2422" s="7">
        <f ca="1">SUMIFS($N$2:$N2422,$B$2:$B2422,"&lt;&gt;"&amp;B2422)+SUM($Q$2:$Q2422)</f>
        <v>90.195000000000007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53"/>
        <v>2413</v>
      </c>
      <c r="P2423" s="7">
        <f ca="1">SUMIFS($N$2:$N2423,$B$2:$B2423,"&lt;&gt;"&amp;B2423)+SUM($Q$2:$Q2423)</f>
        <v>90.195000000000007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53"/>
        <v>2414</v>
      </c>
      <c r="P2424" s="7">
        <f ca="1">SUMIFS($N$2:$N2424,$B$2:$B2424,"&lt;&gt;"&amp;B2424)+SUM($Q$2:$Q2424)</f>
        <v>90.195000000000007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53"/>
        <v>2415</v>
      </c>
      <c r="P2425" s="7">
        <f ca="1">SUMIFS($N$2:$N2425,$B$2:$B2425,"&lt;&gt;"&amp;B2425)+SUM($Q$2:$Q2425)</f>
        <v>90.195000000000007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53"/>
        <v>2416</v>
      </c>
      <c r="P2426" s="7">
        <f ca="1">SUMIFS($N$2:$N2426,$B$2:$B2426,"&lt;&gt;"&amp;B2426)+SUM($Q$2:$Q2426)</f>
        <v>90.195000000000007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53"/>
        <v>2417</v>
      </c>
      <c r="P2427" s="7">
        <f ca="1">SUMIFS($N$2:$N2427,$B$2:$B2427,"&lt;&gt;"&amp;B2427)+SUM($Q$2:$Q2427)</f>
        <v>90.195000000000007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53"/>
        <v>2418</v>
      </c>
      <c r="P2428" s="7">
        <f ca="1">SUMIFS($N$2:$N2428,$B$2:$B2428,"&lt;&gt;"&amp;B2428)+SUM($Q$2:$Q2428)</f>
        <v>90.195000000000007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53"/>
        <v>2419</v>
      </c>
      <c r="P2429" s="7">
        <f ca="1">SUMIFS($N$2:$N2429,$B$2:$B2429,"&lt;&gt;"&amp;B2429)+SUM($Q$2:$Q2429)</f>
        <v>90.195000000000007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53"/>
        <v>2420</v>
      </c>
      <c r="P2430" s="7">
        <f ca="1">SUMIFS($N$2:$N2430,$B$2:$B2430,"&lt;&gt;"&amp;B2430)+SUM($Q$2:$Q2430)</f>
        <v>90.195000000000007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53"/>
        <v>2421</v>
      </c>
      <c r="P2431" s="7">
        <f ca="1">SUMIFS($N$2:$N2431,$B$2:$B2431,"&lt;&gt;"&amp;B2431)+SUM($Q$2:$Q2431)</f>
        <v>90.195000000000007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53"/>
        <v>2422</v>
      </c>
      <c r="P2432" s="7">
        <f ca="1">SUMIFS($N$2:$N2432,$B$2:$B2432,"&lt;&gt;"&amp;B2432)+SUM($Q$2:$Q2432)</f>
        <v>90.195000000000007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53"/>
        <v>2423</v>
      </c>
      <c r="P2433" s="7">
        <f ca="1">SUMIFS($N$2:$N2433,$B$2:$B2433,"&lt;&gt;"&amp;B2433)+SUM($Q$2:$Q2433)</f>
        <v>90.195000000000007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53"/>
        <v>2424</v>
      </c>
      <c r="P2434" s="7">
        <f ca="1">SUMIFS($N$2:$N2434,$B$2:$B2434,"&lt;&gt;"&amp;B2434)+SUM($Q$2:$Q2434)</f>
        <v>90.195000000000007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ref="A2435:A2498" si="54">IF(AND(B2435="", D2435&lt;&gt;""), A2434, A2434+1)</f>
        <v>2425</v>
      </c>
      <c r="P2435" s="7">
        <f ca="1">SUMIFS($N$2:$N2435,$B$2:$B2435,"&lt;&gt;"&amp;B2435)+SUM($Q$2:$Q2435)</f>
        <v>90.195000000000007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54"/>
        <v>2426</v>
      </c>
      <c r="P2436" s="7">
        <f ca="1">SUMIFS($N$2:$N2436,$B$2:$B2436,"&lt;&gt;"&amp;B2436)+SUM($Q$2:$Q2436)</f>
        <v>90.195000000000007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54"/>
        <v>2427</v>
      </c>
      <c r="P2437" s="7">
        <f ca="1">SUMIFS($N$2:$N2437,$B$2:$B2437,"&lt;&gt;"&amp;B2437)+SUM($Q$2:$Q2437)</f>
        <v>90.195000000000007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54"/>
        <v>2428</v>
      </c>
      <c r="P2438" s="7">
        <f ca="1">SUMIFS($N$2:$N2438,$B$2:$B2438,"&lt;&gt;"&amp;B2438)+SUM($Q$2:$Q2438)</f>
        <v>90.195000000000007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54"/>
        <v>2429</v>
      </c>
      <c r="P2439" s="7">
        <f ca="1">SUMIFS($N$2:$N2439,$B$2:$B2439,"&lt;&gt;"&amp;B2439)+SUM($Q$2:$Q2439)</f>
        <v>90.195000000000007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54"/>
        <v>2430</v>
      </c>
      <c r="P2440" s="7">
        <f ca="1">SUMIFS($N$2:$N2440,$B$2:$B2440,"&lt;&gt;"&amp;B2440)+SUM($Q$2:$Q2440)</f>
        <v>90.195000000000007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54"/>
        <v>2431</v>
      </c>
      <c r="P2441" s="7">
        <f ca="1">SUMIFS($N$2:$N2441,$B$2:$B2441,"&lt;&gt;"&amp;B2441)+SUM($Q$2:$Q2441)</f>
        <v>90.195000000000007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54"/>
        <v>2432</v>
      </c>
      <c r="P2442" s="7">
        <f ca="1">SUMIFS($N$2:$N2442,$B$2:$B2442,"&lt;&gt;"&amp;B2442)+SUM($Q$2:$Q2442)</f>
        <v>90.195000000000007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54"/>
        <v>2433</v>
      </c>
      <c r="P2443" s="7">
        <f ca="1">SUMIFS($N$2:$N2443,$B$2:$B2443,"&lt;&gt;"&amp;B2443)+SUM($Q$2:$Q2443)</f>
        <v>90.195000000000007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54"/>
        <v>2434</v>
      </c>
      <c r="P2444" s="7">
        <f ca="1">SUMIFS($N$2:$N2444,$B$2:$B2444,"&lt;&gt;"&amp;B2444)+SUM($Q$2:$Q2444)</f>
        <v>90.195000000000007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54"/>
        <v>2435</v>
      </c>
      <c r="P2445" s="7">
        <f ca="1">SUMIFS($N$2:$N2445,$B$2:$B2445,"&lt;&gt;"&amp;B2445)+SUM($Q$2:$Q2445)</f>
        <v>90.195000000000007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54"/>
        <v>2436</v>
      </c>
      <c r="P2446" s="7">
        <f ca="1">SUMIFS($N$2:$N2446,$B$2:$B2446,"&lt;&gt;"&amp;B2446)+SUM($Q$2:$Q2446)</f>
        <v>90.195000000000007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54"/>
        <v>2437</v>
      </c>
      <c r="P2447" s="7">
        <f ca="1">SUMIFS($N$2:$N2447,$B$2:$B2447,"&lt;&gt;"&amp;B2447)+SUM($Q$2:$Q2447)</f>
        <v>90.195000000000007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54"/>
        <v>2438</v>
      </c>
      <c r="P2448" s="7">
        <f ca="1">SUMIFS($N$2:$N2448,$B$2:$B2448,"&lt;&gt;"&amp;B2448)+SUM($Q$2:$Q2448)</f>
        <v>90.195000000000007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54"/>
        <v>2439</v>
      </c>
      <c r="P2449" s="7">
        <f ca="1">SUMIFS($N$2:$N2449,$B$2:$B2449,"&lt;&gt;"&amp;B2449)+SUM($Q$2:$Q2449)</f>
        <v>90.195000000000007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54"/>
        <v>2440</v>
      </c>
      <c r="P2450" s="7">
        <f ca="1">SUMIFS($N$2:$N2450,$B$2:$B2450,"&lt;&gt;"&amp;B2450)+SUM($Q$2:$Q2450)</f>
        <v>90.195000000000007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54"/>
        <v>2441</v>
      </c>
      <c r="P2451" s="7">
        <f ca="1">SUMIFS($N$2:$N2451,$B$2:$B2451,"&lt;&gt;"&amp;B2451)+SUM($Q$2:$Q2451)</f>
        <v>90.195000000000007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54"/>
        <v>2442</v>
      </c>
      <c r="P2452" s="7">
        <f ca="1">SUMIFS($N$2:$N2452,$B$2:$B2452,"&lt;&gt;"&amp;B2452)+SUM($Q$2:$Q2452)</f>
        <v>90.195000000000007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54"/>
        <v>2443</v>
      </c>
      <c r="P2453" s="7">
        <f ca="1">SUMIFS($N$2:$N2453,$B$2:$B2453,"&lt;&gt;"&amp;B2453)+SUM($Q$2:$Q2453)</f>
        <v>90.195000000000007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54"/>
        <v>2444</v>
      </c>
      <c r="P2454" s="7">
        <f ca="1">SUMIFS($N$2:$N2454,$B$2:$B2454,"&lt;&gt;"&amp;B2454)+SUM($Q$2:$Q2454)</f>
        <v>90.195000000000007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54"/>
        <v>2445</v>
      </c>
      <c r="P2455" s="7">
        <f ca="1">SUMIFS($N$2:$N2455,$B$2:$B2455,"&lt;&gt;"&amp;B2455)+SUM($Q$2:$Q2455)</f>
        <v>90.195000000000007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54"/>
        <v>2446</v>
      </c>
      <c r="P2456" s="7">
        <f ca="1">SUMIFS($N$2:$N2456,$B$2:$B2456,"&lt;&gt;"&amp;B2456)+SUM($Q$2:$Q2456)</f>
        <v>90.195000000000007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54"/>
        <v>2447</v>
      </c>
      <c r="P2457" s="7">
        <f ca="1">SUMIFS($N$2:$N2457,$B$2:$B2457,"&lt;&gt;"&amp;B2457)+SUM($Q$2:$Q2457)</f>
        <v>90.195000000000007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54"/>
        <v>2448</v>
      </c>
      <c r="P2458" s="7">
        <f ca="1">SUMIFS($N$2:$N2458,$B$2:$B2458,"&lt;&gt;"&amp;B2458)+SUM($Q$2:$Q2458)</f>
        <v>90.195000000000007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54"/>
        <v>2449</v>
      </c>
      <c r="P2459" s="7">
        <f ca="1">SUMIFS($N$2:$N2459,$B$2:$B2459,"&lt;&gt;"&amp;B2459)+SUM($Q$2:$Q2459)</f>
        <v>90.195000000000007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54"/>
        <v>2450</v>
      </c>
      <c r="P2460" s="7">
        <f ca="1">SUMIFS($N$2:$N2460,$B$2:$B2460,"&lt;&gt;"&amp;B2460)+SUM($Q$2:$Q2460)</f>
        <v>90.195000000000007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54"/>
        <v>2451</v>
      </c>
      <c r="P2461" s="7">
        <f ca="1">SUMIFS($N$2:$N2461,$B$2:$B2461,"&lt;&gt;"&amp;B2461)+SUM($Q$2:$Q2461)</f>
        <v>90.195000000000007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54"/>
        <v>2452</v>
      </c>
      <c r="P2462" s="7">
        <f ca="1">SUMIFS($N$2:$N2462,$B$2:$B2462,"&lt;&gt;"&amp;B2462)+SUM($Q$2:$Q2462)</f>
        <v>90.195000000000007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54"/>
        <v>2453</v>
      </c>
      <c r="P2463" s="7">
        <f ca="1">SUMIFS($N$2:$N2463,$B$2:$B2463,"&lt;&gt;"&amp;B2463)+SUM($Q$2:$Q2463)</f>
        <v>90.195000000000007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54"/>
        <v>2454</v>
      </c>
      <c r="P2464" s="7">
        <f ca="1">SUMIFS($N$2:$N2464,$B$2:$B2464,"&lt;&gt;"&amp;B2464)+SUM($Q$2:$Q2464)</f>
        <v>90.195000000000007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54"/>
        <v>2455</v>
      </c>
      <c r="P2465" s="7">
        <f ca="1">SUMIFS($N$2:$N2465,$B$2:$B2465,"&lt;&gt;"&amp;B2465)+SUM($Q$2:$Q2465)</f>
        <v>90.195000000000007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si="54"/>
        <v>2456</v>
      </c>
      <c r="P2466" s="7">
        <f ca="1">SUMIFS($N$2:$N2466,$B$2:$B2466,"&lt;&gt;"&amp;B2466)+SUM($Q$2:$Q2466)</f>
        <v>90.195000000000007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54"/>
        <v>2457</v>
      </c>
      <c r="P2467" s="7">
        <f ca="1">SUMIFS($N$2:$N2467,$B$2:$B2467,"&lt;&gt;"&amp;B2467)+SUM($Q$2:$Q2467)</f>
        <v>90.195000000000007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54"/>
        <v>2458</v>
      </c>
      <c r="P2468" s="7">
        <f ca="1">SUMIFS($N$2:$N2468,$B$2:$B2468,"&lt;&gt;"&amp;B2468)+SUM($Q$2:$Q2468)</f>
        <v>90.195000000000007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54"/>
        <v>2459</v>
      </c>
      <c r="P2469" s="7">
        <f ca="1">SUMIFS($N$2:$N2469,$B$2:$B2469,"&lt;&gt;"&amp;B2469)+SUM($Q$2:$Q2469)</f>
        <v>90.195000000000007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54"/>
        <v>2460</v>
      </c>
      <c r="P2470" s="7">
        <f ca="1">SUMIFS($N$2:$N2470,$B$2:$B2470,"&lt;&gt;"&amp;B2470)+SUM($Q$2:$Q2470)</f>
        <v>90.195000000000007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54"/>
        <v>2461</v>
      </c>
      <c r="P2471" s="7">
        <f ca="1">SUMIFS($N$2:$N2471,$B$2:$B2471,"&lt;&gt;"&amp;B2471)+SUM($Q$2:$Q2471)</f>
        <v>90.195000000000007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54"/>
        <v>2462</v>
      </c>
      <c r="P2472" s="7">
        <f ca="1">SUMIFS($N$2:$N2472,$B$2:$B2472,"&lt;&gt;"&amp;B2472)+SUM($Q$2:$Q2472)</f>
        <v>90.195000000000007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54"/>
        <v>2463</v>
      </c>
      <c r="P2473" s="7">
        <f ca="1">SUMIFS($N$2:$N2473,$B$2:$B2473,"&lt;&gt;"&amp;B2473)+SUM($Q$2:$Q2473)</f>
        <v>90.195000000000007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54"/>
        <v>2464</v>
      </c>
      <c r="P2474" s="7">
        <f ca="1">SUMIFS($N$2:$N2474,$B$2:$B2474,"&lt;&gt;"&amp;B2474)+SUM($Q$2:$Q2474)</f>
        <v>90.195000000000007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54"/>
        <v>2465</v>
      </c>
      <c r="P2475" s="7">
        <f ca="1">SUMIFS($N$2:$N2475,$B$2:$B2475,"&lt;&gt;"&amp;B2475)+SUM($Q$2:$Q2475)</f>
        <v>90.195000000000007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54"/>
        <v>2466</v>
      </c>
      <c r="P2476" s="7">
        <f ca="1">SUMIFS($N$2:$N2476,$B$2:$B2476,"&lt;&gt;"&amp;B2476)+SUM($Q$2:$Q2476)</f>
        <v>90.195000000000007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54"/>
        <v>2467</v>
      </c>
      <c r="P2477" s="7">
        <f ca="1">SUMIFS($N$2:$N2477,$B$2:$B2477,"&lt;&gt;"&amp;B2477)+SUM($Q$2:$Q2477)</f>
        <v>90.195000000000007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54"/>
        <v>2468</v>
      </c>
      <c r="P2478" s="7">
        <f ca="1">SUMIFS($N$2:$N2478,$B$2:$B2478,"&lt;&gt;"&amp;B2478)+SUM($Q$2:$Q2478)</f>
        <v>90.195000000000007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54"/>
        <v>2469</v>
      </c>
      <c r="P2479" s="7">
        <f ca="1">SUMIFS($N$2:$N2479,$B$2:$B2479,"&lt;&gt;"&amp;B2479)+SUM($Q$2:$Q2479)</f>
        <v>90.195000000000007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54"/>
        <v>2470</v>
      </c>
      <c r="P2480" s="7">
        <f ca="1">SUMIFS($N$2:$N2480,$B$2:$B2480,"&lt;&gt;"&amp;B2480)+SUM($Q$2:$Q2480)</f>
        <v>90.195000000000007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54"/>
        <v>2471</v>
      </c>
      <c r="P2481" s="7">
        <f ca="1">SUMIFS($N$2:$N2481,$B$2:$B2481,"&lt;&gt;"&amp;B2481)+SUM($Q$2:$Q2481)</f>
        <v>90.195000000000007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54"/>
        <v>2472</v>
      </c>
      <c r="P2482" s="7">
        <f ca="1">SUMIFS($N$2:$N2482,$B$2:$B2482,"&lt;&gt;"&amp;B2482)+SUM($Q$2:$Q2482)</f>
        <v>90.195000000000007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54"/>
        <v>2473</v>
      </c>
      <c r="P2483" s="7">
        <f ca="1">SUMIFS($N$2:$N2483,$B$2:$B2483,"&lt;&gt;"&amp;B2483)+SUM($Q$2:$Q2483)</f>
        <v>90.195000000000007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54"/>
        <v>2474</v>
      </c>
      <c r="P2484" s="7">
        <f ca="1">SUMIFS($N$2:$N2484,$B$2:$B2484,"&lt;&gt;"&amp;B2484)+SUM($Q$2:$Q2484)</f>
        <v>90.195000000000007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54"/>
        <v>2475</v>
      </c>
      <c r="P2485" s="7">
        <f ca="1">SUMIFS($N$2:$N2485,$B$2:$B2485,"&lt;&gt;"&amp;B2485)+SUM($Q$2:$Q2485)</f>
        <v>90.195000000000007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54"/>
        <v>2476</v>
      </c>
      <c r="P2486" s="7">
        <f ca="1">SUMIFS($N$2:$N2486,$B$2:$B2486,"&lt;&gt;"&amp;B2486)+SUM($Q$2:$Q2486)</f>
        <v>90.195000000000007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54"/>
        <v>2477</v>
      </c>
      <c r="P2487" s="7">
        <f ca="1">SUMIFS($N$2:$N2487,$B$2:$B2487,"&lt;&gt;"&amp;B2487)+SUM($Q$2:$Q2487)</f>
        <v>90.195000000000007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54"/>
        <v>2478</v>
      </c>
      <c r="P2488" s="7">
        <f ca="1">SUMIFS($N$2:$N2488,$B$2:$B2488,"&lt;&gt;"&amp;B2488)+SUM($Q$2:$Q2488)</f>
        <v>90.195000000000007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54"/>
        <v>2479</v>
      </c>
      <c r="P2489" s="7">
        <f ca="1">SUMIFS($N$2:$N2489,$B$2:$B2489,"&lt;&gt;"&amp;B2489)+SUM($Q$2:$Q2489)</f>
        <v>90.195000000000007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54"/>
        <v>2480</v>
      </c>
      <c r="P2490" s="7">
        <f ca="1">SUMIFS($N$2:$N2490,$B$2:$B2490,"&lt;&gt;"&amp;B2490)+SUM($Q$2:$Q2490)</f>
        <v>90.195000000000007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54"/>
        <v>2481</v>
      </c>
      <c r="P2491" s="7">
        <f ca="1">SUMIFS($N$2:$N2491,$B$2:$B2491,"&lt;&gt;"&amp;B2491)+SUM($Q$2:$Q2491)</f>
        <v>90.195000000000007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54"/>
        <v>2482</v>
      </c>
      <c r="P2492" s="7">
        <f ca="1">SUMIFS($N$2:$N2492,$B$2:$B2492,"&lt;&gt;"&amp;B2492)+SUM($Q$2:$Q2492)</f>
        <v>90.195000000000007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54"/>
        <v>2483</v>
      </c>
      <c r="P2493" s="7">
        <f ca="1">SUMIFS($N$2:$N2493,$B$2:$B2493,"&lt;&gt;"&amp;B2493)+SUM($Q$2:$Q2493)</f>
        <v>90.195000000000007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54"/>
        <v>2484</v>
      </c>
      <c r="P2494" s="7">
        <f ca="1">SUMIFS($N$2:$N2494,$B$2:$B2494,"&lt;&gt;"&amp;B2494)+SUM($Q$2:$Q2494)</f>
        <v>90.195000000000007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54"/>
        <v>2485</v>
      </c>
      <c r="P2495" s="7">
        <f ca="1">SUMIFS($N$2:$N2495,$B$2:$B2495,"&lt;&gt;"&amp;B2495)+SUM($Q$2:$Q2495)</f>
        <v>90.195000000000007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54"/>
        <v>2486</v>
      </c>
      <c r="P2496" s="7">
        <f ca="1">SUMIFS($N$2:$N2496,$B$2:$B2496,"&lt;&gt;"&amp;B2496)+SUM($Q$2:$Q2496)</f>
        <v>90.195000000000007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54"/>
        <v>2487</v>
      </c>
      <c r="P2497" s="7">
        <f ca="1">SUMIFS($N$2:$N2497,$B$2:$B2497,"&lt;&gt;"&amp;B2497)+SUM($Q$2:$Q2497)</f>
        <v>90.195000000000007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54"/>
        <v>2488</v>
      </c>
      <c r="P2498" s="7">
        <f ca="1">SUMIFS($N$2:$N2498,$B$2:$B2498,"&lt;&gt;"&amp;B2498)+SUM($Q$2:$Q2498)</f>
        <v>90.195000000000007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ref="A2499:A2562" si="55">IF(AND(B2499="", D2499&lt;&gt;""), A2498, A2498+1)</f>
        <v>2489</v>
      </c>
      <c r="P2499" s="7">
        <f ca="1">SUMIFS($N$2:$N2499,$B$2:$B2499,"&lt;&gt;"&amp;B2499)+SUM($Q$2:$Q2499)</f>
        <v>90.195000000000007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55"/>
        <v>2490</v>
      </c>
      <c r="P2500" s="7">
        <f ca="1">SUMIFS($N$2:$N2500,$B$2:$B2500,"&lt;&gt;"&amp;B2500)+SUM($Q$2:$Q2500)</f>
        <v>90.195000000000007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55"/>
        <v>2491</v>
      </c>
      <c r="P2501" s="7">
        <f ca="1">SUMIFS($N$2:$N2501,$B$2:$B2501,"&lt;&gt;"&amp;B2501)+SUM($Q$2:$Q2501)</f>
        <v>90.195000000000007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55"/>
        <v>2492</v>
      </c>
      <c r="P2502" s="7">
        <f ca="1">SUMIFS($N$2:$N2502,$B$2:$B2502,"&lt;&gt;"&amp;B2502)+SUM($Q$2:$Q2502)</f>
        <v>90.195000000000007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55"/>
        <v>2493</v>
      </c>
      <c r="P2503" s="7">
        <f ca="1">SUMIFS($N$2:$N2503,$B$2:$B2503,"&lt;&gt;"&amp;B2503)+SUM($Q$2:$Q2503)</f>
        <v>90.195000000000007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55"/>
        <v>2494</v>
      </c>
      <c r="P2504" s="7">
        <f ca="1">SUMIFS($N$2:$N2504,$B$2:$B2504,"&lt;&gt;"&amp;B2504)+SUM($Q$2:$Q2504)</f>
        <v>90.195000000000007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55"/>
        <v>2495</v>
      </c>
      <c r="P2505" s="7">
        <f ca="1">SUMIFS($N$2:$N2505,$B$2:$B2505,"&lt;&gt;"&amp;B2505)+SUM($Q$2:$Q2505)</f>
        <v>90.195000000000007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55"/>
        <v>2496</v>
      </c>
      <c r="P2506" s="7">
        <f ca="1">SUMIFS($N$2:$N2506,$B$2:$B2506,"&lt;&gt;"&amp;B2506)+SUM($Q$2:$Q2506)</f>
        <v>90.195000000000007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55"/>
        <v>2497</v>
      </c>
      <c r="P2507" s="7">
        <f ca="1">SUMIFS($N$2:$N2507,$B$2:$B2507,"&lt;&gt;"&amp;B2507)+SUM($Q$2:$Q2507)</f>
        <v>90.195000000000007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55"/>
        <v>2498</v>
      </c>
      <c r="P2508" s="7">
        <f ca="1">SUMIFS($N$2:$N2508,$B$2:$B2508,"&lt;&gt;"&amp;B2508)+SUM($Q$2:$Q2508)</f>
        <v>90.195000000000007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55"/>
        <v>2499</v>
      </c>
      <c r="P2509" s="7">
        <f ca="1">SUMIFS($N$2:$N2509,$B$2:$B2509,"&lt;&gt;"&amp;B2509)+SUM($Q$2:$Q2509)</f>
        <v>90.195000000000007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55"/>
        <v>2500</v>
      </c>
      <c r="P2510" s="7">
        <f ca="1">SUMIFS($N$2:$N2510,$B$2:$B2510,"&lt;&gt;"&amp;B2510)+SUM($Q$2:$Q2510)</f>
        <v>90.195000000000007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55"/>
        <v>2501</v>
      </c>
      <c r="P2511" s="7">
        <f ca="1">SUMIFS($N$2:$N2511,$B$2:$B2511,"&lt;&gt;"&amp;B2511)+SUM($Q$2:$Q2511)</f>
        <v>90.195000000000007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55"/>
        <v>2502</v>
      </c>
      <c r="P2512" s="7">
        <f ca="1">SUMIFS($N$2:$N2512,$B$2:$B2512,"&lt;&gt;"&amp;B2512)+SUM($Q$2:$Q2512)</f>
        <v>90.195000000000007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55"/>
        <v>2503</v>
      </c>
      <c r="P2513" s="7">
        <f ca="1">SUMIFS($N$2:$N2513,$B$2:$B2513,"&lt;&gt;"&amp;B2513)+SUM($Q$2:$Q2513)</f>
        <v>90.195000000000007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55"/>
        <v>2504</v>
      </c>
      <c r="P2514" s="7">
        <f ca="1">SUMIFS($N$2:$N2514,$B$2:$B2514,"&lt;&gt;"&amp;B2514)+SUM($Q$2:$Q2514)</f>
        <v>90.195000000000007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55"/>
        <v>2505</v>
      </c>
      <c r="P2515" s="7">
        <f ca="1">SUMIFS($N$2:$N2515,$B$2:$B2515,"&lt;&gt;"&amp;B2515)+SUM($Q$2:$Q2515)</f>
        <v>90.195000000000007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55"/>
        <v>2506</v>
      </c>
      <c r="P2516" s="7">
        <f ca="1">SUMIFS($N$2:$N2516,$B$2:$B2516,"&lt;&gt;"&amp;B2516)+SUM($Q$2:$Q2516)</f>
        <v>90.195000000000007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55"/>
        <v>2507</v>
      </c>
      <c r="P2517" s="7">
        <f ca="1">SUMIFS($N$2:$N2517,$B$2:$B2517,"&lt;&gt;"&amp;B2517)+SUM($Q$2:$Q2517)</f>
        <v>90.195000000000007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55"/>
        <v>2508</v>
      </c>
      <c r="P2518" s="7">
        <f ca="1">SUMIFS($N$2:$N2518,$B$2:$B2518,"&lt;&gt;"&amp;B2518)+SUM($Q$2:$Q2518)</f>
        <v>90.195000000000007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55"/>
        <v>2509</v>
      </c>
      <c r="P2519" s="7">
        <f ca="1">SUMIFS($N$2:$N2519,$B$2:$B2519,"&lt;&gt;"&amp;B2519)+SUM($Q$2:$Q2519)</f>
        <v>90.195000000000007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55"/>
        <v>2510</v>
      </c>
      <c r="P2520" s="7">
        <f ca="1">SUMIFS($N$2:$N2520,$B$2:$B2520,"&lt;&gt;"&amp;B2520)+SUM($Q$2:$Q2520)</f>
        <v>90.195000000000007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55"/>
        <v>2511</v>
      </c>
      <c r="P2521" s="7">
        <f ca="1">SUMIFS($N$2:$N2521,$B$2:$B2521,"&lt;&gt;"&amp;B2521)+SUM($Q$2:$Q2521)</f>
        <v>90.195000000000007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55"/>
        <v>2512</v>
      </c>
      <c r="P2522" s="7">
        <f ca="1">SUMIFS($N$2:$N2522,$B$2:$B2522,"&lt;&gt;"&amp;B2522)+SUM($Q$2:$Q2522)</f>
        <v>90.195000000000007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55"/>
        <v>2513</v>
      </c>
      <c r="P2523" s="7">
        <f ca="1">SUMIFS($N$2:$N2523,$B$2:$B2523,"&lt;&gt;"&amp;B2523)+SUM($Q$2:$Q2523)</f>
        <v>90.195000000000007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55"/>
        <v>2514</v>
      </c>
      <c r="P2524" s="7">
        <f ca="1">SUMIFS($N$2:$N2524,$B$2:$B2524,"&lt;&gt;"&amp;B2524)+SUM($Q$2:$Q2524)</f>
        <v>90.195000000000007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55"/>
        <v>2515</v>
      </c>
      <c r="P2525" s="7">
        <f ca="1">SUMIFS($N$2:$N2525,$B$2:$B2525,"&lt;&gt;"&amp;B2525)+SUM($Q$2:$Q2525)</f>
        <v>90.195000000000007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55"/>
        <v>2516</v>
      </c>
      <c r="P2526" s="7">
        <f ca="1">SUMIFS($N$2:$N2526,$B$2:$B2526,"&lt;&gt;"&amp;B2526)+SUM($Q$2:$Q2526)</f>
        <v>90.195000000000007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55"/>
        <v>2517</v>
      </c>
      <c r="P2527" s="7">
        <f ca="1">SUMIFS($N$2:$N2527,$B$2:$B2527,"&lt;&gt;"&amp;B2527)+SUM($Q$2:$Q2527)</f>
        <v>90.195000000000007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55"/>
        <v>2518</v>
      </c>
      <c r="P2528" s="7">
        <f ca="1">SUMIFS($N$2:$N2528,$B$2:$B2528,"&lt;&gt;"&amp;B2528)+SUM($Q$2:$Q2528)</f>
        <v>90.195000000000007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55"/>
        <v>2519</v>
      </c>
      <c r="P2529" s="7">
        <f ca="1">SUMIFS($N$2:$N2529,$B$2:$B2529,"&lt;&gt;"&amp;B2529)+SUM($Q$2:$Q2529)</f>
        <v>90.195000000000007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si="55"/>
        <v>2520</v>
      </c>
      <c r="P2530" s="7">
        <f ca="1">SUMIFS($N$2:$N2530,$B$2:$B2530,"&lt;&gt;"&amp;B2530)+SUM($Q$2:$Q2530)</f>
        <v>90.195000000000007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55"/>
        <v>2521</v>
      </c>
      <c r="P2531" s="7">
        <f ca="1">SUMIFS($N$2:$N2531,$B$2:$B2531,"&lt;&gt;"&amp;B2531)+SUM($Q$2:$Q2531)</f>
        <v>90.195000000000007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55"/>
        <v>2522</v>
      </c>
      <c r="P2532" s="7">
        <f ca="1">SUMIFS($N$2:$N2532,$B$2:$B2532,"&lt;&gt;"&amp;B2532)+SUM($Q$2:$Q2532)</f>
        <v>90.195000000000007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55"/>
        <v>2523</v>
      </c>
      <c r="P2533" s="7">
        <f ca="1">SUMIFS($N$2:$N2533,$B$2:$B2533,"&lt;&gt;"&amp;B2533)+SUM($Q$2:$Q2533)</f>
        <v>90.195000000000007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55"/>
        <v>2524</v>
      </c>
      <c r="P2534" s="7">
        <f ca="1">SUMIFS($N$2:$N2534,$B$2:$B2534,"&lt;&gt;"&amp;B2534)+SUM($Q$2:$Q2534)</f>
        <v>90.195000000000007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55"/>
        <v>2525</v>
      </c>
      <c r="P2535" s="7">
        <f ca="1">SUMIFS($N$2:$N2535,$B$2:$B2535,"&lt;&gt;"&amp;B2535)+SUM($Q$2:$Q2535)</f>
        <v>90.195000000000007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55"/>
        <v>2526</v>
      </c>
      <c r="P2536" s="7">
        <f ca="1">SUMIFS($N$2:$N2536,$B$2:$B2536,"&lt;&gt;"&amp;B2536)+SUM($Q$2:$Q2536)</f>
        <v>90.195000000000007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55"/>
        <v>2527</v>
      </c>
      <c r="P2537" s="7">
        <f ca="1">SUMIFS($N$2:$N2537,$B$2:$B2537,"&lt;&gt;"&amp;B2537)+SUM($Q$2:$Q2537)</f>
        <v>90.195000000000007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55"/>
        <v>2528</v>
      </c>
      <c r="P2538" s="7">
        <f ca="1">SUMIFS($N$2:$N2538,$B$2:$B2538,"&lt;&gt;"&amp;B2538)+SUM($Q$2:$Q2538)</f>
        <v>90.195000000000007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55"/>
        <v>2529</v>
      </c>
      <c r="P2539" s="7">
        <f ca="1">SUMIFS($N$2:$N2539,$B$2:$B2539,"&lt;&gt;"&amp;B2539)+SUM($Q$2:$Q2539)</f>
        <v>90.195000000000007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55"/>
        <v>2530</v>
      </c>
      <c r="P2540" s="7">
        <f ca="1">SUMIFS($N$2:$N2540,$B$2:$B2540,"&lt;&gt;"&amp;B2540)+SUM($Q$2:$Q2540)</f>
        <v>90.195000000000007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55"/>
        <v>2531</v>
      </c>
      <c r="P2541" s="7">
        <f ca="1">SUMIFS($N$2:$N2541,$B$2:$B2541,"&lt;&gt;"&amp;B2541)+SUM($Q$2:$Q2541)</f>
        <v>90.195000000000007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55"/>
        <v>2532</v>
      </c>
      <c r="P2542" s="7">
        <f ca="1">SUMIFS($N$2:$N2542,$B$2:$B2542,"&lt;&gt;"&amp;B2542)+SUM($Q$2:$Q2542)</f>
        <v>90.195000000000007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55"/>
        <v>2533</v>
      </c>
      <c r="P2543" s="7">
        <f ca="1">SUMIFS($N$2:$N2543,$B$2:$B2543,"&lt;&gt;"&amp;B2543)+SUM($Q$2:$Q2543)</f>
        <v>90.195000000000007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55"/>
        <v>2534</v>
      </c>
      <c r="P2544" s="7">
        <f ca="1">SUMIFS($N$2:$N2544,$B$2:$B2544,"&lt;&gt;"&amp;B2544)+SUM($Q$2:$Q2544)</f>
        <v>90.195000000000007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55"/>
        <v>2535</v>
      </c>
      <c r="P2545" s="7">
        <f ca="1">SUMIFS($N$2:$N2545,$B$2:$B2545,"&lt;&gt;"&amp;B2545)+SUM($Q$2:$Q2545)</f>
        <v>90.195000000000007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55"/>
        <v>2536</v>
      </c>
      <c r="P2546" s="7">
        <f ca="1">SUMIFS($N$2:$N2546,$B$2:$B2546,"&lt;&gt;"&amp;B2546)+SUM($Q$2:$Q2546)</f>
        <v>90.195000000000007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55"/>
        <v>2537</v>
      </c>
      <c r="P2547" s="7">
        <f ca="1">SUMIFS($N$2:$N2547,$B$2:$B2547,"&lt;&gt;"&amp;B2547)+SUM($Q$2:$Q2547)</f>
        <v>90.195000000000007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55"/>
        <v>2538</v>
      </c>
      <c r="P2548" s="7">
        <f ca="1">SUMIFS($N$2:$N2548,$B$2:$B2548,"&lt;&gt;"&amp;B2548)+SUM($Q$2:$Q2548)</f>
        <v>90.195000000000007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55"/>
        <v>2539</v>
      </c>
      <c r="P2549" s="7">
        <f ca="1">SUMIFS($N$2:$N2549,$B$2:$B2549,"&lt;&gt;"&amp;B2549)+SUM($Q$2:$Q2549)</f>
        <v>90.195000000000007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55"/>
        <v>2540</v>
      </c>
      <c r="P2550" s="7">
        <f ca="1">SUMIFS($N$2:$N2550,$B$2:$B2550,"&lt;&gt;"&amp;B2550)+SUM($Q$2:$Q2550)</f>
        <v>90.195000000000007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55"/>
        <v>2541</v>
      </c>
      <c r="P2551" s="7">
        <f ca="1">SUMIFS($N$2:$N2551,$B$2:$B2551,"&lt;&gt;"&amp;B2551)+SUM($Q$2:$Q2551)</f>
        <v>90.195000000000007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55"/>
        <v>2542</v>
      </c>
      <c r="P2552" s="7">
        <f ca="1">SUMIFS($N$2:$N2552,$B$2:$B2552,"&lt;&gt;"&amp;B2552)+SUM($Q$2:$Q2552)</f>
        <v>90.195000000000007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55"/>
        <v>2543</v>
      </c>
      <c r="P2553" s="7">
        <f ca="1">SUMIFS($N$2:$N2553,$B$2:$B2553,"&lt;&gt;"&amp;B2553)+SUM($Q$2:$Q2553)</f>
        <v>90.195000000000007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55"/>
        <v>2544</v>
      </c>
      <c r="P2554" s="7">
        <f ca="1">SUMIFS($N$2:$N2554,$B$2:$B2554,"&lt;&gt;"&amp;B2554)+SUM($Q$2:$Q2554)</f>
        <v>90.195000000000007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55"/>
        <v>2545</v>
      </c>
      <c r="P2555" s="7">
        <f ca="1">SUMIFS($N$2:$N2555,$B$2:$B2555,"&lt;&gt;"&amp;B2555)+SUM($Q$2:$Q2555)</f>
        <v>90.195000000000007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55"/>
        <v>2546</v>
      </c>
      <c r="P2556" s="7">
        <f ca="1">SUMIFS($N$2:$N2556,$B$2:$B2556,"&lt;&gt;"&amp;B2556)+SUM($Q$2:$Q2556)</f>
        <v>90.195000000000007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55"/>
        <v>2547</v>
      </c>
      <c r="P2557" s="7">
        <f ca="1">SUMIFS($N$2:$N2557,$B$2:$B2557,"&lt;&gt;"&amp;B2557)+SUM($Q$2:$Q2557)</f>
        <v>90.195000000000007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55"/>
        <v>2548</v>
      </c>
      <c r="P2558" s="7">
        <f ca="1">SUMIFS($N$2:$N2558,$B$2:$B2558,"&lt;&gt;"&amp;B2558)+SUM($Q$2:$Q2558)</f>
        <v>90.195000000000007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55"/>
        <v>2549</v>
      </c>
      <c r="P2559" s="7">
        <f ca="1">SUMIFS($N$2:$N2559,$B$2:$B2559,"&lt;&gt;"&amp;B2559)+SUM($Q$2:$Q2559)</f>
        <v>90.195000000000007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55"/>
        <v>2550</v>
      </c>
      <c r="P2560" s="7">
        <f ca="1">SUMIFS($N$2:$N2560,$B$2:$B2560,"&lt;&gt;"&amp;B2560)+SUM($Q$2:$Q2560)</f>
        <v>90.195000000000007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55"/>
        <v>2551</v>
      </c>
      <c r="P2561" s="7">
        <f ca="1">SUMIFS($N$2:$N2561,$B$2:$B2561,"&lt;&gt;"&amp;B2561)+SUM($Q$2:$Q2561)</f>
        <v>90.195000000000007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55"/>
        <v>2552</v>
      </c>
      <c r="P2562" s="7">
        <f ca="1">SUMIFS($N$2:$N2562,$B$2:$B2562,"&lt;&gt;"&amp;B2562)+SUM($Q$2:$Q2562)</f>
        <v>90.195000000000007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ref="A2563:A2626" si="56">IF(AND(B2563="", D2563&lt;&gt;""), A2562, A2562+1)</f>
        <v>2553</v>
      </c>
      <c r="P2563" s="7">
        <f ca="1">SUMIFS($N$2:$N2563,$B$2:$B2563,"&lt;&gt;"&amp;B2563)+SUM($Q$2:$Q2563)</f>
        <v>90.195000000000007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56"/>
        <v>2554</v>
      </c>
      <c r="P2564" s="7">
        <f ca="1">SUMIFS($N$2:$N2564,$B$2:$B2564,"&lt;&gt;"&amp;B2564)+SUM($Q$2:$Q2564)</f>
        <v>90.195000000000007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56"/>
        <v>2555</v>
      </c>
      <c r="P2565" s="7">
        <f ca="1">SUMIFS($N$2:$N2565,$B$2:$B2565,"&lt;&gt;"&amp;B2565)+SUM($Q$2:$Q2565)</f>
        <v>90.195000000000007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56"/>
        <v>2556</v>
      </c>
      <c r="P2566" s="7">
        <f ca="1">SUMIFS($N$2:$N2566,$B$2:$B2566,"&lt;&gt;"&amp;B2566)+SUM($Q$2:$Q2566)</f>
        <v>90.195000000000007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56"/>
        <v>2557</v>
      </c>
      <c r="P2567" s="7">
        <f ca="1">SUMIFS($N$2:$N2567,$B$2:$B2567,"&lt;&gt;"&amp;B2567)+SUM($Q$2:$Q2567)</f>
        <v>90.195000000000007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56"/>
        <v>2558</v>
      </c>
      <c r="P2568" s="7">
        <f ca="1">SUMIFS($N$2:$N2568,$B$2:$B2568,"&lt;&gt;"&amp;B2568)+SUM($Q$2:$Q2568)</f>
        <v>90.195000000000007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56"/>
        <v>2559</v>
      </c>
      <c r="P2569" s="7">
        <f ca="1">SUMIFS($N$2:$N2569,$B$2:$B2569,"&lt;&gt;"&amp;B2569)+SUM($Q$2:$Q2569)</f>
        <v>90.195000000000007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56"/>
        <v>2560</v>
      </c>
      <c r="P2570" s="7">
        <f ca="1">SUMIFS($N$2:$N2570,$B$2:$B2570,"&lt;&gt;"&amp;B2570)+SUM($Q$2:$Q2570)</f>
        <v>90.195000000000007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56"/>
        <v>2561</v>
      </c>
      <c r="P2571" s="7">
        <f ca="1">SUMIFS($N$2:$N2571,$B$2:$B2571,"&lt;&gt;"&amp;B2571)+SUM($Q$2:$Q2571)</f>
        <v>90.195000000000007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56"/>
        <v>2562</v>
      </c>
      <c r="P2572" s="7">
        <f ca="1">SUMIFS($N$2:$N2572,$B$2:$B2572,"&lt;&gt;"&amp;B2572)+SUM($Q$2:$Q2572)</f>
        <v>90.195000000000007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56"/>
        <v>2563</v>
      </c>
      <c r="P2573" s="7">
        <f ca="1">SUMIFS($N$2:$N2573,$B$2:$B2573,"&lt;&gt;"&amp;B2573)+SUM($Q$2:$Q2573)</f>
        <v>90.195000000000007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56"/>
        <v>2564</v>
      </c>
      <c r="P2574" s="7">
        <f ca="1">SUMIFS($N$2:$N2574,$B$2:$B2574,"&lt;&gt;"&amp;B2574)+SUM($Q$2:$Q2574)</f>
        <v>90.195000000000007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56"/>
        <v>2565</v>
      </c>
      <c r="P2575" s="7">
        <f ca="1">SUMIFS($N$2:$N2575,$B$2:$B2575,"&lt;&gt;"&amp;B2575)+SUM($Q$2:$Q2575)</f>
        <v>90.195000000000007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56"/>
        <v>2566</v>
      </c>
      <c r="P2576" s="7">
        <f ca="1">SUMIFS($N$2:$N2576,$B$2:$B2576,"&lt;&gt;"&amp;B2576)+SUM($Q$2:$Q2576)</f>
        <v>90.195000000000007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56"/>
        <v>2567</v>
      </c>
      <c r="P2577" s="7">
        <f ca="1">SUMIFS($N$2:$N2577,$B$2:$B2577,"&lt;&gt;"&amp;B2577)+SUM($Q$2:$Q2577)</f>
        <v>90.195000000000007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56"/>
        <v>2568</v>
      </c>
      <c r="P2578" s="7">
        <f ca="1">SUMIFS($N$2:$N2578,$B$2:$B2578,"&lt;&gt;"&amp;B2578)+SUM($Q$2:$Q2578)</f>
        <v>90.195000000000007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56"/>
        <v>2569</v>
      </c>
      <c r="P2579" s="7">
        <f ca="1">SUMIFS($N$2:$N2579,$B$2:$B2579,"&lt;&gt;"&amp;B2579)+SUM($Q$2:$Q2579)</f>
        <v>90.195000000000007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56"/>
        <v>2570</v>
      </c>
      <c r="P2580" s="7">
        <f ca="1">SUMIFS($N$2:$N2580,$B$2:$B2580,"&lt;&gt;"&amp;B2580)+SUM($Q$2:$Q2580)</f>
        <v>90.195000000000007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56"/>
        <v>2571</v>
      </c>
      <c r="P2581" s="7">
        <f ca="1">SUMIFS($N$2:$N2581,$B$2:$B2581,"&lt;&gt;"&amp;B2581)+SUM($Q$2:$Q2581)</f>
        <v>90.195000000000007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56"/>
        <v>2572</v>
      </c>
      <c r="P2582" s="7">
        <f ca="1">SUMIFS($N$2:$N2582,$B$2:$B2582,"&lt;&gt;"&amp;B2582)+SUM($Q$2:$Q2582)</f>
        <v>90.195000000000007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56"/>
        <v>2573</v>
      </c>
      <c r="P2583" s="7">
        <f ca="1">SUMIFS($N$2:$N2583,$B$2:$B2583,"&lt;&gt;"&amp;B2583)+SUM($Q$2:$Q2583)</f>
        <v>90.195000000000007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56"/>
        <v>2574</v>
      </c>
      <c r="P2584" s="7">
        <f ca="1">SUMIFS($N$2:$N2584,$B$2:$B2584,"&lt;&gt;"&amp;B2584)+SUM($Q$2:$Q2584)</f>
        <v>90.195000000000007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56"/>
        <v>2575</v>
      </c>
      <c r="P2585" s="7">
        <f ca="1">SUMIFS($N$2:$N2585,$B$2:$B2585,"&lt;&gt;"&amp;B2585)+SUM($Q$2:$Q2585)</f>
        <v>90.195000000000007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56"/>
        <v>2576</v>
      </c>
      <c r="P2586" s="7">
        <f ca="1">SUMIFS($N$2:$N2586,$B$2:$B2586,"&lt;&gt;"&amp;B2586)+SUM($Q$2:$Q2586)</f>
        <v>90.195000000000007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56"/>
        <v>2577</v>
      </c>
      <c r="P2587" s="7">
        <f ca="1">SUMIFS($N$2:$N2587,$B$2:$B2587,"&lt;&gt;"&amp;B2587)+SUM($Q$2:$Q2587)</f>
        <v>90.195000000000007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56"/>
        <v>2578</v>
      </c>
      <c r="P2588" s="7">
        <f ca="1">SUMIFS($N$2:$N2588,$B$2:$B2588,"&lt;&gt;"&amp;B2588)+SUM($Q$2:$Q2588)</f>
        <v>90.195000000000007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56"/>
        <v>2579</v>
      </c>
      <c r="P2589" s="7">
        <f ca="1">SUMIFS($N$2:$N2589,$B$2:$B2589,"&lt;&gt;"&amp;B2589)+SUM($Q$2:$Q2589)</f>
        <v>90.195000000000007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56"/>
        <v>2580</v>
      </c>
      <c r="P2590" s="7">
        <f ca="1">SUMIFS($N$2:$N2590,$B$2:$B2590,"&lt;&gt;"&amp;B2590)+SUM($Q$2:$Q2590)</f>
        <v>90.195000000000007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56"/>
        <v>2581</v>
      </c>
      <c r="P2591" s="7">
        <f ca="1">SUMIFS($N$2:$N2591,$B$2:$B2591,"&lt;&gt;"&amp;B2591)+SUM($Q$2:$Q2591)</f>
        <v>90.195000000000007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56"/>
        <v>2582</v>
      </c>
      <c r="P2592" s="7">
        <f ca="1">SUMIFS($N$2:$N2592,$B$2:$B2592,"&lt;&gt;"&amp;B2592)+SUM($Q$2:$Q2592)</f>
        <v>90.195000000000007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56"/>
        <v>2583</v>
      </c>
      <c r="P2593" s="7">
        <f ca="1">SUMIFS($N$2:$N2593,$B$2:$B2593,"&lt;&gt;"&amp;B2593)+SUM($Q$2:$Q2593)</f>
        <v>90.195000000000007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si="56"/>
        <v>2584</v>
      </c>
      <c r="P2594" s="7">
        <f ca="1">SUMIFS($N$2:$N2594,$B$2:$B2594,"&lt;&gt;"&amp;B2594)+SUM($Q$2:$Q2594)</f>
        <v>90.195000000000007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56"/>
        <v>2585</v>
      </c>
      <c r="P2595" s="7">
        <f ca="1">SUMIFS($N$2:$N2595,$B$2:$B2595,"&lt;&gt;"&amp;B2595)+SUM($Q$2:$Q2595)</f>
        <v>90.195000000000007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56"/>
        <v>2586</v>
      </c>
      <c r="P2596" s="7">
        <f ca="1">SUMIFS($N$2:$N2596,$B$2:$B2596,"&lt;&gt;"&amp;B2596)+SUM($Q$2:$Q2596)</f>
        <v>90.195000000000007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56"/>
        <v>2587</v>
      </c>
      <c r="P2597" s="7">
        <f ca="1">SUMIFS($N$2:$N2597,$B$2:$B2597,"&lt;&gt;"&amp;B2597)+SUM($Q$2:$Q2597)</f>
        <v>90.195000000000007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56"/>
        <v>2588</v>
      </c>
      <c r="P2598" s="7">
        <f ca="1">SUMIFS($N$2:$N2598,$B$2:$B2598,"&lt;&gt;"&amp;B2598)+SUM($Q$2:$Q2598)</f>
        <v>90.195000000000007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56"/>
        <v>2589</v>
      </c>
      <c r="P2599" s="7">
        <f ca="1">SUMIFS($N$2:$N2599,$B$2:$B2599,"&lt;&gt;"&amp;B2599)+SUM($Q$2:$Q2599)</f>
        <v>90.195000000000007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56"/>
        <v>2590</v>
      </c>
      <c r="P2600" s="7">
        <f ca="1">SUMIFS($N$2:$N2600,$B$2:$B2600,"&lt;&gt;"&amp;B2600)+SUM($Q$2:$Q2600)</f>
        <v>90.195000000000007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56"/>
        <v>2591</v>
      </c>
      <c r="P2601" s="7">
        <f ca="1">SUMIFS($N$2:$N2601,$B$2:$B2601,"&lt;&gt;"&amp;B2601)+SUM($Q$2:$Q2601)</f>
        <v>90.195000000000007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56"/>
        <v>2592</v>
      </c>
      <c r="P2602" s="7">
        <f ca="1">SUMIFS($N$2:$N2602,$B$2:$B2602,"&lt;&gt;"&amp;B2602)+SUM($Q$2:$Q2602)</f>
        <v>90.195000000000007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56"/>
        <v>2593</v>
      </c>
      <c r="P2603" s="7">
        <f ca="1">SUMIFS($N$2:$N2603,$B$2:$B2603,"&lt;&gt;"&amp;B2603)+SUM($Q$2:$Q2603)</f>
        <v>90.195000000000007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56"/>
        <v>2594</v>
      </c>
      <c r="P2604" s="7">
        <f ca="1">SUMIFS($N$2:$N2604,$B$2:$B2604,"&lt;&gt;"&amp;B2604)+SUM($Q$2:$Q2604)</f>
        <v>90.195000000000007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56"/>
        <v>2595</v>
      </c>
      <c r="P2605" s="7">
        <f ca="1">SUMIFS($N$2:$N2605,$B$2:$B2605,"&lt;&gt;"&amp;B2605)+SUM($Q$2:$Q2605)</f>
        <v>90.195000000000007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56"/>
        <v>2596</v>
      </c>
      <c r="P2606" s="7">
        <f ca="1">SUMIFS($N$2:$N2606,$B$2:$B2606,"&lt;&gt;"&amp;B2606)+SUM($Q$2:$Q2606)</f>
        <v>90.195000000000007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56"/>
        <v>2597</v>
      </c>
      <c r="P2607" s="7">
        <f ca="1">SUMIFS($N$2:$N2607,$B$2:$B2607,"&lt;&gt;"&amp;B2607)+SUM($Q$2:$Q2607)</f>
        <v>90.195000000000007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56"/>
        <v>2598</v>
      </c>
      <c r="P2608" s="7">
        <f ca="1">SUMIFS($N$2:$N2608,$B$2:$B2608,"&lt;&gt;"&amp;B2608)+SUM($Q$2:$Q2608)</f>
        <v>90.195000000000007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56"/>
        <v>2599</v>
      </c>
      <c r="P2609" s="7">
        <f ca="1">SUMIFS($N$2:$N2609,$B$2:$B2609,"&lt;&gt;"&amp;B2609)+SUM($Q$2:$Q2609)</f>
        <v>90.195000000000007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56"/>
        <v>2600</v>
      </c>
      <c r="P2610" s="7">
        <f ca="1">SUMIFS($N$2:$N2610,$B$2:$B2610,"&lt;&gt;"&amp;B2610)+SUM($Q$2:$Q2610)</f>
        <v>90.195000000000007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56"/>
        <v>2601</v>
      </c>
      <c r="P2611" s="7">
        <f ca="1">SUMIFS($N$2:$N2611,$B$2:$B2611,"&lt;&gt;"&amp;B2611)+SUM($Q$2:$Q2611)</f>
        <v>90.195000000000007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56"/>
        <v>2602</v>
      </c>
      <c r="P2612" s="7">
        <f ca="1">SUMIFS($N$2:$N2612,$B$2:$B2612,"&lt;&gt;"&amp;B2612)+SUM($Q$2:$Q2612)</f>
        <v>90.195000000000007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56"/>
        <v>2603</v>
      </c>
      <c r="P2613" s="7">
        <f ca="1">SUMIFS($N$2:$N2613,$B$2:$B2613,"&lt;&gt;"&amp;B2613)+SUM($Q$2:$Q2613)</f>
        <v>90.195000000000007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56"/>
        <v>2604</v>
      </c>
      <c r="P2614" s="7">
        <f ca="1">SUMIFS($N$2:$N2614,$B$2:$B2614,"&lt;&gt;"&amp;B2614)+SUM($Q$2:$Q2614)</f>
        <v>90.195000000000007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56"/>
        <v>2605</v>
      </c>
      <c r="P2615" s="7">
        <f ca="1">SUMIFS($N$2:$N2615,$B$2:$B2615,"&lt;&gt;"&amp;B2615)+SUM($Q$2:$Q2615)</f>
        <v>90.195000000000007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56"/>
        <v>2606</v>
      </c>
      <c r="P2616" s="7">
        <f ca="1">SUMIFS($N$2:$N2616,$B$2:$B2616,"&lt;&gt;"&amp;B2616)+SUM($Q$2:$Q2616)</f>
        <v>90.195000000000007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56"/>
        <v>2607</v>
      </c>
      <c r="P2617" s="7">
        <f ca="1">SUMIFS($N$2:$N2617,$B$2:$B2617,"&lt;&gt;"&amp;B2617)+SUM($Q$2:$Q2617)</f>
        <v>90.195000000000007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56"/>
        <v>2608</v>
      </c>
      <c r="P2618" s="7">
        <f ca="1">SUMIFS($N$2:$N2618,$B$2:$B2618,"&lt;&gt;"&amp;B2618)+SUM($Q$2:$Q2618)</f>
        <v>90.195000000000007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56"/>
        <v>2609</v>
      </c>
      <c r="P2619" s="7">
        <f ca="1">SUMIFS($N$2:$N2619,$B$2:$B2619,"&lt;&gt;"&amp;B2619)+SUM($Q$2:$Q2619)</f>
        <v>90.195000000000007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56"/>
        <v>2610</v>
      </c>
      <c r="P2620" s="7">
        <f ca="1">SUMIFS($N$2:$N2620,$B$2:$B2620,"&lt;&gt;"&amp;B2620)+SUM($Q$2:$Q2620)</f>
        <v>90.195000000000007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56"/>
        <v>2611</v>
      </c>
      <c r="P2621" s="7">
        <f ca="1">SUMIFS($N$2:$N2621,$B$2:$B2621,"&lt;&gt;"&amp;B2621)+SUM($Q$2:$Q2621)</f>
        <v>90.195000000000007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56"/>
        <v>2612</v>
      </c>
      <c r="P2622" s="7">
        <f ca="1">SUMIFS($N$2:$N2622,$B$2:$B2622,"&lt;&gt;"&amp;B2622)+SUM($Q$2:$Q2622)</f>
        <v>90.195000000000007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56"/>
        <v>2613</v>
      </c>
      <c r="P2623" s="7">
        <f ca="1">SUMIFS($N$2:$N2623,$B$2:$B2623,"&lt;&gt;"&amp;B2623)+SUM($Q$2:$Q2623)</f>
        <v>90.195000000000007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56"/>
        <v>2614</v>
      </c>
      <c r="P2624" s="7">
        <f ca="1">SUMIFS($N$2:$N2624,$B$2:$B2624,"&lt;&gt;"&amp;B2624)+SUM($Q$2:$Q2624)</f>
        <v>90.195000000000007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56"/>
        <v>2615</v>
      </c>
      <c r="P2625" s="7">
        <f ca="1">SUMIFS($N$2:$N2625,$B$2:$B2625,"&lt;&gt;"&amp;B2625)+SUM($Q$2:$Q2625)</f>
        <v>90.195000000000007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56"/>
        <v>2616</v>
      </c>
      <c r="P2626" s="7">
        <f ca="1">SUMIFS($N$2:$N2626,$B$2:$B2626,"&lt;&gt;"&amp;B2626)+SUM($Q$2:$Q2626)</f>
        <v>90.195000000000007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ref="A2627:A2690" si="57">IF(AND(B2627="", D2627&lt;&gt;""), A2626, A2626+1)</f>
        <v>2617</v>
      </c>
      <c r="P2627" s="7">
        <f ca="1">SUMIFS($N$2:$N2627,$B$2:$B2627,"&lt;&gt;"&amp;B2627)+SUM($Q$2:$Q2627)</f>
        <v>90.195000000000007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57"/>
        <v>2618</v>
      </c>
      <c r="P2628" s="7">
        <f ca="1">SUMIFS($N$2:$N2628,$B$2:$B2628,"&lt;&gt;"&amp;B2628)+SUM($Q$2:$Q2628)</f>
        <v>90.195000000000007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57"/>
        <v>2619</v>
      </c>
      <c r="P2629" s="7">
        <f ca="1">SUMIFS($N$2:$N2629,$B$2:$B2629,"&lt;&gt;"&amp;B2629)+SUM($Q$2:$Q2629)</f>
        <v>90.195000000000007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57"/>
        <v>2620</v>
      </c>
      <c r="P2630" s="7">
        <f ca="1">SUMIFS($N$2:$N2630,$B$2:$B2630,"&lt;&gt;"&amp;B2630)+SUM($Q$2:$Q2630)</f>
        <v>90.195000000000007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57"/>
        <v>2621</v>
      </c>
      <c r="P2631" s="7">
        <f ca="1">SUMIFS($N$2:$N2631,$B$2:$B2631,"&lt;&gt;"&amp;B2631)+SUM($Q$2:$Q2631)</f>
        <v>90.195000000000007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57"/>
        <v>2622</v>
      </c>
      <c r="P2632" s="7">
        <f ca="1">SUMIFS($N$2:$N2632,$B$2:$B2632,"&lt;&gt;"&amp;B2632)+SUM($Q$2:$Q2632)</f>
        <v>90.195000000000007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57"/>
        <v>2623</v>
      </c>
      <c r="P2633" s="7">
        <f ca="1">SUMIFS($N$2:$N2633,$B$2:$B2633,"&lt;&gt;"&amp;B2633)+SUM($Q$2:$Q2633)</f>
        <v>90.195000000000007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57"/>
        <v>2624</v>
      </c>
      <c r="P2634" s="7">
        <f ca="1">SUMIFS($N$2:$N2634,$B$2:$B2634,"&lt;&gt;"&amp;B2634)+SUM($Q$2:$Q2634)</f>
        <v>90.195000000000007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57"/>
        <v>2625</v>
      </c>
      <c r="P2635" s="7">
        <f ca="1">SUMIFS($N$2:$N2635,$B$2:$B2635,"&lt;&gt;"&amp;B2635)+SUM($Q$2:$Q2635)</f>
        <v>90.195000000000007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57"/>
        <v>2626</v>
      </c>
      <c r="P2636" s="7">
        <f ca="1">SUMIFS($N$2:$N2636,$B$2:$B2636,"&lt;&gt;"&amp;B2636)+SUM($Q$2:$Q2636)</f>
        <v>90.195000000000007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57"/>
        <v>2627</v>
      </c>
      <c r="P2637" s="7">
        <f ca="1">SUMIFS($N$2:$N2637,$B$2:$B2637,"&lt;&gt;"&amp;B2637)+SUM($Q$2:$Q2637)</f>
        <v>90.195000000000007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57"/>
        <v>2628</v>
      </c>
      <c r="P2638" s="7">
        <f ca="1">SUMIFS($N$2:$N2638,$B$2:$B2638,"&lt;&gt;"&amp;B2638)+SUM($Q$2:$Q2638)</f>
        <v>90.195000000000007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57"/>
        <v>2629</v>
      </c>
      <c r="P2639" s="7">
        <f ca="1">SUMIFS($N$2:$N2639,$B$2:$B2639,"&lt;&gt;"&amp;B2639)+SUM($Q$2:$Q2639)</f>
        <v>90.195000000000007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57"/>
        <v>2630</v>
      </c>
      <c r="P2640" s="7">
        <f ca="1">SUMIFS($N$2:$N2640,$B$2:$B2640,"&lt;&gt;"&amp;B2640)+SUM($Q$2:$Q2640)</f>
        <v>90.195000000000007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57"/>
        <v>2631</v>
      </c>
      <c r="P2641" s="7">
        <f ca="1">SUMIFS($N$2:$N2641,$B$2:$B2641,"&lt;&gt;"&amp;B2641)+SUM($Q$2:$Q2641)</f>
        <v>90.195000000000007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57"/>
        <v>2632</v>
      </c>
      <c r="P2642" s="7">
        <f ca="1">SUMIFS($N$2:$N2642,$B$2:$B2642,"&lt;&gt;"&amp;B2642)+SUM($Q$2:$Q2642)</f>
        <v>90.195000000000007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57"/>
        <v>2633</v>
      </c>
      <c r="P2643" s="7">
        <f ca="1">SUMIFS($N$2:$N2643,$B$2:$B2643,"&lt;&gt;"&amp;B2643)+SUM($Q$2:$Q2643)</f>
        <v>90.195000000000007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57"/>
        <v>2634</v>
      </c>
      <c r="P2644" s="7">
        <f ca="1">SUMIFS($N$2:$N2644,$B$2:$B2644,"&lt;&gt;"&amp;B2644)+SUM($Q$2:$Q2644)</f>
        <v>90.195000000000007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57"/>
        <v>2635</v>
      </c>
      <c r="P2645" s="7">
        <f ca="1">SUMIFS($N$2:$N2645,$B$2:$B2645,"&lt;&gt;"&amp;B2645)+SUM($Q$2:$Q2645)</f>
        <v>90.195000000000007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57"/>
        <v>2636</v>
      </c>
      <c r="P2646" s="7">
        <f ca="1">SUMIFS($N$2:$N2646,$B$2:$B2646,"&lt;&gt;"&amp;B2646)+SUM($Q$2:$Q2646)</f>
        <v>90.195000000000007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57"/>
        <v>2637</v>
      </c>
      <c r="P2647" s="7">
        <f ca="1">SUMIFS($N$2:$N2647,$B$2:$B2647,"&lt;&gt;"&amp;B2647)+SUM($Q$2:$Q2647)</f>
        <v>90.195000000000007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57"/>
        <v>2638</v>
      </c>
      <c r="P2648" s="7">
        <f ca="1">SUMIFS($N$2:$N2648,$B$2:$B2648,"&lt;&gt;"&amp;B2648)+SUM($Q$2:$Q2648)</f>
        <v>90.195000000000007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57"/>
        <v>2639</v>
      </c>
      <c r="P2649" s="7">
        <f ca="1">SUMIFS($N$2:$N2649,$B$2:$B2649,"&lt;&gt;"&amp;B2649)+SUM($Q$2:$Q2649)</f>
        <v>90.195000000000007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57"/>
        <v>2640</v>
      </c>
      <c r="P2650" s="7">
        <f ca="1">SUMIFS($N$2:$N2650,$B$2:$B2650,"&lt;&gt;"&amp;B2650)+SUM($Q$2:$Q2650)</f>
        <v>90.195000000000007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57"/>
        <v>2641</v>
      </c>
      <c r="P2651" s="7">
        <f ca="1">SUMIFS($N$2:$N2651,$B$2:$B2651,"&lt;&gt;"&amp;B2651)+SUM($Q$2:$Q2651)</f>
        <v>90.195000000000007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57"/>
        <v>2642</v>
      </c>
      <c r="P2652" s="7">
        <f ca="1">SUMIFS($N$2:$N2652,$B$2:$B2652,"&lt;&gt;"&amp;B2652)+SUM($Q$2:$Q2652)</f>
        <v>90.195000000000007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57"/>
        <v>2643</v>
      </c>
      <c r="P2653" s="7">
        <f ca="1">SUMIFS($N$2:$N2653,$B$2:$B2653,"&lt;&gt;"&amp;B2653)+SUM($Q$2:$Q2653)</f>
        <v>90.195000000000007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57"/>
        <v>2644</v>
      </c>
      <c r="P2654" s="7">
        <f ca="1">SUMIFS($N$2:$N2654,$B$2:$B2654,"&lt;&gt;"&amp;B2654)+SUM($Q$2:$Q2654)</f>
        <v>90.195000000000007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57"/>
        <v>2645</v>
      </c>
      <c r="P2655" s="7">
        <f ca="1">SUMIFS($N$2:$N2655,$B$2:$B2655,"&lt;&gt;"&amp;B2655)+SUM($Q$2:$Q2655)</f>
        <v>90.195000000000007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57"/>
        <v>2646</v>
      </c>
      <c r="P2656" s="7">
        <f ca="1">SUMIFS($N$2:$N2656,$B$2:$B2656,"&lt;&gt;"&amp;B2656)+SUM($Q$2:$Q2656)</f>
        <v>90.195000000000007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57"/>
        <v>2647</v>
      </c>
      <c r="P2657" s="7">
        <f ca="1">SUMIFS($N$2:$N2657,$B$2:$B2657,"&lt;&gt;"&amp;B2657)+SUM($Q$2:$Q2657)</f>
        <v>90.195000000000007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si="57"/>
        <v>2648</v>
      </c>
      <c r="P2658" s="7">
        <f ca="1">SUMIFS($N$2:$N2658,$B$2:$B2658,"&lt;&gt;"&amp;B2658)+SUM($Q$2:$Q2658)</f>
        <v>90.195000000000007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57"/>
        <v>2649</v>
      </c>
      <c r="P2659" s="7">
        <f ca="1">SUMIFS($N$2:$N2659,$B$2:$B2659,"&lt;&gt;"&amp;B2659)+SUM($Q$2:$Q2659)</f>
        <v>90.195000000000007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57"/>
        <v>2650</v>
      </c>
      <c r="P2660" s="7">
        <f ca="1">SUMIFS($N$2:$N2660,$B$2:$B2660,"&lt;&gt;"&amp;B2660)+SUM($Q$2:$Q2660)</f>
        <v>90.195000000000007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57"/>
        <v>2651</v>
      </c>
      <c r="P2661" s="7">
        <f ca="1">SUMIFS($N$2:$N2661,$B$2:$B2661,"&lt;&gt;"&amp;B2661)+SUM($Q$2:$Q2661)</f>
        <v>90.195000000000007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57"/>
        <v>2652</v>
      </c>
      <c r="P2662" s="7">
        <f ca="1">SUMIFS($N$2:$N2662,$B$2:$B2662,"&lt;&gt;"&amp;B2662)+SUM($Q$2:$Q2662)</f>
        <v>90.195000000000007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57"/>
        <v>2653</v>
      </c>
      <c r="P2663" s="7">
        <f ca="1">SUMIFS($N$2:$N2663,$B$2:$B2663,"&lt;&gt;"&amp;B2663)+SUM($Q$2:$Q2663)</f>
        <v>90.195000000000007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57"/>
        <v>2654</v>
      </c>
      <c r="P2664" s="7">
        <f ca="1">SUMIFS($N$2:$N2664,$B$2:$B2664,"&lt;&gt;"&amp;B2664)+SUM($Q$2:$Q2664)</f>
        <v>90.195000000000007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57"/>
        <v>2655</v>
      </c>
      <c r="P2665" s="7">
        <f ca="1">SUMIFS($N$2:$N2665,$B$2:$B2665,"&lt;&gt;"&amp;B2665)+SUM($Q$2:$Q2665)</f>
        <v>90.195000000000007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57"/>
        <v>2656</v>
      </c>
      <c r="P2666" s="7">
        <f ca="1">SUMIFS($N$2:$N2666,$B$2:$B2666,"&lt;&gt;"&amp;B2666)+SUM($Q$2:$Q2666)</f>
        <v>90.195000000000007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57"/>
        <v>2657</v>
      </c>
      <c r="P2667" s="7">
        <f ca="1">SUMIFS($N$2:$N2667,$B$2:$B2667,"&lt;&gt;"&amp;B2667)+SUM($Q$2:$Q2667)</f>
        <v>90.195000000000007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57"/>
        <v>2658</v>
      </c>
      <c r="P2668" s="7">
        <f ca="1">SUMIFS($N$2:$N2668,$B$2:$B2668,"&lt;&gt;"&amp;B2668)+SUM($Q$2:$Q2668)</f>
        <v>90.195000000000007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57"/>
        <v>2659</v>
      </c>
      <c r="P2669" s="7">
        <f ca="1">SUMIFS($N$2:$N2669,$B$2:$B2669,"&lt;&gt;"&amp;B2669)+SUM($Q$2:$Q2669)</f>
        <v>90.195000000000007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57"/>
        <v>2660</v>
      </c>
      <c r="P2670" s="7">
        <f ca="1">SUMIFS($N$2:$N2670,$B$2:$B2670,"&lt;&gt;"&amp;B2670)+SUM($Q$2:$Q2670)</f>
        <v>90.195000000000007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57"/>
        <v>2661</v>
      </c>
      <c r="P2671" s="7">
        <f ca="1">SUMIFS($N$2:$N2671,$B$2:$B2671,"&lt;&gt;"&amp;B2671)+SUM($Q$2:$Q2671)</f>
        <v>90.195000000000007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57"/>
        <v>2662</v>
      </c>
      <c r="P2672" s="7">
        <f ca="1">SUMIFS($N$2:$N2672,$B$2:$B2672,"&lt;&gt;"&amp;B2672)+SUM($Q$2:$Q2672)</f>
        <v>90.195000000000007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57"/>
        <v>2663</v>
      </c>
      <c r="P2673" s="7">
        <f ca="1">SUMIFS($N$2:$N2673,$B$2:$B2673,"&lt;&gt;"&amp;B2673)+SUM($Q$2:$Q2673)</f>
        <v>90.195000000000007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57"/>
        <v>2664</v>
      </c>
      <c r="P2674" s="7">
        <f ca="1">SUMIFS($N$2:$N2674,$B$2:$B2674,"&lt;&gt;"&amp;B2674)+SUM($Q$2:$Q2674)</f>
        <v>90.195000000000007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57"/>
        <v>2665</v>
      </c>
      <c r="P2675" s="7">
        <f ca="1">SUMIFS($N$2:$N2675,$B$2:$B2675,"&lt;&gt;"&amp;B2675)+SUM($Q$2:$Q2675)</f>
        <v>90.195000000000007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57"/>
        <v>2666</v>
      </c>
      <c r="P2676" s="7">
        <f ca="1">SUMIFS($N$2:$N2676,$B$2:$B2676,"&lt;&gt;"&amp;B2676)+SUM($Q$2:$Q2676)</f>
        <v>90.195000000000007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57"/>
        <v>2667</v>
      </c>
      <c r="P2677" s="7">
        <f ca="1">SUMIFS($N$2:$N2677,$B$2:$B2677,"&lt;&gt;"&amp;B2677)+SUM($Q$2:$Q2677)</f>
        <v>90.195000000000007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57"/>
        <v>2668</v>
      </c>
      <c r="P2678" s="7">
        <f ca="1">SUMIFS($N$2:$N2678,$B$2:$B2678,"&lt;&gt;"&amp;B2678)+SUM($Q$2:$Q2678)</f>
        <v>90.195000000000007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57"/>
        <v>2669</v>
      </c>
      <c r="P2679" s="7">
        <f ca="1">SUMIFS($N$2:$N2679,$B$2:$B2679,"&lt;&gt;"&amp;B2679)+SUM($Q$2:$Q2679)</f>
        <v>90.195000000000007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57"/>
        <v>2670</v>
      </c>
      <c r="P2680" s="7">
        <f ca="1">SUMIFS($N$2:$N2680,$B$2:$B2680,"&lt;&gt;"&amp;B2680)+SUM($Q$2:$Q2680)</f>
        <v>90.195000000000007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57"/>
        <v>2671</v>
      </c>
      <c r="P2681" s="7">
        <f ca="1">SUMIFS($N$2:$N2681,$B$2:$B2681,"&lt;&gt;"&amp;B2681)+SUM($Q$2:$Q2681)</f>
        <v>90.195000000000007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57"/>
        <v>2672</v>
      </c>
      <c r="P2682" s="7">
        <f ca="1">SUMIFS($N$2:$N2682,$B$2:$B2682,"&lt;&gt;"&amp;B2682)+SUM($Q$2:$Q2682)</f>
        <v>90.195000000000007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57"/>
        <v>2673</v>
      </c>
      <c r="P2683" s="7">
        <f ca="1">SUMIFS($N$2:$N2683,$B$2:$B2683,"&lt;&gt;"&amp;B2683)+SUM($Q$2:$Q2683)</f>
        <v>90.195000000000007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57"/>
        <v>2674</v>
      </c>
      <c r="P2684" s="7">
        <f ca="1">SUMIFS($N$2:$N2684,$B$2:$B2684,"&lt;&gt;"&amp;B2684)+SUM($Q$2:$Q2684)</f>
        <v>90.195000000000007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57"/>
        <v>2675</v>
      </c>
      <c r="P2685" s="7">
        <f ca="1">SUMIFS($N$2:$N2685,$B$2:$B2685,"&lt;&gt;"&amp;B2685)+SUM($Q$2:$Q2685)</f>
        <v>90.195000000000007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57"/>
        <v>2676</v>
      </c>
      <c r="P2686" s="7">
        <f ca="1">SUMIFS($N$2:$N2686,$B$2:$B2686,"&lt;&gt;"&amp;B2686)+SUM($Q$2:$Q2686)</f>
        <v>90.195000000000007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57"/>
        <v>2677</v>
      </c>
      <c r="P2687" s="7">
        <f ca="1">SUMIFS($N$2:$N2687,$B$2:$B2687,"&lt;&gt;"&amp;B2687)+SUM($Q$2:$Q2687)</f>
        <v>90.195000000000007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57"/>
        <v>2678</v>
      </c>
      <c r="P2688" s="7">
        <f ca="1">SUMIFS($N$2:$N2688,$B$2:$B2688,"&lt;&gt;"&amp;B2688)+SUM($Q$2:$Q2688)</f>
        <v>90.195000000000007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57"/>
        <v>2679</v>
      </c>
      <c r="P2689" s="7">
        <f ca="1">SUMIFS($N$2:$N2689,$B$2:$B2689,"&lt;&gt;"&amp;B2689)+SUM($Q$2:$Q2689)</f>
        <v>90.195000000000007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57"/>
        <v>2680</v>
      </c>
      <c r="P2690" s="7">
        <f ca="1">SUMIFS($N$2:$N2690,$B$2:$B2690,"&lt;&gt;"&amp;B2690)+SUM($Q$2:$Q2690)</f>
        <v>90.195000000000007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ref="A2691:A2754" si="58">IF(AND(B2691="", D2691&lt;&gt;""), A2690, A2690+1)</f>
        <v>2681</v>
      </c>
      <c r="P2691" s="7">
        <f ca="1">SUMIFS($N$2:$N2691,$B$2:$B2691,"&lt;&gt;"&amp;B2691)+SUM($Q$2:$Q2691)</f>
        <v>90.195000000000007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58"/>
        <v>2682</v>
      </c>
      <c r="P2692" s="7">
        <f ca="1">SUMIFS($N$2:$N2692,$B$2:$B2692,"&lt;&gt;"&amp;B2692)+SUM($Q$2:$Q2692)</f>
        <v>90.195000000000007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58"/>
        <v>2683</v>
      </c>
      <c r="P2693" s="7">
        <f ca="1">SUMIFS($N$2:$N2693,$B$2:$B2693,"&lt;&gt;"&amp;B2693)+SUM($Q$2:$Q2693)</f>
        <v>90.195000000000007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58"/>
        <v>2684</v>
      </c>
      <c r="P2694" s="7">
        <f ca="1">SUMIFS($N$2:$N2694,$B$2:$B2694,"&lt;&gt;"&amp;B2694)+SUM($Q$2:$Q2694)</f>
        <v>90.195000000000007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58"/>
        <v>2685</v>
      </c>
      <c r="P2695" s="7">
        <f ca="1">SUMIFS($N$2:$N2695,$B$2:$B2695,"&lt;&gt;"&amp;B2695)+SUM($Q$2:$Q2695)</f>
        <v>90.195000000000007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58"/>
        <v>2686</v>
      </c>
      <c r="P2696" s="7">
        <f ca="1">SUMIFS($N$2:$N2696,$B$2:$B2696,"&lt;&gt;"&amp;B2696)+SUM($Q$2:$Q2696)</f>
        <v>90.195000000000007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58"/>
        <v>2687</v>
      </c>
      <c r="P2697" s="7">
        <f ca="1">SUMIFS($N$2:$N2697,$B$2:$B2697,"&lt;&gt;"&amp;B2697)+SUM($Q$2:$Q2697)</f>
        <v>90.195000000000007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58"/>
        <v>2688</v>
      </c>
      <c r="P2698" s="7">
        <f ca="1">SUMIFS($N$2:$N2698,$B$2:$B2698,"&lt;&gt;"&amp;B2698)+SUM($Q$2:$Q2698)</f>
        <v>90.195000000000007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58"/>
        <v>2689</v>
      </c>
      <c r="P2699" s="7">
        <f ca="1">SUMIFS($N$2:$N2699,$B$2:$B2699,"&lt;&gt;"&amp;B2699)+SUM($Q$2:$Q2699)</f>
        <v>90.195000000000007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58"/>
        <v>2690</v>
      </c>
      <c r="P2700" s="7">
        <f ca="1">SUMIFS($N$2:$N2700,$B$2:$B2700,"&lt;&gt;"&amp;B2700)+SUM($Q$2:$Q2700)</f>
        <v>90.195000000000007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58"/>
        <v>2691</v>
      </c>
      <c r="P2701" s="7">
        <f ca="1">SUMIFS($N$2:$N2701,$B$2:$B2701,"&lt;&gt;"&amp;B2701)+SUM($Q$2:$Q2701)</f>
        <v>90.195000000000007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58"/>
        <v>2692</v>
      </c>
      <c r="P2702" s="7">
        <f ca="1">SUMIFS($N$2:$N2702,$B$2:$B2702,"&lt;&gt;"&amp;B2702)+SUM($Q$2:$Q2702)</f>
        <v>90.195000000000007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58"/>
        <v>2693</v>
      </c>
      <c r="P2703" s="7">
        <f ca="1">SUMIFS($N$2:$N2703,$B$2:$B2703,"&lt;&gt;"&amp;B2703)+SUM($Q$2:$Q2703)</f>
        <v>90.195000000000007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58"/>
        <v>2694</v>
      </c>
      <c r="P2704" s="7">
        <f ca="1">SUMIFS($N$2:$N2704,$B$2:$B2704,"&lt;&gt;"&amp;B2704)+SUM($Q$2:$Q2704)</f>
        <v>90.195000000000007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58"/>
        <v>2695</v>
      </c>
      <c r="P2705" s="7">
        <f ca="1">SUMIFS($N$2:$N2705,$B$2:$B2705,"&lt;&gt;"&amp;B2705)+SUM($Q$2:$Q2705)</f>
        <v>90.195000000000007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58"/>
        <v>2696</v>
      </c>
      <c r="P2706" s="7">
        <f ca="1">SUMIFS($N$2:$N2706,$B$2:$B2706,"&lt;&gt;"&amp;B2706)+SUM($Q$2:$Q2706)</f>
        <v>90.195000000000007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58"/>
        <v>2697</v>
      </c>
      <c r="P2707" s="7">
        <f ca="1">SUMIFS($N$2:$N2707,$B$2:$B2707,"&lt;&gt;"&amp;B2707)+SUM($Q$2:$Q2707)</f>
        <v>90.195000000000007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58"/>
        <v>2698</v>
      </c>
      <c r="P2708" s="7">
        <f ca="1">SUMIFS($N$2:$N2708,$B$2:$B2708,"&lt;&gt;"&amp;B2708)+SUM($Q$2:$Q2708)</f>
        <v>90.195000000000007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58"/>
        <v>2699</v>
      </c>
      <c r="P2709" s="7">
        <f ca="1">SUMIFS($N$2:$N2709,$B$2:$B2709,"&lt;&gt;"&amp;B2709)+SUM($Q$2:$Q2709)</f>
        <v>90.195000000000007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58"/>
        <v>2700</v>
      </c>
      <c r="P2710" s="7">
        <f ca="1">SUMIFS($N$2:$N2710,$B$2:$B2710,"&lt;&gt;"&amp;B2710)+SUM($Q$2:$Q2710)</f>
        <v>90.195000000000007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58"/>
        <v>2701</v>
      </c>
      <c r="P2711" s="7">
        <f ca="1">SUMIFS($N$2:$N2711,$B$2:$B2711,"&lt;&gt;"&amp;B2711)+SUM($Q$2:$Q2711)</f>
        <v>90.195000000000007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58"/>
        <v>2702</v>
      </c>
      <c r="P2712" s="7">
        <f ca="1">SUMIFS($N$2:$N2712,$B$2:$B2712,"&lt;&gt;"&amp;B2712)+SUM($Q$2:$Q2712)</f>
        <v>90.195000000000007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58"/>
        <v>2703</v>
      </c>
      <c r="P2713" s="7">
        <f ca="1">SUMIFS($N$2:$N2713,$B$2:$B2713,"&lt;&gt;"&amp;B2713)+SUM($Q$2:$Q2713)</f>
        <v>90.195000000000007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58"/>
        <v>2704</v>
      </c>
      <c r="P2714" s="7">
        <f ca="1">SUMIFS($N$2:$N2714,$B$2:$B2714,"&lt;&gt;"&amp;B2714)+SUM($Q$2:$Q2714)</f>
        <v>90.195000000000007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58"/>
        <v>2705</v>
      </c>
      <c r="P2715" s="7">
        <f ca="1">SUMIFS($N$2:$N2715,$B$2:$B2715,"&lt;&gt;"&amp;B2715)+SUM($Q$2:$Q2715)</f>
        <v>90.195000000000007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58"/>
        <v>2706</v>
      </c>
      <c r="P2716" s="7">
        <f ca="1">SUMIFS($N$2:$N2716,$B$2:$B2716,"&lt;&gt;"&amp;B2716)+SUM($Q$2:$Q2716)</f>
        <v>90.195000000000007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58"/>
        <v>2707</v>
      </c>
      <c r="P2717" s="7">
        <f ca="1">SUMIFS($N$2:$N2717,$B$2:$B2717,"&lt;&gt;"&amp;B2717)+SUM($Q$2:$Q2717)</f>
        <v>90.195000000000007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58"/>
        <v>2708</v>
      </c>
      <c r="P2718" s="7">
        <f ca="1">SUMIFS($N$2:$N2718,$B$2:$B2718,"&lt;&gt;"&amp;B2718)+SUM($Q$2:$Q2718)</f>
        <v>90.195000000000007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58"/>
        <v>2709</v>
      </c>
      <c r="P2719" s="7">
        <f ca="1">SUMIFS($N$2:$N2719,$B$2:$B2719,"&lt;&gt;"&amp;B2719)+SUM($Q$2:$Q2719)</f>
        <v>90.195000000000007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58"/>
        <v>2710</v>
      </c>
      <c r="P2720" s="7">
        <f ca="1">SUMIFS($N$2:$N2720,$B$2:$B2720,"&lt;&gt;"&amp;B2720)+SUM($Q$2:$Q2720)</f>
        <v>90.195000000000007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58"/>
        <v>2711</v>
      </c>
      <c r="P2721" s="7">
        <f ca="1">SUMIFS($N$2:$N2721,$B$2:$B2721,"&lt;&gt;"&amp;B2721)+SUM($Q$2:$Q2721)</f>
        <v>90.195000000000007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si="58"/>
        <v>2712</v>
      </c>
      <c r="P2722" s="7">
        <f ca="1">SUMIFS($N$2:$N2722,$B$2:$B2722,"&lt;&gt;"&amp;B2722)+SUM($Q$2:$Q2722)</f>
        <v>90.195000000000007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58"/>
        <v>2713</v>
      </c>
      <c r="P2723" s="7">
        <f ca="1">SUMIFS($N$2:$N2723,$B$2:$B2723,"&lt;&gt;"&amp;B2723)+SUM($Q$2:$Q2723)</f>
        <v>90.195000000000007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58"/>
        <v>2714</v>
      </c>
      <c r="P2724" s="7">
        <f ca="1">SUMIFS($N$2:$N2724,$B$2:$B2724,"&lt;&gt;"&amp;B2724)+SUM($Q$2:$Q2724)</f>
        <v>90.195000000000007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58"/>
        <v>2715</v>
      </c>
      <c r="P2725" s="7">
        <f ca="1">SUMIFS($N$2:$N2725,$B$2:$B2725,"&lt;&gt;"&amp;B2725)+SUM($Q$2:$Q2725)</f>
        <v>90.195000000000007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58"/>
        <v>2716</v>
      </c>
      <c r="P2726" s="7">
        <f ca="1">SUMIFS($N$2:$N2726,$B$2:$B2726,"&lt;&gt;"&amp;B2726)+SUM($Q$2:$Q2726)</f>
        <v>90.195000000000007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58"/>
        <v>2717</v>
      </c>
      <c r="P2727" s="7">
        <f ca="1">SUMIFS($N$2:$N2727,$B$2:$B2727,"&lt;&gt;"&amp;B2727)+SUM($Q$2:$Q2727)</f>
        <v>90.195000000000007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58"/>
        <v>2718</v>
      </c>
      <c r="P2728" s="7">
        <f ca="1">SUMIFS($N$2:$N2728,$B$2:$B2728,"&lt;&gt;"&amp;B2728)+SUM($Q$2:$Q2728)</f>
        <v>90.195000000000007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58"/>
        <v>2719</v>
      </c>
      <c r="P2729" s="7">
        <f ca="1">SUMIFS($N$2:$N2729,$B$2:$B2729,"&lt;&gt;"&amp;B2729)+SUM($Q$2:$Q2729)</f>
        <v>90.195000000000007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58"/>
        <v>2720</v>
      </c>
      <c r="P2730" s="7">
        <f ca="1">SUMIFS($N$2:$N2730,$B$2:$B2730,"&lt;&gt;"&amp;B2730)+SUM($Q$2:$Q2730)</f>
        <v>90.195000000000007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58"/>
        <v>2721</v>
      </c>
      <c r="P2731" s="7">
        <f ca="1">SUMIFS($N$2:$N2731,$B$2:$B2731,"&lt;&gt;"&amp;B2731)+SUM($Q$2:$Q2731)</f>
        <v>90.195000000000007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58"/>
        <v>2722</v>
      </c>
      <c r="P2732" s="7">
        <f ca="1">SUMIFS($N$2:$N2732,$B$2:$B2732,"&lt;&gt;"&amp;B2732)+SUM($Q$2:$Q2732)</f>
        <v>90.195000000000007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58"/>
        <v>2723</v>
      </c>
      <c r="P2733" s="7">
        <f ca="1">SUMIFS($N$2:$N2733,$B$2:$B2733,"&lt;&gt;"&amp;B2733)+SUM($Q$2:$Q2733)</f>
        <v>90.195000000000007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58"/>
        <v>2724</v>
      </c>
      <c r="P2734" s="7">
        <f ca="1">SUMIFS($N$2:$N2734,$B$2:$B2734,"&lt;&gt;"&amp;B2734)+SUM($Q$2:$Q2734)</f>
        <v>90.195000000000007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58"/>
        <v>2725</v>
      </c>
      <c r="P2735" s="7">
        <f ca="1">SUMIFS($N$2:$N2735,$B$2:$B2735,"&lt;&gt;"&amp;B2735)+SUM($Q$2:$Q2735)</f>
        <v>90.195000000000007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58"/>
        <v>2726</v>
      </c>
      <c r="P2736" s="7">
        <f ca="1">SUMIFS($N$2:$N2736,$B$2:$B2736,"&lt;&gt;"&amp;B2736)+SUM($Q$2:$Q2736)</f>
        <v>90.195000000000007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58"/>
        <v>2727</v>
      </c>
      <c r="P2737" s="7">
        <f ca="1">SUMIFS($N$2:$N2737,$B$2:$B2737,"&lt;&gt;"&amp;B2737)+SUM($Q$2:$Q2737)</f>
        <v>90.195000000000007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58"/>
        <v>2728</v>
      </c>
      <c r="P2738" s="7">
        <f ca="1">SUMIFS($N$2:$N2738,$B$2:$B2738,"&lt;&gt;"&amp;B2738)+SUM($Q$2:$Q2738)</f>
        <v>90.195000000000007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58"/>
        <v>2729</v>
      </c>
      <c r="P2739" s="7">
        <f ca="1">SUMIFS($N$2:$N2739,$B$2:$B2739,"&lt;&gt;"&amp;B2739)+SUM($Q$2:$Q2739)</f>
        <v>90.195000000000007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58"/>
        <v>2730</v>
      </c>
      <c r="P2740" s="7">
        <f ca="1">SUMIFS($N$2:$N2740,$B$2:$B2740,"&lt;&gt;"&amp;B2740)+SUM($Q$2:$Q2740)</f>
        <v>90.195000000000007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58"/>
        <v>2731</v>
      </c>
      <c r="P2741" s="7">
        <f ca="1">SUMIFS($N$2:$N2741,$B$2:$B2741,"&lt;&gt;"&amp;B2741)+SUM($Q$2:$Q2741)</f>
        <v>90.195000000000007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58"/>
        <v>2732</v>
      </c>
      <c r="P2742" s="7">
        <f ca="1">SUMIFS($N$2:$N2742,$B$2:$B2742,"&lt;&gt;"&amp;B2742)+SUM($Q$2:$Q2742)</f>
        <v>90.195000000000007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58"/>
        <v>2733</v>
      </c>
      <c r="P2743" s="7">
        <f ca="1">SUMIFS($N$2:$N2743,$B$2:$B2743,"&lt;&gt;"&amp;B2743)+SUM($Q$2:$Q2743)</f>
        <v>90.195000000000007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58"/>
        <v>2734</v>
      </c>
      <c r="P2744" s="7">
        <f ca="1">SUMIFS($N$2:$N2744,$B$2:$B2744,"&lt;&gt;"&amp;B2744)+SUM($Q$2:$Q2744)</f>
        <v>90.195000000000007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58"/>
        <v>2735</v>
      </c>
      <c r="P2745" s="7">
        <f ca="1">SUMIFS($N$2:$N2745,$B$2:$B2745,"&lt;&gt;"&amp;B2745)+SUM($Q$2:$Q2745)</f>
        <v>90.195000000000007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58"/>
        <v>2736</v>
      </c>
      <c r="P2746" s="7">
        <f ca="1">SUMIFS($N$2:$N2746,$B$2:$B2746,"&lt;&gt;"&amp;B2746)+SUM($Q$2:$Q2746)</f>
        <v>90.195000000000007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58"/>
        <v>2737</v>
      </c>
      <c r="P2747" s="7">
        <f ca="1">SUMIFS($N$2:$N2747,$B$2:$B2747,"&lt;&gt;"&amp;B2747)+SUM($Q$2:$Q2747)</f>
        <v>90.195000000000007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58"/>
        <v>2738</v>
      </c>
      <c r="P2748" s="7">
        <f ca="1">SUMIFS($N$2:$N2748,$B$2:$B2748,"&lt;&gt;"&amp;B2748)+SUM($Q$2:$Q2748)</f>
        <v>90.195000000000007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58"/>
        <v>2739</v>
      </c>
      <c r="P2749" s="7">
        <f ca="1">SUMIFS($N$2:$N2749,$B$2:$B2749,"&lt;&gt;"&amp;B2749)+SUM($Q$2:$Q2749)</f>
        <v>90.195000000000007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58"/>
        <v>2740</v>
      </c>
      <c r="P2750" s="7">
        <f ca="1">SUMIFS($N$2:$N2750,$B$2:$B2750,"&lt;&gt;"&amp;B2750)+SUM($Q$2:$Q2750)</f>
        <v>90.195000000000007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58"/>
        <v>2741</v>
      </c>
      <c r="P2751" s="7">
        <f ca="1">SUMIFS($N$2:$N2751,$B$2:$B2751,"&lt;&gt;"&amp;B2751)+SUM($Q$2:$Q2751)</f>
        <v>90.195000000000007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58"/>
        <v>2742</v>
      </c>
      <c r="P2752" s="7">
        <f ca="1">SUMIFS($N$2:$N2752,$B$2:$B2752,"&lt;&gt;"&amp;B2752)+SUM($Q$2:$Q2752)</f>
        <v>90.195000000000007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58"/>
        <v>2743</v>
      </c>
      <c r="P2753" s="7">
        <f ca="1">SUMIFS($N$2:$N2753,$B$2:$B2753,"&lt;&gt;"&amp;B2753)+SUM($Q$2:$Q2753)</f>
        <v>90.195000000000007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58"/>
        <v>2744</v>
      </c>
      <c r="P2754" s="7">
        <f ca="1">SUMIFS($N$2:$N2754,$B$2:$B2754,"&lt;&gt;"&amp;B2754)+SUM($Q$2:$Q2754)</f>
        <v>90.195000000000007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ref="A2755:A2818" si="59">IF(AND(B2755="", D2755&lt;&gt;""), A2754, A2754+1)</f>
        <v>2745</v>
      </c>
      <c r="P2755" s="7">
        <f ca="1">SUMIFS($N$2:$N2755,$B$2:$B2755,"&lt;&gt;"&amp;B2755)+SUM($Q$2:$Q2755)</f>
        <v>90.195000000000007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59"/>
        <v>2746</v>
      </c>
      <c r="P2756" s="7">
        <f ca="1">SUMIFS($N$2:$N2756,$B$2:$B2756,"&lt;&gt;"&amp;B2756)+SUM($Q$2:$Q2756)</f>
        <v>90.195000000000007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59"/>
        <v>2747</v>
      </c>
      <c r="P2757" s="7">
        <f ca="1">SUMIFS($N$2:$N2757,$B$2:$B2757,"&lt;&gt;"&amp;B2757)+SUM($Q$2:$Q2757)</f>
        <v>90.195000000000007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59"/>
        <v>2748</v>
      </c>
      <c r="P2758" s="7">
        <f ca="1">SUMIFS($N$2:$N2758,$B$2:$B2758,"&lt;&gt;"&amp;B2758)+SUM($Q$2:$Q2758)</f>
        <v>90.195000000000007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59"/>
        <v>2749</v>
      </c>
      <c r="P2759" s="7">
        <f ca="1">SUMIFS($N$2:$N2759,$B$2:$B2759,"&lt;&gt;"&amp;B2759)+SUM($Q$2:$Q2759)</f>
        <v>90.195000000000007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59"/>
        <v>2750</v>
      </c>
      <c r="P2760" s="7">
        <f ca="1">SUMIFS($N$2:$N2760,$B$2:$B2760,"&lt;&gt;"&amp;B2760)+SUM($Q$2:$Q2760)</f>
        <v>90.195000000000007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59"/>
        <v>2751</v>
      </c>
      <c r="P2761" s="7">
        <f ca="1">SUMIFS($N$2:$N2761,$B$2:$B2761,"&lt;&gt;"&amp;B2761)+SUM($Q$2:$Q2761)</f>
        <v>90.195000000000007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59"/>
        <v>2752</v>
      </c>
      <c r="P2762" s="7">
        <f ca="1">SUMIFS($N$2:$N2762,$B$2:$B2762,"&lt;&gt;"&amp;B2762)+SUM($Q$2:$Q2762)</f>
        <v>90.195000000000007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59"/>
        <v>2753</v>
      </c>
      <c r="P2763" s="7">
        <f ca="1">SUMIFS($N$2:$N2763,$B$2:$B2763,"&lt;&gt;"&amp;B2763)+SUM($Q$2:$Q2763)</f>
        <v>90.195000000000007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59"/>
        <v>2754</v>
      </c>
      <c r="P2764" s="7">
        <f ca="1">SUMIFS($N$2:$N2764,$B$2:$B2764,"&lt;&gt;"&amp;B2764)+SUM($Q$2:$Q2764)</f>
        <v>90.195000000000007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59"/>
        <v>2755</v>
      </c>
      <c r="P2765" s="7">
        <f ca="1">SUMIFS($N$2:$N2765,$B$2:$B2765,"&lt;&gt;"&amp;B2765)+SUM($Q$2:$Q2765)</f>
        <v>90.195000000000007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59"/>
        <v>2756</v>
      </c>
      <c r="P2766" s="7">
        <f ca="1">SUMIFS($N$2:$N2766,$B$2:$B2766,"&lt;&gt;"&amp;B2766)+SUM($Q$2:$Q2766)</f>
        <v>90.195000000000007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59"/>
        <v>2757</v>
      </c>
      <c r="P2767" s="7">
        <f ca="1">SUMIFS($N$2:$N2767,$B$2:$B2767,"&lt;&gt;"&amp;B2767)+SUM($Q$2:$Q2767)</f>
        <v>90.195000000000007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59"/>
        <v>2758</v>
      </c>
      <c r="P2768" s="7">
        <f ca="1">SUMIFS($N$2:$N2768,$B$2:$B2768,"&lt;&gt;"&amp;B2768)+SUM($Q$2:$Q2768)</f>
        <v>90.195000000000007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59"/>
        <v>2759</v>
      </c>
      <c r="P2769" s="7">
        <f ca="1">SUMIFS($N$2:$N2769,$B$2:$B2769,"&lt;&gt;"&amp;B2769)+SUM($Q$2:$Q2769)</f>
        <v>90.195000000000007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59"/>
        <v>2760</v>
      </c>
      <c r="P2770" s="7">
        <f ca="1">SUMIFS($N$2:$N2770,$B$2:$B2770,"&lt;&gt;"&amp;B2770)+SUM($Q$2:$Q2770)</f>
        <v>90.195000000000007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59"/>
        <v>2761</v>
      </c>
      <c r="P2771" s="7">
        <f ca="1">SUMIFS($N$2:$N2771,$B$2:$B2771,"&lt;&gt;"&amp;B2771)+SUM($Q$2:$Q2771)</f>
        <v>90.195000000000007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59"/>
        <v>2762</v>
      </c>
      <c r="P2772" s="7">
        <f ca="1">SUMIFS($N$2:$N2772,$B$2:$B2772,"&lt;&gt;"&amp;B2772)+SUM($Q$2:$Q2772)</f>
        <v>90.195000000000007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59"/>
        <v>2763</v>
      </c>
      <c r="P2773" s="7">
        <f ca="1">SUMIFS($N$2:$N2773,$B$2:$B2773,"&lt;&gt;"&amp;B2773)+SUM($Q$2:$Q2773)</f>
        <v>90.195000000000007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59"/>
        <v>2764</v>
      </c>
      <c r="P2774" s="7">
        <f ca="1">SUMIFS($N$2:$N2774,$B$2:$B2774,"&lt;&gt;"&amp;B2774)+SUM($Q$2:$Q2774)</f>
        <v>90.195000000000007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59"/>
        <v>2765</v>
      </c>
      <c r="P2775" s="7">
        <f ca="1">SUMIFS($N$2:$N2775,$B$2:$B2775,"&lt;&gt;"&amp;B2775)+SUM($Q$2:$Q2775)</f>
        <v>90.195000000000007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59"/>
        <v>2766</v>
      </c>
      <c r="P2776" s="7">
        <f ca="1">SUMIFS($N$2:$N2776,$B$2:$B2776,"&lt;&gt;"&amp;B2776)+SUM($Q$2:$Q2776)</f>
        <v>90.195000000000007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59"/>
        <v>2767</v>
      </c>
      <c r="P2777" s="7">
        <f ca="1">SUMIFS($N$2:$N2777,$B$2:$B2777,"&lt;&gt;"&amp;B2777)+SUM($Q$2:$Q2777)</f>
        <v>90.195000000000007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59"/>
        <v>2768</v>
      </c>
      <c r="P2778" s="7">
        <f ca="1">SUMIFS($N$2:$N2778,$B$2:$B2778,"&lt;&gt;"&amp;B2778)+SUM($Q$2:$Q2778)</f>
        <v>90.195000000000007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59"/>
        <v>2769</v>
      </c>
      <c r="P2779" s="7">
        <f ca="1">SUMIFS($N$2:$N2779,$B$2:$B2779,"&lt;&gt;"&amp;B2779)+SUM($Q$2:$Q2779)</f>
        <v>90.195000000000007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59"/>
        <v>2770</v>
      </c>
      <c r="P2780" s="7">
        <f ca="1">SUMIFS($N$2:$N2780,$B$2:$B2780,"&lt;&gt;"&amp;B2780)+SUM($Q$2:$Q2780)</f>
        <v>90.195000000000007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59"/>
        <v>2771</v>
      </c>
      <c r="P2781" s="7">
        <f ca="1">SUMIFS($N$2:$N2781,$B$2:$B2781,"&lt;&gt;"&amp;B2781)+SUM($Q$2:$Q2781)</f>
        <v>90.195000000000007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59"/>
        <v>2772</v>
      </c>
      <c r="P2782" s="7">
        <f ca="1">SUMIFS($N$2:$N2782,$B$2:$B2782,"&lt;&gt;"&amp;B2782)+SUM($Q$2:$Q2782)</f>
        <v>90.195000000000007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59"/>
        <v>2773</v>
      </c>
      <c r="P2783" s="7">
        <f ca="1">SUMIFS($N$2:$N2783,$B$2:$B2783,"&lt;&gt;"&amp;B2783)+SUM($Q$2:$Q2783)</f>
        <v>90.195000000000007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59"/>
        <v>2774</v>
      </c>
      <c r="P2784" s="7">
        <f ca="1">SUMIFS($N$2:$N2784,$B$2:$B2784,"&lt;&gt;"&amp;B2784)+SUM($Q$2:$Q2784)</f>
        <v>90.195000000000007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59"/>
        <v>2775</v>
      </c>
      <c r="P2785" s="7">
        <f ca="1">SUMIFS($N$2:$N2785,$B$2:$B2785,"&lt;&gt;"&amp;B2785)+SUM($Q$2:$Q2785)</f>
        <v>90.195000000000007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si="59"/>
        <v>2776</v>
      </c>
      <c r="P2786" s="7">
        <f ca="1">SUMIFS($N$2:$N2786,$B$2:$B2786,"&lt;&gt;"&amp;B2786)+SUM($Q$2:$Q2786)</f>
        <v>90.195000000000007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59"/>
        <v>2777</v>
      </c>
      <c r="P2787" s="7">
        <f ca="1">SUMIFS($N$2:$N2787,$B$2:$B2787,"&lt;&gt;"&amp;B2787)+SUM($Q$2:$Q2787)</f>
        <v>90.195000000000007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59"/>
        <v>2778</v>
      </c>
      <c r="P2788" s="7">
        <f ca="1">SUMIFS($N$2:$N2788,$B$2:$B2788,"&lt;&gt;"&amp;B2788)+SUM($Q$2:$Q2788)</f>
        <v>90.195000000000007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59"/>
        <v>2779</v>
      </c>
      <c r="P2789" s="7">
        <f ca="1">SUMIFS($N$2:$N2789,$B$2:$B2789,"&lt;&gt;"&amp;B2789)+SUM($Q$2:$Q2789)</f>
        <v>90.195000000000007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59"/>
        <v>2780</v>
      </c>
      <c r="P2790" s="7">
        <f ca="1">SUMIFS($N$2:$N2790,$B$2:$B2790,"&lt;&gt;"&amp;B2790)+SUM($Q$2:$Q2790)</f>
        <v>90.195000000000007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59"/>
        <v>2781</v>
      </c>
      <c r="P2791" s="7">
        <f ca="1">SUMIFS($N$2:$N2791,$B$2:$B2791,"&lt;&gt;"&amp;B2791)+SUM($Q$2:$Q2791)</f>
        <v>90.195000000000007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59"/>
        <v>2782</v>
      </c>
      <c r="P2792" s="7">
        <f ca="1">SUMIFS($N$2:$N2792,$B$2:$B2792,"&lt;&gt;"&amp;B2792)+SUM($Q$2:$Q2792)</f>
        <v>90.195000000000007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59"/>
        <v>2783</v>
      </c>
      <c r="P2793" s="7">
        <f ca="1">SUMIFS($N$2:$N2793,$B$2:$B2793,"&lt;&gt;"&amp;B2793)+SUM($Q$2:$Q2793)</f>
        <v>90.195000000000007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59"/>
        <v>2784</v>
      </c>
      <c r="P2794" s="7">
        <f ca="1">SUMIFS($N$2:$N2794,$B$2:$B2794,"&lt;&gt;"&amp;B2794)+SUM($Q$2:$Q2794)</f>
        <v>90.195000000000007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59"/>
        <v>2785</v>
      </c>
      <c r="P2795" s="7">
        <f ca="1">SUMIFS($N$2:$N2795,$B$2:$B2795,"&lt;&gt;"&amp;B2795)+SUM($Q$2:$Q2795)</f>
        <v>90.195000000000007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59"/>
        <v>2786</v>
      </c>
      <c r="P2796" s="7">
        <f ca="1">SUMIFS($N$2:$N2796,$B$2:$B2796,"&lt;&gt;"&amp;B2796)+SUM($Q$2:$Q2796)</f>
        <v>90.195000000000007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59"/>
        <v>2787</v>
      </c>
      <c r="P2797" s="7">
        <f ca="1">SUMIFS($N$2:$N2797,$B$2:$B2797,"&lt;&gt;"&amp;B2797)+SUM($Q$2:$Q2797)</f>
        <v>90.195000000000007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59"/>
        <v>2788</v>
      </c>
      <c r="P2798" s="7">
        <f ca="1">SUMIFS($N$2:$N2798,$B$2:$B2798,"&lt;&gt;"&amp;B2798)+SUM($Q$2:$Q2798)</f>
        <v>90.195000000000007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59"/>
        <v>2789</v>
      </c>
      <c r="P2799" s="7">
        <f ca="1">SUMIFS($N$2:$N2799,$B$2:$B2799,"&lt;&gt;"&amp;B2799)+SUM($Q$2:$Q2799)</f>
        <v>90.195000000000007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59"/>
        <v>2790</v>
      </c>
      <c r="P2800" s="7">
        <f ca="1">SUMIFS($N$2:$N2800,$B$2:$B2800,"&lt;&gt;"&amp;B2800)+SUM($Q$2:$Q2800)</f>
        <v>90.195000000000007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59"/>
        <v>2791</v>
      </c>
      <c r="P2801" s="7">
        <f ca="1">SUMIFS($N$2:$N2801,$B$2:$B2801,"&lt;&gt;"&amp;B2801)+SUM($Q$2:$Q2801)</f>
        <v>90.195000000000007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59"/>
        <v>2792</v>
      </c>
      <c r="P2802" s="7">
        <f ca="1">SUMIFS($N$2:$N2802,$B$2:$B2802,"&lt;&gt;"&amp;B2802)+SUM($Q$2:$Q2802)</f>
        <v>90.195000000000007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59"/>
        <v>2793</v>
      </c>
      <c r="P2803" s="7">
        <f ca="1">SUMIFS($N$2:$N2803,$B$2:$B2803,"&lt;&gt;"&amp;B2803)+SUM($Q$2:$Q2803)</f>
        <v>90.195000000000007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59"/>
        <v>2794</v>
      </c>
      <c r="P2804" s="7">
        <f ca="1">SUMIFS($N$2:$N2804,$B$2:$B2804,"&lt;&gt;"&amp;B2804)+SUM($Q$2:$Q2804)</f>
        <v>90.195000000000007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59"/>
        <v>2795</v>
      </c>
      <c r="P2805" s="7">
        <f ca="1">SUMIFS($N$2:$N2805,$B$2:$B2805,"&lt;&gt;"&amp;B2805)+SUM($Q$2:$Q2805)</f>
        <v>90.195000000000007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59"/>
        <v>2796</v>
      </c>
      <c r="P2806" s="7">
        <f ca="1">SUMIFS($N$2:$N2806,$B$2:$B2806,"&lt;&gt;"&amp;B2806)+SUM($Q$2:$Q2806)</f>
        <v>90.195000000000007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59"/>
        <v>2797</v>
      </c>
      <c r="P2807" s="7">
        <f ca="1">SUMIFS($N$2:$N2807,$B$2:$B2807,"&lt;&gt;"&amp;B2807)+SUM($Q$2:$Q2807)</f>
        <v>90.195000000000007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59"/>
        <v>2798</v>
      </c>
      <c r="P2808" s="7">
        <f ca="1">SUMIFS($N$2:$N2808,$B$2:$B2808,"&lt;&gt;"&amp;B2808)+SUM($Q$2:$Q2808)</f>
        <v>90.195000000000007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59"/>
        <v>2799</v>
      </c>
      <c r="P2809" s="7">
        <f ca="1">SUMIFS($N$2:$N2809,$B$2:$B2809,"&lt;&gt;"&amp;B2809)+SUM($Q$2:$Q2809)</f>
        <v>90.195000000000007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59"/>
        <v>2800</v>
      </c>
      <c r="P2810" s="7">
        <f ca="1">SUMIFS($N$2:$N2810,$B$2:$B2810,"&lt;&gt;"&amp;B2810)+SUM($Q$2:$Q2810)</f>
        <v>90.195000000000007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59"/>
        <v>2801</v>
      </c>
      <c r="P2811" s="7">
        <f ca="1">SUMIFS($N$2:$N2811,$B$2:$B2811,"&lt;&gt;"&amp;B2811)+SUM($Q$2:$Q2811)</f>
        <v>90.195000000000007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59"/>
        <v>2802</v>
      </c>
      <c r="P2812" s="7">
        <f ca="1">SUMIFS($N$2:$N2812,$B$2:$B2812,"&lt;&gt;"&amp;B2812)+SUM($Q$2:$Q2812)</f>
        <v>90.195000000000007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59"/>
        <v>2803</v>
      </c>
      <c r="P2813" s="7">
        <f ca="1">SUMIFS($N$2:$N2813,$B$2:$B2813,"&lt;&gt;"&amp;B2813)+SUM($Q$2:$Q2813)</f>
        <v>90.195000000000007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59"/>
        <v>2804</v>
      </c>
      <c r="P2814" s="7">
        <f ca="1">SUMIFS($N$2:$N2814,$B$2:$B2814,"&lt;&gt;"&amp;B2814)+SUM($Q$2:$Q2814)</f>
        <v>90.195000000000007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59"/>
        <v>2805</v>
      </c>
      <c r="P2815" s="7">
        <f ca="1">SUMIFS($N$2:$N2815,$B$2:$B2815,"&lt;&gt;"&amp;B2815)+SUM($Q$2:$Q2815)</f>
        <v>90.195000000000007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59"/>
        <v>2806</v>
      </c>
      <c r="P2816" s="7">
        <f ca="1">SUMIFS($N$2:$N2816,$B$2:$B2816,"&lt;&gt;"&amp;B2816)+SUM($Q$2:$Q2816)</f>
        <v>90.195000000000007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59"/>
        <v>2807</v>
      </c>
      <c r="P2817" s="7">
        <f ca="1">SUMIFS($N$2:$N2817,$B$2:$B2817,"&lt;&gt;"&amp;B2817)+SUM($Q$2:$Q2817)</f>
        <v>90.195000000000007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59"/>
        <v>2808</v>
      </c>
      <c r="P2818" s="7">
        <f ca="1">SUMIFS($N$2:$N2818,$B$2:$B2818,"&lt;&gt;"&amp;B2818)+SUM($Q$2:$Q2818)</f>
        <v>90.195000000000007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ref="A2819:A2882" si="60">IF(AND(B2819="", D2819&lt;&gt;""), A2818, A2818+1)</f>
        <v>2809</v>
      </c>
      <c r="P2819" s="7">
        <f ca="1">SUMIFS($N$2:$N2819,$B$2:$B2819,"&lt;&gt;"&amp;B2819)+SUM($Q$2:$Q2819)</f>
        <v>90.195000000000007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60"/>
        <v>2810</v>
      </c>
      <c r="P2820" s="7">
        <f ca="1">SUMIFS($N$2:$N2820,$B$2:$B2820,"&lt;&gt;"&amp;B2820)+SUM($Q$2:$Q2820)</f>
        <v>90.195000000000007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60"/>
        <v>2811</v>
      </c>
      <c r="P2821" s="7">
        <f ca="1">SUMIFS($N$2:$N2821,$B$2:$B2821,"&lt;&gt;"&amp;B2821)+SUM($Q$2:$Q2821)</f>
        <v>90.195000000000007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60"/>
        <v>2812</v>
      </c>
      <c r="P2822" s="7">
        <f ca="1">SUMIFS($N$2:$N2822,$B$2:$B2822,"&lt;&gt;"&amp;B2822)+SUM($Q$2:$Q2822)</f>
        <v>90.195000000000007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60"/>
        <v>2813</v>
      </c>
      <c r="P2823" s="7">
        <f ca="1">SUMIFS($N$2:$N2823,$B$2:$B2823,"&lt;&gt;"&amp;B2823)+SUM($Q$2:$Q2823)</f>
        <v>90.195000000000007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60"/>
        <v>2814</v>
      </c>
      <c r="P2824" s="7">
        <f ca="1">SUMIFS($N$2:$N2824,$B$2:$B2824,"&lt;&gt;"&amp;B2824)+SUM($Q$2:$Q2824)</f>
        <v>90.195000000000007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60"/>
        <v>2815</v>
      </c>
      <c r="P2825" s="7">
        <f ca="1">SUMIFS($N$2:$N2825,$B$2:$B2825,"&lt;&gt;"&amp;B2825)+SUM($Q$2:$Q2825)</f>
        <v>90.195000000000007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60"/>
        <v>2816</v>
      </c>
      <c r="P2826" s="7">
        <f ca="1">SUMIFS($N$2:$N2826,$B$2:$B2826,"&lt;&gt;"&amp;B2826)+SUM($Q$2:$Q2826)</f>
        <v>90.195000000000007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60"/>
        <v>2817</v>
      </c>
      <c r="P2827" s="7">
        <f ca="1">SUMIFS($N$2:$N2827,$B$2:$B2827,"&lt;&gt;"&amp;B2827)+SUM($Q$2:$Q2827)</f>
        <v>90.195000000000007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60"/>
        <v>2818</v>
      </c>
      <c r="P2828" s="7">
        <f ca="1">SUMIFS($N$2:$N2828,$B$2:$B2828,"&lt;&gt;"&amp;B2828)+SUM($Q$2:$Q2828)</f>
        <v>90.195000000000007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60"/>
        <v>2819</v>
      </c>
      <c r="P2829" s="7">
        <f ca="1">SUMIFS($N$2:$N2829,$B$2:$B2829,"&lt;&gt;"&amp;B2829)+SUM($Q$2:$Q2829)</f>
        <v>90.195000000000007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60"/>
        <v>2820</v>
      </c>
      <c r="P2830" s="7">
        <f ca="1">SUMIFS($N$2:$N2830,$B$2:$B2830,"&lt;&gt;"&amp;B2830)+SUM($Q$2:$Q2830)</f>
        <v>90.195000000000007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60"/>
        <v>2821</v>
      </c>
      <c r="P2831" s="7">
        <f ca="1">SUMIFS($N$2:$N2831,$B$2:$B2831,"&lt;&gt;"&amp;B2831)+SUM($Q$2:$Q2831)</f>
        <v>90.195000000000007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60"/>
        <v>2822</v>
      </c>
      <c r="P2832" s="7">
        <f ca="1">SUMIFS($N$2:$N2832,$B$2:$B2832,"&lt;&gt;"&amp;B2832)+SUM($Q$2:$Q2832)</f>
        <v>90.195000000000007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60"/>
        <v>2823</v>
      </c>
      <c r="P2833" s="7">
        <f ca="1">SUMIFS($N$2:$N2833,$B$2:$B2833,"&lt;&gt;"&amp;B2833)+SUM($Q$2:$Q2833)</f>
        <v>90.195000000000007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60"/>
        <v>2824</v>
      </c>
      <c r="P2834" s="7">
        <f ca="1">SUMIFS($N$2:$N2834,$B$2:$B2834,"&lt;&gt;"&amp;B2834)+SUM($Q$2:$Q2834)</f>
        <v>90.195000000000007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60"/>
        <v>2825</v>
      </c>
      <c r="P2835" s="7">
        <f ca="1">SUMIFS($N$2:$N2835,$B$2:$B2835,"&lt;&gt;"&amp;B2835)+SUM($Q$2:$Q2835)</f>
        <v>90.195000000000007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60"/>
        <v>2826</v>
      </c>
      <c r="P2836" s="7">
        <f ca="1">SUMIFS($N$2:$N2836,$B$2:$B2836,"&lt;&gt;"&amp;B2836)+SUM($Q$2:$Q2836)</f>
        <v>90.195000000000007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60"/>
        <v>2827</v>
      </c>
      <c r="P2837" s="7">
        <f ca="1">SUMIFS($N$2:$N2837,$B$2:$B2837,"&lt;&gt;"&amp;B2837)+SUM($Q$2:$Q2837)</f>
        <v>90.195000000000007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60"/>
        <v>2828</v>
      </c>
      <c r="P2838" s="7">
        <f ca="1">SUMIFS($N$2:$N2838,$B$2:$B2838,"&lt;&gt;"&amp;B2838)+SUM($Q$2:$Q2838)</f>
        <v>90.195000000000007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60"/>
        <v>2829</v>
      </c>
      <c r="P2839" s="7">
        <f ca="1">SUMIFS($N$2:$N2839,$B$2:$B2839,"&lt;&gt;"&amp;B2839)+SUM($Q$2:$Q2839)</f>
        <v>90.195000000000007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60"/>
        <v>2830</v>
      </c>
      <c r="P2840" s="7">
        <f ca="1">SUMIFS($N$2:$N2840,$B$2:$B2840,"&lt;&gt;"&amp;B2840)+SUM($Q$2:$Q2840)</f>
        <v>90.195000000000007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60"/>
        <v>2831</v>
      </c>
      <c r="P2841" s="7">
        <f ca="1">SUMIFS($N$2:$N2841,$B$2:$B2841,"&lt;&gt;"&amp;B2841)+SUM($Q$2:$Q2841)</f>
        <v>90.195000000000007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60"/>
        <v>2832</v>
      </c>
      <c r="P2842" s="7">
        <f ca="1">SUMIFS($N$2:$N2842,$B$2:$B2842,"&lt;&gt;"&amp;B2842)+SUM($Q$2:$Q2842)</f>
        <v>90.195000000000007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60"/>
        <v>2833</v>
      </c>
      <c r="P2843" s="7">
        <f ca="1">SUMIFS($N$2:$N2843,$B$2:$B2843,"&lt;&gt;"&amp;B2843)+SUM($Q$2:$Q2843)</f>
        <v>90.195000000000007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60"/>
        <v>2834</v>
      </c>
      <c r="P2844" s="7">
        <f ca="1">SUMIFS($N$2:$N2844,$B$2:$B2844,"&lt;&gt;"&amp;B2844)+SUM($Q$2:$Q2844)</f>
        <v>90.195000000000007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60"/>
        <v>2835</v>
      </c>
      <c r="P2845" s="7">
        <f ca="1">SUMIFS($N$2:$N2845,$B$2:$B2845,"&lt;&gt;"&amp;B2845)+SUM($Q$2:$Q2845)</f>
        <v>90.195000000000007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60"/>
        <v>2836</v>
      </c>
      <c r="P2846" s="7">
        <f ca="1">SUMIFS($N$2:$N2846,$B$2:$B2846,"&lt;&gt;"&amp;B2846)+SUM($Q$2:$Q2846)</f>
        <v>90.195000000000007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60"/>
        <v>2837</v>
      </c>
      <c r="P2847" s="7">
        <f ca="1">SUMIFS($N$2:$N2847,$B$2:$B2847,"&lt;&gt;"&amp;B2847)+SUM($Q$2:$Q2847)</f>
        <v>90.195000000000007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60"/>
        <v>2838</v>
      </c>
      <c r="P2848" s="7">
        <f ca="1">SUMIFS($N$2:$N2848,$B$2:$B2848,"&lt;&gt;"&amp;B2848)+SUM($Q$2:$Q2848)</f>
        <v>90.195000000000007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60"/>
        <v>2839</v>
      </c>
      <c r="P2849" s="7">
        <f ca="1">SUMIFS($N$2:$N2849,$B$2:$B2849,"&lt;&gt;"&amp;B2849)+SUM($Q$2:$Q2849)</f>
        <v>90.195000000000007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si="60"/>
        <v>2840</v>
      </c>
      <c r="P2850" s="7">
        <f ca="1">SUMIFS($N$2:$N2850,$B$2:$B2850,"&lt;&gt;"&amp;B2850)+SUM($Q$2:$Q2850)</f>
        <v>90.195000000000007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60"/>
        <v>2841</v>
      </c>
      <c r="P2851" s="7">
        <f ca="1">SUMIFS($N$2:$N2851,$B$2:$B2851,"&lt;&gt;"&amp;B2851)+SUM($Q$2:$Q2851)</f>
        <v>90.195000000000007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60"/>
        <v>2842</v>
      </c>
      <c r="P2852" s="7">
        <f ca="1">SUMIFS($N$2:$N2852,$B$2:$B2852,"&lt;&gt;"&amp;B2852)+SUM($Q$2:$Q2852)</f>
        <v>90.195000000000007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60"/>
        <v>2843</v>
      </c>
      <c r="P2853" s="7">
        <f ca="1">SUMIFS($N$2:$N2853,$B$2:$B2853,"&lt;&gt;"&amp;B2853)+SUM($Q$2:$Q2853)</f>
        <v>90.195000000000007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60"/>
        <v>2844</v>
      </c>
      <c r="P2854" s="7">
        <f ca="1">SUMIFS($N$2:$N2854,$B$2:$B2854,"&lt;&gt;"&amp;B2854)+SUM($Q$2:$Q2854)</f>
        <v>90.195000000000007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60"/>
        <v>2845</v>
      </c>
      <c r="P2855" s="7">
        <f ca="1">SUMIFS($N$2:$N2855,$B$2:$B2855,"&lt;&gt;"&amp;B2855)+SUM($Q$2:$Q2855)</f>
        <v>90.195000000000007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60"/>
        <v>2846</v>
      </c>
      <c r="P2856" s="7">
        <f ca="1">SUMIFS($N$2:$N2856,$B$2:$B2856,"&lt;&gt;"&amp;B2856)+SUM($Q$2:$Q2856)</f>
        <v>90.195000000000007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60"/>
        <v>2847</v>
      </c>
      <c r="P2857" s="7">
        <f ca="1">SUMIFS($N$2:$N2857,$B$2:$B2857,"&lt;&gt;"&amp;B2857)+SUM($Q$2:$Q2857)</f>
        <v>90.195000000000007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60"/>
        <v>2848</v>
      </c>
      <c r="P2858" s="7">
        <f ca="1">SUMIFS($N$2:$N2858,$B$2:$B2858,"&lt;&gt;"&amp;B2858)+SUM($Q$2:$Q2858)</f>
        <v>90.195000000000007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60"/>
        <v>2849</v>
      </c>
      <c r="P2859" s="7">
        <f ca="1">SUMIFS($N$2:$N2859,$B$2:$B2859,"&lt;&gt;"&amp;B2859)+SUM($Q$2:$Q2859)</f>
        <v>90.195000000000007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60"/>
        <v>2850</v>
      </c>
      <c r="P2860" s="7">
        <f ca="1">SUMIFS($N$2:$N2860,$B$2:$B2860,"&lt;&gt;"&amp;B2860)+SUM($Q$2:$Q2860)</f>
        <v>90.195000000000007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60"/>
        <v>2851</v>
      </c>
      <c r="P2861" s="7">
        <f ca="1">SUMIFS($N$2:$N2861,$B$2:$B2861,"&lt;&gt;"&amp;B2861)+SUM($Q$2:$Q2861)</f>
        <v>90.195000000000007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60"/>
        <v>2852</v>
      </c>
      <c r="P2862" s="7">
        <f ca="1">SUMIFS($N$2:$N2862,$B$2:$B2862,"&lt;&gt;"&amp;B2862)+SUM($Q$2:$Q2862)</f>
        <v>90.195000000000007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60"/>
        <v>2853</v>
      </c>
      <c r="P2863" s="7">
        <f ca="1">SUMIFS($N$2:$N2863,$B$2:$B2863,"&lt;&gt;"&amp;B2863)+SUM($Q$2:$Q2863)</f>
        <v>90.195000000000007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60"/>
        <v>2854</v>
      </c>
      <c r="P2864" s="7">
        <f ca="1">SUMIFS($N$2:$N2864,$B$2:$B2864,"&lt;&gt;"&amp;B2864)+SUM($Q$2:$Q2864)</f>
        <v>90.195000000000007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60"/>
        <v>2855</v>
      </c>
      <c r="P2865" s="7">
        <f ca="1">SUMIFS($N$2:$N2865,$B$2:$B2865,"&lt;&gt;"&amp;B2865)+SUM($Q$2:$Q2865)</f>
        <v>90.195000000000007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60"/>
        <v>2856</v>
      </c>
      <c r="P2866" s="7">
        <f ca="1">SUMIFS($N$2:$N2866,$B$2:$B2866,"&lt;&gt;"&amp;B2866)+SUM($Q$2:$Q2866)</f>
        <v>90.195000000000007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60"/>
        <v>2857</v>
      </c>
      <c r="P2867" s="7">
        <f ca="1">SUMIFS($N$2:$N2867,$B$2:$B2867,"&lt;&gt;"&amp;B2867)+SUM($Q$2:$Q2867)</f>
        <v>90.195000000000007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60"/>
        <v>2858</v>
      </c>
      <c r="P2868" s="7">
        <f ca="1">SUMIFS($N$2:$N2868,$B$2:$B2868,"&lt;&gt;"&amp;B2868)+SUM($Q$2:$Q2868)</f>
        <v>90.195000000000007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60"/>
        <v>2859</v>
      </c>
      <c r="P2869" s="7">
        <f ca="1">SUMIFS($N$2:$N2869,$B$2:$B2869,"&lt;&gt;"&amp;B2869)+SUM($Q$2:$Q2869)</f>
        <v>90.195000000000007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60"/>
        <v>2860</v>
      </c>
      <c r="P2870" s="7">
        <f ca="1">SUMIFS($N$2:$N2870,$B$2:$B2870,"&lt;&gt;"&amp;B2870)+SUM($Q$2:$Q2870)</f>
        <v>90.195000000000007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60"/>
        <v>2861</v>
      </c>
      <c r="P2871" s="7">
        <f ca="1">SUMIFS($N$2:$N2871,$B$2:$B2871,"&lt;&gt;"&amp;B2871)+SUM($Q$2:$Q2871)</f>
        <v>90.195000000000007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60"/>
        <v>2862</v>
      </c>
      <c r="P2872" s="7">
        <f ca="1">SUMIFS($N$2:$N2872,$B$2:$B2872,"&lt;&gt;"&amp;B2872)+SUM($Q$2:$Q2872)</f>
        <v>90.195000000000007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60"/>
        <v>2863</v>
      </c>
      <c r="P2873" s="7">
        <f ca="1">SUMIFS($N$2:$N2873,$B$2:$B2873,"&lt;&gt;"&amp;B2873)+SUM($Q$2:$Q2873)</f>
        <v>90.195000000000007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60"/>
        <v>2864</v>
      </c>
      <c r="P2874" s="7">
        <f ca="1">SUMIFS($N$2:$N2874,$B$2:$B2874,"&lt;&gt;"&amp;B2874)+SUM($Q$2:$Q2874)</f>
        <v>90.195000000000007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60"/>
        <v>2865</v>
      </c>
      <c r="P2875" s="7">
        <f ca="1">SUMIFS($N$2:$N2875,$B$2:$B2875,"&lt;&gt;"&amp;B2875)+SUM($Q$2:$Q2875)</f>
        <v>90.195000000000007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60"/>
        <v>2866</v>
      </c>
      <c r="P2876" s="7">
        <f ca="1">SUMIFS($N$2:$N2876,$B$2:$B2876,"&lt;&gt;"&amp;B2876)+SUM($Q$2:$Q2876)</f>
        <v>90.195000000000007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60"/>
        <v>2867</v>
      </c>
      <c r="P2877" s="7">
        <f ca="1">SUMIFS($N$2:$N2877,$B$2:$B2877,"&lt;&gt;"&amp;B2877)+SUM($Q$2:$Q2877)</f>
        <v>90.195000000000007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60"/>
        <v>2868</v>
      </c>
      <c r="P2878" s="7">
        <f ca="1">SUMIFS($N$2:$N2878,$B$2:$B2878,"&lt;&gt;"&amp;B2878)+SUM($Q$2:$Q2878)</f>
        <v>90.195000000000007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60"/>
        <v>2869</v>
      </c>
      <c r="P2879" s="7">
        <f ca="1">SUMIFS($N$2:$N2879,$B$2:$B2879,"&lt;&gt;"&amp;B2879)+SUM($Q$2:$Q2879)</f>
        <v>90.195000000000007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60"/>
        <v>2870</v>
      </c>
      <c r="P2880" s="7">
        <f ca="1">SUMIFS($N$2:$N2880,$B$2:$B2880,"&lt;&gt;"&amp;B2880)+SUM($Q$2:$Q2880)</f>
        <v>90.195000000000007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60"/>
        <v>2871</v>
      </c>
      <c r="P2881" s="7">
        <f ca="1">SUMIFS($N$2:$N2881,$B$2:$B2881,"&lt;&gt;"&amp;B2881)+SUM($Q$2:$Q2881)</f>
        <v>90.195000000000007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60"/>
        <v>2872</v>
      </c>
      <c r="P2882" s="7">
        <f ca="1">SUMIFS($N$2:$N2882,$B$2:$B2882,"&lt;&gt;"&amp;B2882)+SUM($Q$2:$Q2882)</f>
        <v>90.195000000000007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ref="A2883:A2946" si="61">IF(AND(B2883="", D2883&lt;&gt;""), A2882, A2882+1)</f>
        <v>2873</v>
      </c>
      <c r="P2883" s="7">
        <f ca="1">SUMIFS($N$2:$N2883,$B$2:$B2883,"&lt;&gt;"&amp;B2883)+SUM($Q$2:$Q2883)</f>
        <v>90.195000000000007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61"/>
        <v>2874</v>
      </c>
      <c r="P2884" s="7">
        <f ca="1">SUMIFS($N$2:$N2884,$B$2:$B2884,"&lt;&gt;"&amp;B2884)+SUM($Q$2:$Q2884)</f>
        <v>90.195000000000007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61"/>
        <v>2875</v>
      </c>
      <c r="P2885" s="7">
        <f ca="1">SUMIFS($N$2:$N2885,$B$2:$B2885,"&lt;&gt;"&amp;B2885)+SUM($Q$2:$Q2885)</f>
        <v>90.195000000000007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61"/>
        <v>2876</v>
      </c>
      <c r="P2886" s="7">
        <f ca="1">SUMIFS($N$2:$N2886,$B$2:$B2886,"&lt;&gt;"&amp;B2886)+SUM($Q$2:$Q2886)</f>
        <v>90.195000000000007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61"/>
        <v>2877</v>
      </c>
      <c r="P2887" s="7">
        <f ca="1">SUMIFS($N$2:$N2887,$B$2:$B2887,"&lt;&gt;"&amp;B2887)+SUM($Q$2:$Q2887)</f>
        <v>90.195000000000007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61"/>
        <v>2878</v>
      </c>
      <c r="P2888" s="7">
        <f ca="1">SUMIFS($N$2:$N2888,$B$2:$B2888,"&lt;&gt;"&amp;B2888)+SUM($Q$2:$Q2888)</f>
        <v>90.195000000000007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61"/>
        <v>2879</v>
      </c>
      <c r="P2889" s="7">
        <f ca="1">SUMIFS($N$2:$N2889,$B$2:$B2889,"&lt;&gt;"&amp;B2889)+SUM($Q$2:$Q2889)</f>
        <v>90.195000000000007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61"/>
        <v>2880</v>
      </c>
      <c r="P2890" s="7">
        <f ca="1">SUMIFS($N$2:$N2890,$B$2:$B2890,"&lt;&gt;"&amp;B2890)+SUM($Q$2:$Q2890)</f>
        <v>90.195000000000007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61"/>
        <v>2881</v>
      </c>
      <c r="P2891" s="7">
        <f ca="1">SUMIFS($N$2:$N2891,$B$2:$B2891,"&lt;&gt;"&amp;B2891)+SUM($Q$2:$Q2891)</f>
        <v>90.195000000000007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61"/>
        <v>2882</v>
      </c>
      <c r="P2892" s="7">
        <f ca="1">SUMIFS($N$2:$N2892,$B$2:$B2892,"&lt;&gt;"&amp;B2892)+SUM($Q$2:$Q2892)</f>
        <v>90.195000000000007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61"/>
        <v>2883</v>
      </c>
      <c r="P2893" s="7">
        <f ca="1">SUMIFS($N$2:$N2893,$B$2:$B2893,"&lt;&gt;"&amp;B2893)+SUM($Q$2:$Q2893)</f>
        <v>90.195000000000007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61"/>
        <v>2884</v>
      </c>
      <c r="P2894" s="7">
        <f ca="1">SUMIFS($N$2:$N2894,$B$2:$B2894,"&lt;&gt;"&amp;B2894)+SUM($Q$2:$Q2894)</f>
        <v>90.195000000000007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61"/>
        <v>2885</v>
      </c>
      <c r="P2895" s="7">
        <f ca="1">SUMIFS($N$2:$N2895,$B$2:$B2895,"&lt;&gt;"&amp;B2895)+SUM($Q$2:$Q2895)</f>
        <v>90.195000000000007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61"/>
        <v>2886</v>
      </c>
      <c r="P2896" s="7">
        <f ca="1">SUMIFS($N$2:$N2896,$B$2:$B2896,"&lt;&gt;"&amp;B2896)+SUM($Q$2:$Q2896)</f>
        <v>90.195000000000007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61"/>
        <v>2887</v>
      </c>
      <c r="P2897" s="7">
        <f ca="1">SUMIFS($N$2:$N2897,$B$2:$B2897,"&lt;&gt;"&amp;B2897)+SUM($Q$2:$Q2897)</f>
        <v>90.195000000000007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61"/>
        <v>2888</v>
      </c>
      <c r="P2898" s="7">
        <f ca="1">SUMIFS($N$2:$N2898,$B$2:$B2898,"&lt;&gt;"&amp;B2898)+SUM($Q$2:$Q2898)</f>
        <v>90.195000000000007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61"/>
        <v>2889</v>
      </c>
      <c r="P2899" s="7">
        <f ca="1">SUMIFS($N$2:$N2899,$B$2:$B2899,"&lt;&gt;"&amp;B2899)+SUM($Q$2:$Q2899)</f>
        <v>90.195000000000007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61"/>
        <v>2890</v>
      </c>
      <c r="P2900" s="7">
        <f ca="1">SUMIFS($N$2:$N2900,$B$2:$B2900,"&lt;&gt;"&amp;B2900)+SUM($Q$2:$Q2900)</f>
        <v>90.195000000000007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61"/>
        <v>2891</v>
      </c>
      <c r="P2901" s="7">
        <f ca="1">SUMIFS($N$2:$N2901,$B$2:$B2901,"&lt;&gt;"&amp;B2901)+SUM($Q$2:$Q2901)</f>
        <v>90.195000000000007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61"/>
        <v>2892</v>
      </c>
      <c r="P2902" s="7">
        <f ca="1">SUMIFS($N$2:$N2902,$B$2:$B2902,"&lt;&gt;"&amp;B2902)+SUM($Q$2:$Q2902)</f>
        <v>90.195000000000007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61"/>
        <v>2893</v>
      </c>
      <c r="P2903" s="7">
        <f ca="1">SUMIFS($N$2:$N2903,$B$2:$B2903,"&lt;&gt;"&amp;B2903)+SUM($Q$2:$Q2903)</f>
        <v>90.195000000000007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61"/>
        <v>2894</v>
      </c>
      <c r="P2904" s="7">
        <f ca="1">SUMIFS($N$2:$N2904,$B$2:$B2904,"&lt;&gt;"&amp;B2904)+SUM($Q$2:$Q2904)</f>
        <v>90.195000000000007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61"/>
        <v>2895</v>
      </c>
      <c r="P2905" s="7">
        <f ca="1">SUMIFS($N$2:$N2905,$B$2:$B2905,"&lt;&gt;"&amp;B2905)+SUM($Q$2:$Q2905)</f>
        <v>90.195000000000007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61"/>
        <v>2896</v>
      </c>
      <c r="P2906" s="7">
        <f ca="1">SUMIFS($N$2:$N2906,$B$2:$B2906,"&lt;&gt;"&amp;B2906)+SUM($Q$2:$Q2906)</f>
        <v>90.195000000000007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61"/>
        <v>2897</v>
      </c>
      <c r="P2907" s="7">
        <f ca="1">SUMIFS($N$2:$N2907,$B$2:$B2907,"&lt;&gt;"&amp;B2907)+SUM($Q$2:$Q2907)</f>
        <v>90.195000000000007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61"/>
        <v>2898</v>
      </c>
      <c r="P2908" s="7">
        <f ca="1">SUMIFS($N$2:$N2908,$B$2:$B2908,"&lt;&gt;"&amp;B2908)+SUM($Q$2:$Q2908)</f>
        <v>90.195000000000007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61"/>
        <v>2899</v>
      </c>
      <c r="P2909" s="7">
        <f ca="1">SUMIFS($N$2:$N2909,$B$2:$B2909,"&lt;&gt;"&amp;B2909)+SUM($Q$2:$Q2909)</f>
        <v>90.195000000000007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61"/>
        <v>2900</v>
      </c>
      <c r="P2910" s="7">
        <f ca="1">SUMIFS($N$2:$N2910,$B$2:$B2910,"&lt;&gt;"&amp;B2910)+SUM($Q$2:$Q2910)</f>
        <v>90.195000000000007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61"/>
        <v>2901</v>
      </c>
      <c r="P2911" s="7">
        <f ca="1">SUMIFS($N$2:$N2911,$B$2:$B2911,"&lt;&gt;"&amp;B2911)+SUM($Q$2:$Q2911)</f>
        <v>90.195000000000007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61"/>
        <v>2902</v>
      </c>
      <c r="P2912" s="7">
        <f ca="1">SUMIFS($N$2:$N2912,$B$2:$B2912,"&lt;&gt;"&amp;B2912)+SUM($Q$2:$Q2912)</f>
        <v>90.195000000000007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61"/>
        <v>2903</v>
      </c>
      <c r="P2913" s="7">
        <f ca="1">SUMIFS($N$2:$N2913,$B$2:$B2913,"&lt;&gt;"&amp;B2913)+SUM($Q$2:$Q2913)</f>
        <v>90.195000000000007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si="61"/>
        <v>2904</v>
      </c>
      <c r="P2914" s="7">
        <f ca="1">SUMIFS($N$2:$N2914,$B$2:$B2914,"&lt;&gt;"&amp;B2914)+SUM($Q$2:$Q2914)</f>
        <v>90.195000000000007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61"/>
        <v>2905</v>
      </c>
      <c r="P2915" s="7">
        <f ca="1">SUMIFS($N$2:$N2915,$B$2:$B2915,"&lt;&gt;"&amp;B2915)+SUM($Q$2:$Q2915)</f>
        <v>90.195000000000007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61"/>
        <v>2906</v>
      </c>
      <c r="P2916" s="7">
        <f ca="1">SUMIFS($N$2:$N2916,$B$2:$B2916,"&lt;&gt;"&amp;B2916)+SUM($Q$2:$Q2916)</f>
        <v>90.195000000000007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61"/>
        <v>2907</v>
      </c>
      <c r="P2917" s="7">
        <f ca="1">SUMIFS($N$2:$N2917,$B$2:$B2917,"&lt;&gt;"&amp;B2917)+SUM($Q$2:$Q2917)</f>
        <v>90.195000000000007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61"/>
        <v>2908</v>
      </c>
      <c r="P2918" s="7">
        <f ca="1">SUMIFS($N$2:$N2918,$B$2:$B2918,"&lt;&gt;"&amp;B2918)+SUM($Q$2:$Q2918)</f>
        <v>90.195000000000007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61"/>
        <v>2909</v>
      </c>
      <c r="P2919" s="7">
        <f ca="1">SUMIFS($N$2:$N2919,$B$2:$B2919,"&lt;&gt;"&amp;B2919)+SUM($Q$2:$Q2919)</f>
        <v>90.195000000000007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61"/>
        <v>2910</v>
      </c>
      <c r="P2920" s="7">
        <f ca="1">SUMIFS($N$2:$N2920,$B$2:$B2920,"&lt;&gt;"&amp;B2920)+SUM($Q$2:$Q2920)</f>
        <v>90.195000000000007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61"/>
        <v>2911</v>
      </c>
      <c r="P2921" s="7">
        <f ca="1">SUMIFS($N$2:$N2921,$B$2:$B2921,"&lt;&gt;"&amp;B2921)+SUM($Q$2:$Q2921)</f>
        <v>90.195000000000007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61"/>
        <v>2912</v>
      </c>
      <c r="P2922" s="7">
        <f ca="1">SUMIFS($N$2:$N2922,$B$2:$B2922,"&lt;&gt;"&amp;B2922)+SUM($Q$2:$Q2922)</f>
        <v>90.195000000000007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61"/>
        <v>2913</v>
      </c>
      <c r="P2923" s="7">
        <f ca="1">SUMIFS($N$2:$N2923,$B$2:$B2923,"&lt;&gt;"&amp;B2923)+SUM($Q$2:$Q2923)</f>
        <v>90.195000000000007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61"/>
        <v>2914</v>
      </c>
      <c r="P2924" s="7">
        <f ca="1">SUMIFS($N$2:$N2924,$B$2:$B2924,"&lt;&gt;"&amp;B2924)+SUM($Q$2:$Q2924)</f>
        <v>90.195000000000007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61"/>
        <v>2915</v>
      </c>
      <c r="P2925" s="7">
        <f ca="1">SUMIFS($N$2:$N2925,$B$2:$B2925,"&lt;&gt;"&amp;B2925)+SUM($Q$2:$Q2925)</f>
        <v>90.195000000000007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61"/>
        <v>2916</v>
      </c>
      <c r="P2926" s="7">
        <f ca="1">SUMIFS($N$2:$N2926,$B$2:$B2926,"&lt;&gt;"&amp;B2926)+SUM($Q$2:$Q2926)</f>
        <v>90.195000000000007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61"/>
        <v>2917</v>
      </c>
      <c r="P2927" s="7">
        <f ca="1">SUMIFS($N$2:$N2927,$B$2:$B2927,"&lt;&gt;"&amp;B2927)+SUM($Q$2:$Q2927)</f>
        <v>90.195000000000007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61"/>
        <v>2918</v>
      </c>
      <c r="P2928" s="7">
        <f ca="1">SUMIFS($N$2:$N2928,$B$2:$B2928,"&lt;&gt;"&amp;B2928)+SUM($Q$2:$Q2928)</f>
        <v>90.195000000000007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61"/>
        <v>2919</v>
      </c>
      <c r="P2929" s="7">
        <f ca="1">SUMIFS($N$2:$N2929,$B$2:$B2929,"&lt;&gt;"&amp;B2929)+SUM($Q$2:$Q2929)</f>
        <v>90.195000000000007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61"/>
        <v>2920</v>
      </c>
      <c r="P2930" s="7">
        <f ca="1">SUMIFS($N$2:$N2930,$B$2:$B2930,"&lt;&gt;"&amp;B2930)+SUM($Q$2:$Q2930)</f>
        <v>90.195000000000007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61"/>
        <v>2921</v>
      </c>
      <c r="P2931" s="7">
        <f ca="1">SUMIFS($N$2:$N2931,$B$2:$B2931,"&lt;&gt;"&amp;B2931)+SUM($Q$2:$Q2931)</f>
        <v>90.195000000000007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61"/>
        <v>2922</v>
      </c>
      <c r="P2932" s="7">
        <f ca="1">SUMIFS($N$2:$N2932,$B$2:$B2932,"&lt;&gt;"&amp;B2932)+SUM($Q$2:$Q2932)</f>
        <v>90.195000000000007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61"/>
        <v>2923</v>
      </c>
      <c r="P2933" s="7">
        <f ca="1">SUMIFS($N$2:$N2933,$B$2:$B2933,"&lt;&gt;"&amp;B2933)+SUM($Q$2:$Q2933)</f>
        <v>90.195000000000007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61"/>
        <v>2924</v>
      </c>
      <c r="P2934" s="7">
        <f ca="1">SUMIFS($N$2:$N2934,$B$2:$B2934,"&lt;&gt;"&amp;B2934)+SUM($Q$2:$Q2934)</f>
        <v>90.195000000000007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61"/>
        <v>2925</v>
      </c>
      <c r="P2935" s="7">
        <f ca="1">SUMIFS($N$2:$N2935,$B$2:$B2935,"&lt;&gt;"&amp;B2935)+SUM($Q$2:$Q2935)</f>
        <v>90.195000000000007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61"/>
        <v>2926</v>
      </c>
      <c r="P2936" s="7">
        <f ca="1">SUMIFS($N$2:$N2936,$B$2:$B2936,"&lt;&gt;"&amp;B2936)+SUM($Q$2:$Q2936)</f>
        <v>90.195000000000007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61"/>
        <v>2927</v>
      </c>
      <c r="P2937" s="7">
        <f ca="1">SUMIFS($N$2:$N2937,$B$2:$B2937,"&lt;&gt;"&amp;B2937)+SUM($Q$2:$Q2937)</f>
        <v>90.195000000000007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61"/>
        <v>2928</v>
      </c>
      <c r="P2938" s="7">
        <f ca="1">SUMIFS($N$2:$N2938,$B$2:$B2938,"&lt;&gt;"&amp;B2938)+SUM($Q$2:$Q2938)</f>
        <v>90.195000000000007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61"/>
        <v>2929</v>
      </c>
      <c r="P2939" s="7">
        <f ca="1">SUMIFS($N$2:$N2939,$B$2:$B2939,"&lt;&gt;"&amp;B2939)+SUM($Q$2:$Q2939)</f>
        <v>90.195000000000007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61"/>
        <v>2930</v>
      </c>
      <c r="P2940" s="7">
        <f ca="1">SUMIFS($N$2:$N2940,$B$2:$B2940,"&lt;&gt;"&amp;B2940)+SUM($Q$2:$Q2940)</f>
        <v>90.195000000000007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61"/>
        <v>2931</v>
      </c>
      <c r="P2941" s="7">
        <f ca="1">SUMIFS($N$2:$N2941,$B$2:$B2941,"&lt;&gt;"&amp;B2941)+SUM($Q$2:$Q2941)</f>
        <v>90.195000000000007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61"/>
        <v>2932</v>
      </c>
      <c r="P2942" s="7">
        <f ca="1">SUMIFS($N$2:$N2942,$B$2:$B2942,"&lt;&gt;"&amp;B2942)+SUM($Q$2:$Q2942)</f>
        <v>90.195000000000007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61"/>
        <v>2933</v>
      </c>
      <c r="P2943" s="7">
        <f ca="1">SUMIFS($N$2:$N2943,$B$2:$B2943,"&lt;&gt;"&amp;B2943)+SUM($Q$2:$Q2943)</f>
        <v>90.195000000000007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61"/>
        <v>2934</v>
      </c>
      <c r="P2944" s="7">
        <f ca="1">SUMIFS($N$2:$N2944,$B$2:$B2944,"&lt;&gt;"&amp;B2944)+SUM($Q$2:$Q2944)</f>
        <v>90.195000000000007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61"/>
        <v>2935</v>
      </c>
      <c r="P2945" s="7">
        <f ca="1">SUMIFS($N$2:$N2945,$B$2:$B2945,"&lt;&gt;"&amp;B2945)+SUM($Q$2:$Q2945)</f>
        <v>90.195000000000007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61"/>
        <v>2936</v>
      </c>
      <c r="P2946" s="7">
        <f ca="1">SUMIFS($N$2:$N2946,$B$2:$B2946,"&lt;&gt;"&amp;B2946)+SUM($Q$2:$Q2946)</f>
        <v>90.195000000000007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ref="A2947:A3010" si="62">IF(AND(B2947="", D2947&lt;&gt;""), A2946, A2946+1)</f>
        <v>2937</v>
      </c>
      <c r="P2947" s="7">
        <f ca="1">SUMIFS($N$2:$N2947,$B$2:$B2947,"&lt;&gt;"&amp;B2947)+SUM($Q$2:$Q2947)</f>
        <v>90.195000000000007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62"/>
        <v>2938</v>
      </c>
      <c r="P2948" s="7">
        <f ca="1">SUMIFS($N$2:$N2948,$B$2:$B2948,"&lt;&gt;"&amp;B2948)+SUM($Q$2:$Q2948)</f>
        <v>90.195000000000007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62"/>
        <v>2939</v>
      </c>
      <c r="P2949" s="7">
        <f ca="1">SUMIFS($N$2:$N2949,$B$2:$B2949,"&lt;&gt;"&amp;B2949)+SUM($Q$2:$Q2949)</f>
        <v>90.195000000000007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62"/>
        <v>2940</v>
      </c>
      <c r="P2950" s="7">
        <f ca="1">SUMIFS($N$2:$N2950,$B$2:$B2950,"&lt;&gt;"&amp;B2950)+SUM($Q$2:$Q2950)</f>
        <v>90.195000000000007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62"/>
        <v>2941</v>
      </c>
      <c r="P2951" s="7">
        <f ca="1">SUMIFS($N$2:$N2951,$B$2:$B2951,"&lt;&gt;"&amp;B2951)+SUM($Q$2:$Q2951)</f>
        <v>90.195000000000007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62"/>
        <v>2942</v>
      </c>
      <c r="P2952" s="7">
        <f ca="1">SUMIFS($N$2:$N2952,$B$2:$B2952,"&lt;&gt;"&amp;B2952)+SUM($Q$2:$Q2952)</f>
        <v>90.195000000000007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62"/>
        <v>2943</v>
      </c>
      <c r="P2953" s="7">
        <f ca="1">SUMIFS($N$2:$N2953,$B$2:$B2953,"&lt;&gt;"&amp;B2953)+SUM($Q$2:$Q2953)</f>
        <v>90.195000000000007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62"/>
        <v>2944</v>
      </c>
      <c r="P2954" s="7">
        <f ca="1">SUMIFS($N$2:$N2954,$B$2:$B2954,"&lt;&gt;"&amp;B2954)+SUM($Q$2:$Q2954)</f>
        <v>90.195000000000007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62"/>
        <v>2945</v>
      </c>
      <c r="P2955" s="7">
        <f ca="1">SUMIFS($N$2:$N2955,$B$2:$B2955,"&lt;&gt;"&amp;B2955)+SUM($Q$2:$Q2955)</f>
        <v>90.195000000000007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62"/>
        <v>2946</v>
      </c>
      <c r="P2956" s="7">
        <f ca="1">SUMIFS($N$2:$N2956,$B$2:$B2956,"&lt;&gt;"&amp;B2956)+SUM($Q$2:$Q2956)</f>
        <v>90.195000000000007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62"/>
        <v>2947</v>
      </c>
      <c r="P2957" s="7">
        <f ca="1">SUMIFS($N$2:$N2957,$B$2:$B2957,"&lt;&gt;"&amp;B2957)+SUM($Q$2:$Q2957)</f>
        <v>90.195000000000007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62"/>
        <v>2948</v>
      </c>
      <c r="P2958" s="7">
        <f ca="1">SUMIFS($N$2:$N2958,$B$2:$B2958,"&lt;&gt;"&amp;B2958)+SUM($Q$2:$Q2958)</f>
        <v>90.195000000000007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62"/>
        <v>2949</v>
      </c>
      <c r="P2959" s="7">
        <f ca="1">SUMIFS($N$2:$N2959,$B$2:$B2959,"&lt;&gt;"&amp;B2959)+SUM($Q$2:$Q2959)</f>
        <v>90.195000000000007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62"/>
        <v>2950</v>
      </c>
      <c r="P2960" s="7">
        <f ca="1">SUMIFS($N$2:$N2960,$B$2:$B2960,"&lt;&gt;"&amp;B2960)+SUM($Q$2:$Q2960)</f>
        <v>90.195000000000007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62"/>
        <v>2951</v>
      </c>
      <c r="P2961" s="7">
        <f ca="1">SUMIFS($N$2:$N2961,$B$2:$B2961,"&lt;&gt;"&amp;B2961)+SUM($Q$2:$Q2961)</f>
        <v>90.195000000000007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62"/>
        <v>2952</v>
      </c>
      <c r="P2962" s="7">
        <f ca="1">SUMIFS($N$2:$N2962,$B$2:$B2962,"&lt;&gt;"&amp;B2962)+SUM($Q$2:$Q2962)</f>
        <v>90.195000000000007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62"/>
        <v>2953</v>
      </c>
      <c r="P2963" s="7">
        <f ca="1">SUMIFS($N$2:$N2963,$B$2:$B2963,"&lt;&gt;"&amp;B2963)+SUM($Q$2:$Q2963)</f>
        <v>90.195000000000007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62"/>
        <v>2954</v>
      </c>
      <c r="P2964" s="7">
        <f ca="1">SUMIFS($N$2:$N2964,$B$2:$B2964,"&lt;&gt;"&amp;B2964)+SUM($Q$2:$Q2964)</f>
        <v>90.195000000000007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62"/>
        <v>2955</v>
      </c>
      <c r="P2965" s="7">
        <f ca="1">SUMIFS($N$2:$N2965,$B$2:$B2965,"&lt;&gt;"&amp;B2965)+SUM($Q$2:$Q2965)</f>
        <v>90.195000000000007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62"/>
        <v>2956</v>
      </c>
      <c r="P2966" s="7">
        <f ca="1">SUMIFS($N$2:$N2966,$B$2:$B2966,"&lt;&gt;"&amp;B2966)+SUM($Q$2:$Q2966)</f>
        <v>90.195000000000007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62"/>
        <v>2957</v>
      </c>
      <c r="P2967" s="7">
        <f ca="1">SUMIFS($N$2:$N2967,$B$2:$B2967,"&lt;&gt;"&amp;B2967)+SUM($Q$2:$Q2967)</f>
        <v>90.195000000000007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62"/>
        <v>2958</v>
      </c>
      <c r="P2968" s="7">
        <f ca="1">SUMIFS($N$2:$N2968,$B$2:$B2968,"&lt;&gt;"&amp;B2968)+SUM($Q$2:$Q2968)</f>
        <v>90.195000000000007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62"/>
        <v>2959</v>
      </c>
      <c r="P2969" s="7">
        <f ca="1">SUMIFS($N$2:$N2969,$B$2:$B2969,"&lt;&gt;"&amp;B2969)+SUM($Q$2:$Q2969)</f>
        <v>90.195000000000007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62"/>
        <v>2960</v>
      </c>
      <c r="P2970" s="7">
        <f ca="1">SUMIFS($N$2:$N2970,$B$2:$B2970,"&lt;&gt;"&amp;B2970)+SUM($Q$2:$Q2970)</f>
        <v>90.195000000000007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62"/>
        <v>2961</v>
      </c>
      <c r="P2971" s="7">
        <f ca="1">SUMIFS($N$2:$N2971,$B$2:$B2971,"&lt;&gt;"&amp;B2971)+SUM($Q$2:$Q2971)</f>
        <v>90.195000000000007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62"/>
        <v>2962</v>
      </c>
      <c r="P2972" s="7">
        <f ca="1">SUMIFS($N$2:$N2972,$B$2:$B2972,"&lt;&gt;"&amp;B2972)+SUM($Q$2:$Q2972)</f>
        <v>90.195000000000007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62"/>
        <v>2963</v>
      </c>
      <c r="P2973" s="7">
        <f ca="1">SUMIFS($N$2:$N2973,$B$2:$B2973,"&lt;&gt;"&amp;B2973)+SUM($Q$2:$Q2973)</f>
        <v>90.195000000000007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62"/>
        <v>2964</v>
      </c>
      <c r="P2974" s="7">
        <f ca="1">SUMIFS($N$2:$N2974,$B$2:$B2974,"&lt;&gt;"&amp;B2974)+SUM($Q$2:$Q2974)</f>
        <v>90.195000000000007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62"/>
        <v>2965</v>
      </c>
      <c r="P2975" s="7">
        <f ca="1">SUMIFS($N$2:$N2975,$B$2:$B2975,"&lt;&gt;"&amp;B2975)+SUM($Q$2:$Q2975)</f>
        <v>90.195000000000007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62"/>
        <v>2966</v>
      </c>
      <c r="P2976" s="7">
        <f ca="1">SUMIFS($N$2:$N2976,$B$2:$B2976,"&lt;&gt;"&amp;B2976)+SUM($Q$2:$Q2976)</f>
        <v>90.195000000000007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62"/>
        <v>2967</v>
      </c>
      <c r="P2977" s="7">
        <f ca="1">SUMIFS($N$2:$N2977,$B$2:$B2977,"&lt;&gt;"&amp;B2977)+SUM($Q$2:$Q2977)</f>
        <v>90.195000000000007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si="62"/>
        <v>2968</v>
      </c>
      <c r="P2978" s="7">
        <f ca="1">SUMIFS($N$2:$N2978,$B$2:$B2978,"&lt;&gt;"&amp;B2978)+SUM($Q$2:$Q2978)</f>
        <v>90.195000000000007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62"/>
        <v>2969</v>
      </c>
      <c r="P2979" s="7">
        <f ca="1">SUMIFS($N$2:$N2979,$B$2:$B2979,"&lt;&gt;"&amp;B2979)+SUM($Q$2:$Q2979)</f>
        <v>90.195000000000007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62"/>
        <v>2970</v>
      </c>
      <c r="P2980" s="7">
        <f ca="1">SUMIFS($N$2:$N2980,$B$2:$B2980,"&lt;&gt;"&amp;B2980)+SUM($Q$2:$Q2980)</f>
        <v>90.195000000000007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62"/>
        <v>2971</v>
      </c>
      <c r="P2981" s="7">
        <f ca="1">SUMIFS($N$2:$N2981,$B$2:$B2981,"&lt;&gt;"&amp;B2981)+SUM($Q$2:$Q2981)</f>
        <v>90.195000000000007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62"/>
        <v>2972</v>
      </c>
      <c r="P2982" s="7">
        <f ca="1">SUMIFS($N$2:$N2982,$B$2:$B2982,"&lt;&gt;"&amp;B2982)+SUM($Q$2:$Q2982)</f>
        <v>90.195000000000007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62"/>
        <v>2973</v>
      </c>
      <c r="P2983" s="7">
        <f ca="1">SUMIFS($N$2:$N2983,$B$2:$B2983,"&lt;&gt;"&amp;B2983)+SUM($Q$2:$Q2983)</f>
        <v>90.195000000000007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62"/>
        <v>2974</v>
      </c>
      <c r="P2984" s="7">
        <f ca="1">SUMIFS($N$2:$N2984,$B$2:$B2984,"&lt;&gt;"&amp;B2984)+SUM($Q$2:$Q2984)</f>
        <v>90.195000000000007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62"/>
        <v>2975</v>
      </c>
      <c r="P2985" s="7">
        <f ca="1">SUMIFS($N$2:$N2985,$B$2:$B2985,"&lt;&gt;"&amp;B2985)+SUM($Q$2:$Q2985)</f>
        <v>90.195000000000007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62"/>
        <v>2976</v>
      </c>
      <c r="P2986" s="7">
        <f ca="1">SUMIFS($N$2:$N2986,$B$2:$B2986,"&lt;&gt;"&amp;B2986)+SUM($Q$2:$Q2986)</f>
        <v>90.195000000000007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62"/>
        <v>2977</v>
      </c>
      <c r="P2987" s="7">
        <f ca="1">SUMIFS($N$2:$N2987,$B$2:$B2987,"&lt;&gt;"&amp;B2987)+SUM($Q$2:$Q2987)</f>
        <v>90.195000000000007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62"/>
        <v>2978</v>
      </c>
      <c r="P2988" s="7">
        <f ca="1">SUMIFS($N$2:$N2988,$B$2:$B2988,"&lt;&gt;"&amp;B2988)+SUM($Q$2:$Q2988)</f>
        <v>90.195000000000007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62"/>
        <v>2979</v>
      </c>
      <c r="P2989" s="7">
        <f ca="1">SUMIFS($N$2:$N2989,$B$2:$B2989,"&lt;&gt;"&amp;B2989)+SUM($Q$2:$Q2989)</f>
        <v>90.195000000000007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62"/>
        <v>2980</v>
      </c>
      <c r="P2990" s="7">
        <f ca="1">SUMIFS($N$2:$N2990,$B$2:$B2990,"&lt;&gt;"&amp;B2990)+SUM($Q$2:$Q2990)</f>
        <v>90.195000000000007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62"/>
        <v>2981</v>
      </c>
      <c r="P2991" s="7">
        <f ca="1">SUMIFS($N$2:$N2991,$B$2:$B2991,"&lt;&gt;"&amp;B2991)+SUM($Q$2:$Q2991)</f>
        <v>90.195000000000007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62"/>
        <v>2982</v>
      </c>
      <c r="P2992" s="7">
        <f ca="1">SUMIFS($N$2:$N2992,$B$2:$B2992,"&lt;&gt;"&amp;B2992)+SUM($Q$2:$Q2992)</f>
        <v>90.195000000000007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62"/>
        <v>2983</v>
      </c>
      <c r="P2993" s="7">
        <f ca="1">SUMIFS($N$2:$N2993,$B$2:$B2993,"&lt;&gt;"&amp;B2993)+SUM($Q$2:$Q2993)</f>
        <v>90.195000000000007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62"/>
        <v>2984</v>
      </c>
      <c r="P2994" s="7">
        <f ca="1">SUMIFS($N$2:$N2994,$B$2:$B2994,"&lt;&gt;"&amp;B2994)+SUM($Q$2:$Q2994)</f>
        <v>90.195000000000007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62"/>
        <v>2985</v>
      </c>
      <c r="P2995" s="7">
        <f ca="1">SUMIFS($N$2:$N2995,$B$2:$B2995,"&lt;&gt;"&amp;B2995)+SUM($Q$2:$Q2995)</f>
        <v>90.195000000000007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62"/>
        <v>2986</v>
      </c>
      <c r="P2996" s="7">
        <f ca="1">SUMIFS($N$2:$N2996,$B$2:$B2996,"&lt;&gt;"&amp;B2996)+SUM($Q$2:$Q2996)</f>
        <v>90.195000000000007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62"/>
        <v>2987</v>
      </c>
      <c r="P2997" s="7">
        <f ca="1">SUMIFS($N$2:$N2997,$B$2:$B2997,"&lt;&gt;"&amp;B2997)+SUM($Q$2:$Q2997)</f>
        <v>90.195000000000007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62"/>
        <v>2988</v>
      </c>
      <c r="P2998" s="7">
        <f ca="1">SUMIFS($N$2:$N2998,$B$2:$B2998,"&lt;&gt;"&amp;B2998)+SUM($Q$2:$Q2998)</f>
        <v>90.195000000000007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62"/>
        <v>2989</v>
      </c>
      <c r="P2999" s="7">
        <f ca="1">SUMIFS($N$2:$N2999,$B$2:$B2999,"&lt;&gt;"&amp;B2999)+SUM($Q$2:$Q2999)</f>
        <v>90.195000000000007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62"/>
        <v>2990</v>
      </c>
      <c r="P3000" s="7">
        <f ca="1">SUMIFS($N$2:$N3000,$B$2:$B3000,"&lt;&gt;"&amp;B3000)+SUM($Q$2:$Q3000)</f>
        <v>90.195000000000007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62"/>
        <v>2991</v>
      </c>
      <c r="P3001" s="7">
        <f ca="1">SUMIFS($N$2:$N3001,$B$2:$B3001,"&lt;&gt;"&amp;B3001)+SUM($Q$2:$Q3001)</f>
        <v>90.195000000000007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62"/>
        <v>2992</v>
      </c>
      <c r="P3002" s="7">
        <f ca="1">SUMIFS($N$2:$N3002,$B$2:$B3002,"&lt;&gt;"&amp;B3002)+SUM($Q$2:$Q3002)</f>
        <v>90.195000000000007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62"/>
        <v>2993</v>
      </c>
      <c r="P3003" s="7">
        <f ca="1">SUMIFS($N$2:$N3003,$B$2:$B3003,"&lt;&gt;"&amp;B3003)+SUM($Q$2:$Q3003)</f>
        <v>90.195000000000007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62"/>
        <v>2994</v>
      </c>
      <c r="P3004" s="7">
        <f ca="1">SUMIFS($N$2:$N3004,$B$2:$B3004,"&lt;&gt;"&amp;B3004)+SUM($Q$2:$Q3004)</f>
        <v>90.195000000000007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62"/>
        <v>2995</v>
      </c>
      <c r="P3005" s="7">
        <f ca="1">SUMIFS($N$2:$N3005,$B$2:$B3005,"&lt;&gt;"&amp;B3005)+SUM($Q$2:$Q3005)</f>
        <v>90.195000000000007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62"/>
        <v>2996</v>
      </c>
      <c r="P3006" s="7">
        <f ca="1">SUMIFS($N$2:$N3006,$B$2:$B3006,"&lt;&gt;"&amp;B3006)+SUM($Q$2:$Q3006)</f>
        <v>90.195000000000007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62"/>
        <v>2997</v>
      </c>
      <c r="P3007" s="7">
        <f ca="1">SUMIFS($N$2:$N3007,$B$2:$B3007,"&lt;&gt;"&amp;B3007)+SUM($Q$2:$Q3007)</f>
        <v>90.195000000000007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62"/>
        <v>2998</v>
      </c>
      <c r="P3008" s="7">
        <f ca="1">SUMIFS($N$2:$N3008,$B$2:$B3008,"&lt;&gt;"&amp;B3008)+SUM($Q$2:$Q3008)</f>
        <v>90.195000000000007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62"/>
        <v>2999</v>
      </c>
      <c r="P3009" s="7">
        <f ca="1">SUMIFS($N$2:$N3009,$B$2:$B3009,"&lt;&gt;"&amp;B3009)+SUM($Q$2:$Q3009)</f>
        <v>90.195000000000007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62"/>
        <v>3000</v>
      </c>
      <c r="P3010" s="7">
        <f ca="1">SUMIFS($N$2:$N3010,$B$2:$B3010,"&lt;&gt;"&amp;B3010)+SUM($Q$2:$Q3010)</f>
        <v>90.195000000000007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ref="A3011:A3074" si="63">IF(AND(B3011="", D3011&lt;&gt;""), A3010, A3010+1)</f>
        <v>3001</v>
      </c>
      <c r="P3011" s="7">
        <f ca="1">SUMIFS($N$2:$N3011,$B$2:$B3011,"&lt;&gt;"&amp;B3011)+SUM($Q$2:$Q3011)</f>
        <v>90.195000000000007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63"/>
        <v>3002</v>
      </c>
      <c r="P3012" s="7">
        <f ca="1">SUMIFS($N$2:$N3012,$B$2:$B3012,"&lt;&gt;"&amp;B3012)+SUM($Q$2:$Q3012)</f>
        <v>90.195000000000007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63"/>
        <v>3003</v>
      </c>
      <c r="P3013" s="7">
        <f ca="1">SUMIFS($N$2:$N3013,$B$2:$B3013,"&lt;&gt;"&amp;B3013)+SUM($Q$2:$Q3013)</f>
        <v>90.195000000000007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63"/>
        <v>3004</v>
      </c>
      <c r="P3014" s="7">
        <f ca="1">SUMIFS($N$2:$N3014,$B$2:$B3014,"&lt;&gt;"&amp;B3014)+SUM($Q$2:$Q3014)</f>
        <v>90.195000000000007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63"/>
        <v>3005</v>
      </c>
      <c r="P3015" s="7">
        <f ca="1">SUMIFS($N$2:$N3015,$B$2:$B3015,"&lt;&gt;"&amp;B3015)+SUM($Q$2:$Q3015)</f>
        <v>90.195000000000007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63"/>
        <v>3006</v>
      </c>
      <c r="P3016" s="7">
        <f ca="1">SUMIFS($N$2:$N3016,$B$2:$B3016,"&lt;&gt;"&amp;B3016)+SUM($Q$2:$Q3016)</f>
        <v>90.195000000000007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63"/>
        <v>3007</v>
      </c>
      <c r="P3017" s="7">
        <f ca="1">SUMIFS($N$2:$N3017,$B$2:$B3017,"&lt;&gt;"&amp;B3017)+SUM($Q$2:$Q3017)</f>
        <v>90.195000000000007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63"/>
        <v>3008</v>
      </c>
      <c r="P3018" s="7">
        <f ca="1">SUMIFS($N$2:$N3018,$B$2:$B3018,"&lt;&gt;"&amp;B3018)+SUM($Q$2:$Q3018)</f>
        <v>90.195000000000007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63"/>
        <v>3009</v>
      </c>
      <c r="P3019" s="7">
        <f ca="1">SUMIFS($N$2:$N3019,$B$2:$B3019,"&lt;&gt;"&amp;B3019)+SUM($Q$2:$Q3019)</f>
        <v>90.195000000000007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63"/>
        <v>3010</v>
      </c>
      <c r="P3020" s="7">
        <f ca="1">SUMIFS($N$2:$N3020,$B$2:$B3020,"&lt;&gt;"&amp;B3020)+SUM($Q$2:$Q3020)</f>
        <v>90.195000000000007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63"/>
        <v>3011</v>
      </c>
      <c r="P3021" s="7">
        <f ca="1">SUMIFS($N$2:$N3021,$B$2:$B3021,"&lt;&gt;"&amp;B3021)+SUM($Q$2:$Q3021)</f>
        <v>90.195000000000007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63"/>
        <v>3012</v>
      </c>
      <c r="P3022" s="7">
        <f ca="1">SUMIFS($N$2:$N3022,$B$2:$B3022,"&lt;&gt;"&amp;B3022)+SUM($Q$2:$Q3022)</f>
        <v>90.195000000000007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63"/>
        <v>3013</v>
      </c>
      <c r="P3023" s="7">
        <f ca="1">SUMIFS($N$2:$N3023,$B$2:$B3023,"&lt;&gt;"&amp;B3023)+SUM($Q$2:$Q3023)</f>
        <v>90.195000000000007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63"/>
        <v>3014</v>
      </c>
      <c r="P3024" s="7">
        <f ca="1">SUMIFS($N$2:$N3024,$B$2:$B3024,"&lt;&gt;"&amp;B3024)+SUM($Q$2:$Q3024)</f>
        <v>90.195000000000007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63"/>
        <v>3015</v>
      </c>
      <c r="P3025" s="7">
        <f ca="1">SUMIFS($N$2:$N3025,$B$2:$B3025,"&lt;&gt;"&amp;B3025)+SUM($Q$2:$Q3025)</f>
        <v>90.195000000000007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63"/>
        <v>3016</v>
      </c>
      <c r="P3026" s="7">
        <f ca="1">SUMIFS($N$2:$N3026,$B$2:$B3026,"&lt;&gt;"&amp;B3026)+SUM($Q$2:$Q3026)</f>
        <v>90.195000000000007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63"/>
        <v>3017</v>
      </c>
      <c r="P3027" s="7">
        <f ca="1">SUMIFS($N$2:$N3027,$B$2:$B3027,"&lt;&gt;"&amp;B3027)+SUM($Q$2:$Q3027)</f>
        <v>90.195000000000007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63"/>
        <v>3018</v>
      </c>
      <c r="P3028" s="7">
        <f ca="1">SUMIFS($N$2:$N3028,$B$2:$B3028,"&lt;&gt;"&amp;B3028)+SUM($Q$2:$Q3028)</f>
        <v>90.195000000000007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63"/>
        <v>3019</v>
      </c>
      <c r="P3029" s="7">
        <f ca="1">SUMIFS($N$2:$N3029,$B$2:$B3029,"&lt;&gt;"&amp;B3029)+SUM($Q$2:$Q3029)</f>
        <v>90.195000000000007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63"/>
        <v>3020</v>
      </c>
      <c r="P3030" s="7">
        <f ca="1">SUMIFS($N$2:$N3030,$B$2:$B3030,"&lt;&gt;"&amp;B3030)+SUM($Q$2:$Q3030)</f>
        <v>90.195000000000007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63"/>
        <v>3021</v>
      </c>
      <c r="P3031" s="7">
        <f ca="1">SUMIFS($N$2:$N3031,$B$2:$B3031,"&lt;&gt;"&amp;B3031)+SUM($Q$2:$Q3031)</f>
        <v>90.195000000000007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63"/>
        <v>3022</v>
      </c>
      <c r="P3032" s="7">
        <f ca="1">SUMIFS($N$2:$N3032,$B$2:$B3032,"&lt;&gt;"&amp;B3032)+SUM($Q$2:$Q3032)</f>
        <v>90.195000000000007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63"/>
        <v>3023</v>
      </c>
      <c r="P3033" s="7">
        <f ca="1">SUMIFS($N$2:$N3033,$B$2:$B3033,"&lt;&gt;"&amp;B3033)+SUM($Q$2:$Q3033)</f>
        <v>90.195000000000007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63"/>
        <v>3024</v>
      </c>
      <c r="P3034" s="7">
        <f ca="1">SUMIFS($N$2:$N3034,$B$2:$B3034,"&lt;&gt;"&amp;B3034)+SUM($Q$2:$Q3034)</f>
        <v>90.195000000000007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63"/>
        <v>3025</v>
      </c>
      <c r="P3035" s="7">
        <f ca="1">SUMIFS($N$2:$N3035,$B$2:$B3035,"&lt;&gt;"&amp;B3035)+SUM($Q$2:$Q3035)</f>
        <v>90.195000000000007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63"/>
        <v>3026</v>
      </c>
      <c r="P3036" s="7">
        <f ca="1">SUMIFS($N$2:$N3036,$B$2:$B3036,"&lt;&gt;"&amp;B3036)+SUM($Q$2:$Q3036)</f>
        <v>90.195000000000007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63"/>
        <v>3027</v>
      </c>
      <c r="P3037" s="7">
        <f ca="1">SUMIFS($N$2:$N3037,$B$2:$B3037,"&lt;&gt;"&amp;B3037)+SUM($Q$2:$Q3037)</f>
        <v>90.195000000000007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63"/>
        <v>3028</v>
      </c>
      <c r="P3038" s="7">
        <f ca="1">SUMIFS($N$2:$N3038,$B$2:$B3038,"&lt;&gt;"&amp;B3038)+SUM($Q$2:$Q3038)</f>
        <v>90.195000000000007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63"/>
        <v>3029</v>
      </c>
      <c r="P3039" s="7">
        <f ca="1">SUMIFS($N$2:$N3039,$B$2:$B3039,"&lt;&gt;"&amp;B3039)+SUM($Q$2:$Q3039)</f>
        <v>90.195000000000007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63"/>
        <v>3030</v>
      </c>
      <c r="P3040" s="7">
        <f ca="1">SUMIFS($N$2:$N3040,$B$2:$B3040,"&lt;&gt;"&amp;B3040)+SUM($Q$2:$Q3040)</f>
        <v>90.195000000000007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63"/>
        <v>3031</v>
      </c>
      <c r="P3041" s="7">
        <f ca="1">SUMIFS($N$2:$N3041,$B$2:$B3041,"&lt;&gt;"&amp;B3041)+SUM($Q$2:$Q3041)</f>
        <v>90.195000000000007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si="63"/>
        <v>3032</v>
      </c>
      <c r="P3042" s="7">
        <f ca="1">SUMIFS($N$2:$N3042,$B$2:$B3042,"&lt;&gt;"&amp;B3042)+SUM($Q$2:$Q3042)</f>
        <v>90.195000000000007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63"/>
        <v>3033</v>
      </c>
      <c r="P3043" s="7">
        <f ca="1">SUMIFS($N$2:$N3043,$B$2:$B3043,"&lt;&gt;"&amp;B3043)+SUM($Q$2:$Q3043)</f>
        <v>90.195000000000007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63"/>
        <v>3034</v>
      </c>
      <c r="P3044" s="7">
        <f ca="1">SUMIFS($N$2:$N3044,$B$2:$B3044,"&lt;&gt;"&amp;B3044)+SUM($Q$2:$Q3044)</f>
        <v>90.195000000000007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63"/>
        <v>3035</v>
      </c>
      <c r="P3045" s="7">
        <f ca="1">SUMIFS($N$2:$N3045,$B$2:$B3045,"&lt;&gt;"&amp;B3045)+SUM($Q$2:$Q3045)</f>
        <v>90.195000000000007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63"/>
        <v>3036</v>
      </c>
      <c r="P3046" s="7">
        <f ca="1">SUMIFS($N$2:$N3046,$B$2:$B3046,"&lt;&gt;"&amp;B3046)+SUM($Q$2:$Q3046)</f>
        <v>90.195000000000007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63"/>
        <v>3037</v>
      </c>
      <c r="P3047" s="7">
        <f ca="1">SUMIFS($N$2:$N3047,$B$2:$B3047,"&lt;&gt;"&amp;B3047)+SUM($Q$2:$Q3047)</f>
        <v>90.195000000000007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63"/>
        <v>3038</v>
      </c>
      <c r="P3048" s="7">
        <f ca="1">SUMIFS($N$2:$N3048,$B$2:$B3048,"&lt;&gt;"&amp;B3048)+SUM($Q$2:$Q3048)</f>
        <v>90.195000000000007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63"/>
        <v>3039</v>
      </c>
      <c r="P3049" s="7">
        <f ca="1">SUMIFS($N$2:$N3049,$B$2:$B3049,"&lt;&gt;"&amp;B3049)+SUM($Q$2:$Q3049)</f>
        <v>90.195000000000007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63"/>
        <v>3040</v>
      </c>
      <c r="P3050" s="7">
        <f ca="1">SUMIFS($N$2:$N3050,$B$2:$B3050,"&lt;&gt;"&amp;B3050)+SUM($Q$2:$Q3050)</f>
        <v>90.195000000000007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63"/>
        <v>3041</v>
      </c>
      <c r="P3051" s="7">
        <f ca="1">SUMIFS($N$2:$N3051,$B$2:$B3051,"&lt;&gt;"&amp;B3051)+SUM($Q$2:$Q3051)</f>
        <v>90.195000000000007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63"/>
        <v>3042</v>
      </c>
      <c r="P3052" s="7">
        <f ca="1">SUMIFS($N$2:$N3052,$B$2:$B3052,"&lt;&gt;"&amp;B3052)+SUM($Q$2:$Q3052)</f>
        <v>90.195000000000007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63"/>
        <v>3043</v>
      </c>
      <c r="P3053" s="7">
        <f ca="1">SUMIFS($N$2:$N3053,$B$2:$B3053,"&lt;&gt;"&amp;B3053)+SUM($Q$2:$Q3053)</f>
        <v>90.195000000000007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63"/>
        <v>3044</v>
      </c>
      <c r="P3054" s="7">
        <f ca="1">SUMIFS($N$2:$N3054,$B$2:$B3054,"&lt;&gt;"&amp;B3054)+SUM($Q$2:$Q3054)</f>
        <v>90.195000000000007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63"/>
        <v>3045</v>
      </c>
      <c r="P3055" s="7">
        <f ca="1">SUMIFS($N$2:$N3055,$B$2:$B3055,"&lt;&gt;"&amp;B3055)+SUM($Q$2:$Q3055)</f>
        <v>90.195000000000007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63"/>
        <v>3046</v>
      </c>
      <c r="P3056" s="7">
        <f ca="1">SUMIFS($N$2:$N3056,$B$2:$B3056,"&lt;&gt;"&amp;B3056)+SUM($Q$2:$Q3056)</f>
        <v>90.195000000000007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63"/>
        <v>3047</v>
      </c>
      <c r="P3057" s="7">
        <f ca="1">SUMIFS($N$2:$N3057,$B$2:$B3057,"&lt;&gt;"&amp;B3057)+SUM($Q$2:$Q3057)</f>
        <v>90.195000000000007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63"/>
        <v>3048</v>
      </c>
      <c r="P3058" s="7">
        <f ca="1">SUMIFS($N$2:$N3058,$B$2:$B3058,"&lt;&gt;"&amp;B3058)+SUM($Q$2:$Q3058)</f>
        <v>90.195000000000007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63"/>
        <v>3049</v>
      </c>
      <c r="P3059" s="7">
        <f ca="1">SUMIFS($N$2:$N3059,$B$2:$B3059,"&lt;&gt;"&amp;B3059)+SUM($Q$2:$Q3059)</f>
        <v>90.195000000000007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63"/>
        <v>3050</v>
      </c>
      <c r="P3060" s="7">
        <f ca="1">SUMIFS($N$2:$N3060,$B$2:$B3060,"&lt;&gt;"&amp;B3060)+SUM($Q$2:$Q3060)</f>
        <v>90.195000000000007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63"/>
        <v>3051</v>
      </c>
      <c r="P3061" s="7">
        <f ca="1">SUMIFS($N$2:$N3061,$B$2:$B3061,"&lt;&gt;"&amp;B3061)+SUM($Q$2:$Q3061)</f>
        <v>90.195000000000007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63"/>
        <v>3052</v>
      </c>
      <c r="P3062" s="7">
        <f ca="1">SUMIFS($N$2:$N3062,$B$2:$B3062,"&lt;&gt;"&amp;B3062)+SUM($Q$2:$Q3062)</f>
        <v>90.195000000000007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63"/>
        <v>3053</v>
      </c>
      <c r="P3063" s="7">
        <f ca="1">SUMIFS($N$2:$N3063,$B$2:$B3063,"&lt;&gt;"&amp;B3063)+SUM($Q$2:$Q3063)</f>
        <v>90.195000000000007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63"/>
        <v>3054</v>
      </c>
      <c r="P3064" s="7">
        <f ca="1">SUMIFS($N$2:$N3064,$B$2:$B3064,"&lt;&gt;"&amp;B3064)+SUM($Q$2:$Q3064)</f>
        <v>90.195000000000007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63"/>
        <v>3055</v>
      </c>
      <c r="P3065" s="7">
        <f ca="1">SUMIFS($N$2:$N3065,$B$2:$B3065,"&lt;&gt;"&amp;B3065)+SUM($Q$2:$Q3065)</f>
        <v>90.195000000000007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63"/>
        <v>3056</v>
      </c>
      <c r="P3066" s="7">
        <f ca="1">SUMIFS($N$2:$N3066,$B$2:$B3066,"&lt;&gt;"&amp;B3066)+SUM($Q$2:$Q3066)</f>
        <v>90.195000000000007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63"/>
        <v>3057</v>
      </c>
      <c r="P3067" s="7">
        <f ca="1">SUMIFS($N$2:$N3067,$B$2:$B3067,"&lt;&gt;"&amp;B3067)+SUM($Q$2:$Q3067)</f>
        <v>90.195000000000007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63"/>
        <v>3058</v>
      </c>
      <c r="P3068" s="7">
        <f ca="1">SUMIFS($N$2:$N3068,$B$2:$B3068,"&lt;&gt;"&amp;B3068)+SUM($Q$2:$Q3068)</f>
        <v>90.195000000000007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63"/>
        <v>3059</v>
      </c>
      <c r="P3069" s="7">
        <f ca="1">SUMIFS($N$2:$N3069,$B$2:$B3069,"&lt;&gt;"&amp;B3069)+SUM($Q$2:$Q3069)</f>
        <v>90.195000000000007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63"/>
        <v>3060</v>
      </c>
      <c r="P3070" s="7">
        <f ca="1">SUMIFS($N$2:$N3070,$B$2:$B3070,"&lt;&gt;"&amp;B3070)+SUM($Q$2:$Q3070)</f>
        <v>90.195000000000007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63"/>
        <v>3061</v>
      </c>
      <c r="P3071" s="7">
        <f ca="1">SUMIFS($N$2:$N3071,$B$2:$B3071,"&lt;&gt;"&amp;B3071)+SUM($Q$2:$Q3071)</f>
        <v>90.195000000000007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63"/>
        <v>3062</v>
      </c>
      <c r="P3072" s="7">
        <f ca="1">SUMIFS($N$2:$N3072,$B$2:$B3072,"&lt;&gt;"&amp;B3072)+SUM($Q$2:$Q3072)</f>
        <v>90.195000000000007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63"/>
        <v>3063</v>
      </c>
      <c r="P3073" s="7">
        <f ca="1">SUMIFS($N$2:$N3073,$B$2:$B3073,"&lt;&gt;"&amp;B3073)+SUM($Q$2:$Q3073)</f>
        <v>90.195000000000007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63"/>
        <v>3064</v>
      </c>
      <c r="P3074" s="7">
        <f ca="1">SUMIFS($N$2:$N3074,$B$2:$B3074,"&lt;&gt;"&amp;B3074)+SUM($Q$2:$Q3074)</f>
        <v>90.195000000000007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ref="A3075:A3138" si="64">IF(AND(B3075="", D3075&lt;&gt;""), A3074, A3074+1)</f>
        <v>3065</v>
      </c>
      <c r="P3075" s="7">
        <f ca="1">SUMIFS($N$2:$N3075,$B$2:$B3075,"&lt;&gt;"&amp;B3075)+SUM($Q$2:$Q3075)</f>
        <v>90.195000000000007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64"/>
        <v>3066</v>
      </c>
      <c r="P3076" s="7">
        <f ca="1">SUMIFS($N$2:$N3076,$B$2:$B3076,"&lt;&gt;"&amp;B3076)+SUM($Q$2:$Q3076)</f>
        <v>90.195000000000007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64"/>
        <v>3067</v>
      </c>
      <c r="P3077" s="7">
        <f ca="1">SUMIFS($N$2:$N3077,$B$2:$B3077,"&lt;&gt;"&amp;B3077)+SUM($Q$2:$Q3077)</f>
        <v>90.195000000000007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64"/>
        <v>3068</v>
      </c>
      <c r="P3078" s="7">
        <f ca="1">SUMIFS($N$2:$N3078,$B$2:$B3078,"&lt;&gt;"&amp;B3078)+SUM($Q$2:$Q3078)</f>
        <v>90.195000000000007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64"/>
        <v>3069</v>
      </c>
      <c r="P3079" s="7">
        <f ca="1">SUMIFS($N$2:$N3079,$B$2:$B3079,"&lt;&gt;"&amp;B3079)+SUM($Q$2:$Q3079)</f>
        <v>90.195000000000007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64"/>
        <v>3070</v>
      </c>
      <c r="P3080" s="7">
        <f ca="1">SUMIFS($N$2:$N3080,$B$2:$B3080,"&lt;&gt;"&amp;B3080)+SUM($Q$2:$Q3080)</f>
        <v>90.195000000000007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64"/>
        <v>3071</v>
      </c>
      <c r="P3081" s="7">
        <f ca="1">SUMIFS($N$2:$N3081,$B$2:$B3081,"&lt;&gt;"&amp;B3081)+SUM($Q$2:$Q3081)</f>
        <v>90.195000000000007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64"/>
        <v>3072</v>
      </c>
      <c r="P3082" s="7">
        <f ca="1">SUMIFS($N$2:$N3082,$B$2:$B3082,"&lt;&gt;"&amp;B3082)+SUM($Q$2:$Q3082)</f>
        <v>90.195000000000007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64"/>
        <v>3073</v>
      </c>
      <c r="P3083" s="7">
        <f ca="1">SUMIFS($N$2:$N3083,$B$2:$B3083,"&lt;&gt;"&amp;B3083)+SUM($Q$2:$Q3083)</f>
        <v>90.195000000000007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64"/>
        <v>3074</v>
      </c>
      <c r="P3084" s="7">
        <f ca="1">SUMIFS($N$2:$N3084,$B$2:$B3084,"&lt;&gt;"&amp;B3084)+SUM($Q$2:$Q3084)</f>
        <v>90.195000000000007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64"/>
        <v>3075</v>
      </c>
      <c r="P3085" s="7">
        <f ca="1">SUMIFS($N$2:$N3085,$B$2:$B3085,"&lt;&gt;"&amp;B3085)+SUM($Q$2:$Q3085)</f>
        <v>90.195000000000007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64"/>
        <v>3076</v>
      </c>
      <c r="P3086" s="7">
        <f ca="1">SUMIFS($N$2:$N3086,$B$2:$B3086,"&lt;&gt;"&amp;B3086)+SUM($Q$2:$Q3086)</f>
        <v>90.195000000000007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64"/>
        <v>3077</v>
      </c>
      <c r="P3087" s="7">
        <f ca="1">SUMIFS($N$2:$N3087,$B$2:$B3087,"&lt;&gt;"&amp;B3087)+SUM($Q$2:$Q3087)</f>
        <v>90.195000000000007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64"/>
        <v>3078</v>
      </c>
      <c r="P3088" s="7">
        <f ca="1">SUMIFS($N$2:$N3088,$B$2:$B3088,"&lt;&gt;"&amp;B3088)+SUM($Q$2:$Q3088)</f>
        <v>90.195000000000007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64"/>
        <v>3079</v>
      </c>
      <c r="P3089" s="7">
        <f ca="1">SUMIFS($N$2:$N3089,$B$2:$B3089,"&lt;&gt;"&amp;B3089)+SUM($Q$2:$Q3089)</f>
        <v>90.195000000000007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64"/>
        <v>3080</v>
      </c>
      <c r="P3090" s="7">
        <f ca="1">SUMIFS($N$2:$N3090,$B$2:$B3090,"&lt;&gt;"&amp;B3090)+SUM($Q$2:$Q3090)</f>
        <v>90.195000000000007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64"/>
        <v>3081</v>
      </c>
      <c r="P3091" s="7">
        <f ca="1">SUMIFS($N$2:$N3091,$B$2:$B3091,"&lt;&gt;"&amp;B3091)+SUM($Q$2:$Q3091)</f>
        <v>90.195000000000007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64"/>
        <v>3082</v>
      </c>
      <c r="P3092" s="7">
        <f ca="1">SUMIFS($N$2:$N3092,$B$2:$B3092,"&lt;&gt;"&amp;B3092)+SUM($Q$2:$Q3092)</f>
        <v>90.195000000000007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64"/>
        <v>3083</v>
      </c>
      <c r="P3093" s="7">
        <f ca="1">SUMIFS($N$2:$N3093,$B$2:$B3093,"&lt;&gt;"&amp;B3093)+SUM($Q$2:$Q3093)</f>
        <v>90.195000000000007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64"/>
        <v>3084</v>
      </c>
      <c r="P3094" s="7">
        <f ca="1">SUMIFS($N$2:$N3094,$B$2:$B3094,"&lt;&gt;"&amp;B3094)+SUM($Q$2:$Q3094)</f>
        <v>90.195000000000007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64"/>
        <v>3085</v>
      </c>
      <c r="P3095" s="7">
        <f ca="1">SUMIFS($N$2:$N3095,$B$2:$B3095,"&lt;&gt;"&amp;B3095)+SUM($Q$2:$Q3095)</f>
        <v>90.195000000000007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64"/>
        <v>3086</v>
      </c>
      <c r="P3096" s="7">
        <f ca="1">SUMIFS($N$2:$N3096,$B$2:$B3096,"&lt;&gt;"&amp;B3096)+SUM($Q$2:$Q3096)</f>
        <v>90.195000000000007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64"/>
        <v>3087</v>
      </c>
      <c r="P3097" s="7">
        <f ca="1">SUMIFS($N$2:$N3097,$B$2:$B3097,"&lt;&gt;"&amp;B3097)+SUM($Q$2:$Q3097)</f>
        <v>90.195000000000007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64"/>
        <v>3088</v>
      </c>
      <c r="P3098" s="7">
        <f ca="1">SUMIFS($N$2:$N3098,$B$2:$B3098,"&lt;&gt;"&amp;B3098)+SUM($Q$2:$Q3098)</f>
        <v>90.195000000000007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64"/>
        <v>3089</v>
      </c>
      <c r="P3099" s="7">
        <f ca="1">SUMIFS($N$2:$N3099,$B$2:$B3099,"&lt;&gt;"&amp;B3099)+SUM($Q$2:$Q3099)</f>
        <v>90.195000000000007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64"/>
        <v>3090</v>
      </c>
      <c r="P3100" s="7">
        <f ca="1">SUMIFS($N$2:$N3100,$B$2:$B3100,"&lt;&gt;"&amp;B3100)+SUM($Q$2:$Q3100)</f>
        <v>90.195000000000007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64"/>
        <v>3091</v>
      </c>
      <c r="P3101" s="7">
        <f ca="1">SUMIFS($N$2:$N3101,$B$2:$B3101,"&lt;&gt;"&amp;B3101)+SUM($Q$2:$Q3101)</f>
        <v>90.195000000000007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64"/>
        <v>3092</v>
      </c>
      <c r="P3102" s="7">
        <f ca="1">SUMIFS($N$2:$N3102,$B$2:$B3102,"&lt;&gt;"&amp;B3102)+SUM($Q$2:$Q3102)</f>
        <v>90.195000000000007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64"/>
        <v>3093</v>
      </c>
      <c r="P3103" s="7">
        <f ca="1">SUMIFS($N$2:$N3103,$B$2:$B3103,"&lt;&gt;"&amp;B3103)+SUM($Q$2:$Q3103)</f>
        <v>90.195000000000007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64"/>
        <v>3094</v>
      </c>
      <c r="P3104" s="7">
        <f ca="1">SUMIFS($N$2:$N3104,$B$2:$B3104,"&lt;&gt;"&amp;B3104)+SUM($Q$2:$Q3104)</f>
        <v>90.195000000000007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64"/>
        <v>3095</v>
      </c>
      <c r="P3105" s="7">
        <f ca="1">SUMIFS($N$2:$N3105,$B$2:$B3105,"&lt;&gt;"&amp;B3105)+SUM($Q$2:$Q3105)</f>
        <v>90.195000000000007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si="64"/>
        <v>3096</v>
      </c>
      <c r="P3106" s="7">
        <f ca="1">SUMIFS($N$2:$N3106,$B$2:$B3106,"&lt;&gt;"&amp;B3106)+SUM($Q$2:$Q3106)</f>
        <v>90.195000000000007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64"/>
        <v>3097</v>
      </c>
      <c r="P3107" s="7">
        <f ca="1">SUMIFS($N$2:$N3107,$B$2:$B3107,"&lt;&gt;"&amp;B3107)+SUM($Q$2:$Q3107)</f>
        <v>90.195000000000007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64"/>
        <v>3098</v>
      </c>
      <c r="P3108" s="7">
        <f ca="1">SUMIFS($N$2:$N3108,$B$2:$B3108,"&lt;&gt;"&amp;B3108)+SUM($Q$2:$Q3108)</f>
        <v>90.195000000000007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64"/>
        <v>3099</v>
      </c>
      <c r="P3109" s="7">
        <f ca="1">SUMIFS($N$2:$N3109,$B$2:$B3109,"&lt;&gt;"&amp;B3109)+SUM($Q$2:$Q3109)</f>
        <v>90.195000000000007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64"/>
        <v>3100</v>
      </c>
      <c r="P3110" s="7">
        <f ca="1">SUMIFS($N$2:$N3110,$B$2:$B3110,"&lt;&gt;"&amp;B3110)+SUM($Q$2:$Q3110)</f>
        <v>90.195000000000007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64"/>
        <v>3101</v>
      </c>
      <c r="P3111" s="7">
        <f ca="1">SUMIFS($N$2:$N3111,$B$2:$B3111,"&lt;&gt;"&amp;B3111)+SUM($Q$2:$Q3111)</f>
        <v>90.195000000000007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64"/>
        <v>3102</v>
      </c>
      <c r="P3112" s="7">
        <f ca="1">SUMIFS($N$2:$N3112,$B$2:$B3112,"&lt;&gt;"&amp;B3112)+SUM($Q$2:$Q3112)</f>
        <v>90.195000000000007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64"/>
        <v>3103</v>
      </c>
      <c r="P3113" s="7">
        <f ca="1">SUMIFS($N$2:$N3113,$B$2:$B3113,"&lt;&gt;"&amp;B3113)+SUM($Q$2:$Q3113)</f>
        <v>90.195000000000007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64"/>
        <v>3104</v>
      </c>
      <c r="P3114" s="7">
        <f ca="1">SUMIFS($N$2:$N3114,$B$2:$B3114,"&lt;&gt;"&amp;B3114)+SUM($Q$2:$Q3114)</f>
        <v>90.195000000000007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64"/>
        <v>3105</v>
      </c>
      <c r="P3115" s="7">
        <f ca="1">SUMIFS($N$2:$N3115,$B$2:$B3115,"&lt;&gt;"&amp;B3115)+SUM($Q$2:$Q3115)</f>
        <v>90.195000000000007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64"/>
        <v>3106</v>
      </c>
      <c r="P3116" s="7">
        <f ca="1">SUMIFS($N$2:$N3116,$B$2:$B3116,"&lt;&gt;"&amp;B3116)+SUM($Q$2:$Q3116)</f>
        <v>90.195000000000007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64"/>
        <v>3107</v>
      </c>
      <c r="P3117" s="7">
        <f ca="1">SUMIFS($N$2:$N3117,$B$2:$B3117,"&lt;&gt;"&amp;B3117)+SUM($Q$2:$Q3117)</f>
        <v>90.195000000000007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64"/>
        <v>3108</v>
      </c>
      <c r="P3118" s="7">
        <f ca="1">SUMIFS($N$2:$N3118,$B$2:$B3118,"&lt;&gt;"&amp;B3118)+SUM($Q$2:$Q3118)</f>
        <v>90.195000000000007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64"/>
        <v>3109</v>
      </c>
      <c r="P3119" s="7">
        <f ca="1">SUMIFS($N$2:$N3119,$B$2:$B3119,"&lt;&gt;"&amp;B3119)+SUM($Q$2:$Q3119)</f>
        <v>90.195000000000007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64"/>
        <v>3110</v>
      </c>
      <c r="P3120" s="7">
        <f ca="1">SUMIFS($N$2:$N3120,$B$2:$B3120,"&lt;&gt;"&amp;B3120)+SUM($Q$2:$Q3120)</f>
        <v>90.195000000000007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64"/>
        <v>3111</v>
      </c>
      <c r="P3121" s="7">
        <f ca="1">SUMIFS($N$2:$N3121,$B$2:$B3121,"&lt;&gt;"&amp;B3121)+SUM($Q$2:$Q3121)</f>
        <v>90.195000000000007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64"/>
        <v>3112</v>
      </c>
      <c r="P3122" s="7">
        <f ca="1">SUMIFS($N$2:$N3122,$B$2:$B3122,"&lt;&gt;"&amp;B3122)+SUM($Q$2:$Q3122)</f>
        <v>90.195000000000007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64"/>
        <v>3113</v>
      </c>
      <c r="P3123" s="7">
        <f ca="1">SUMIFS($N$2:$N3123,$B$2:$B3123,"&lt;&gt;"&amp;B3123)+SUM($Q$2:$Q3123)</f>
        <v>90.195000000000007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64"/>
        <v>3114</v>
      </c>
      <c r="P3124" s="7">
        <f ca="1">SUMIFS($N$2:$N3124,$B$2:$B3124,"&lt;&gt;"&amp;B3124)+SUM($Q$2:$Q3124)</f>
        <v>90.195000000000007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64"/>
        <v>3115</v>
      </c>
      <c r="P3125" s="7">
        <f ca="1">SUMIFS($N$2:$N3125,$B$2:$B3125,"&lt;&gt;"&amp;B3125)+SUM($Q$2:$Q3125)</f>
        <v>90.195000000000007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64"/>
        <v>3116</v>
      </c>
      <c r="P3126" s="7">
        <f ca="1">SUMIFS($N$2:$N3126,$B$2:$B3126,"&lt;&gt;"&amp;B3126)+SUM($Q$2:$Q3126)</f>
        <v>90.195000000000007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64"/>
        <v>3117</v>
      </c>
      <c r="P3127" s="7">
        <f ca="1">SUMIFS($N$2:$N3127,$B$2:$B3127,"&lt;&gt;"&amp;B3127)+SUM($Q$2:$Q3127)</f>
        <v>90.195000000000007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64"/>
        <v>3118</v>
      </c>
      <c r="P3128" s="7">
        <f ca="1">SUMIFS($N$2:$N3128,$B$2:$B3128,"&lt;&gt;"&amp;B3128)+SUM($Q$2:$Q3128)</f>
        <v>90.195000000000007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64"/>
        <v>3119</v>
      </c>
      <c r="P3129" s="7">
        <f ca="1">SUMIFS($N$2:$N3129,$B$2:$B3129,"&lt;&gt;"&amp;B3129)+SUM($Q$2:$Q3129)</f>
        <v>90.195000000000007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64"/>
        <v>3120</v>
      </c>
      <c r="P3130" s="7">
        <f ca="1">SUMIFS($N$2:$N3130,$B$2:$B3130,"&lt;&gt;"&amp;B3130)+SUM($Q$2:$Q3130)</f>
        <v>90.195000000000007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64"/>
        <v>3121</v>
      </c>
      <c r="P3131" s="7">
        <f ca="1">SUMIFS($N$2:$N3131,$B$2:$B3131,"&lt;&gt;"&amp;B3131)+SUM($Q$2:$Q3131)</f>
        <v>90.195000000000007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64"/>
        <v>3122</v>
      </c>
      <c r="P3132" s="7">
        <f ca="1">SUMIFS($N$2:$N3132,$B$2:$B3132,"&lt;&gt;"&amp;B3132)+SUM($Q$2:$Q3132)</f>
        <v>90.195000000000007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64"/>
        <v>3123</v>
      </c>
      <c r="P3133" s="7">
        <f ca="1">SUMIFS($N$2:$N3133,$B$2:$B3133,"&lt;&gt;"&amp;B3133)+SUM($Q$2:$Q3133)</f>
        <v>90.195000000000007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64"/>
        <v>3124</v>
      </c>
      <c r="P3134" s="7">
        <f ca="1">SUMIFS($N$2:$N3134,$B$2:$B3134,"&lt;&gt;"&amp;B3134)+SUM($Q$2:$Q3134)</f>
        <v>90.195000000000007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64"/>
        <v>3125</v>
      </c>
      <c r="P3135" s="7">
        <f ca="1">SUMIFS($N$2:$N3135,$B$2:$B3135,"&lt;&gt;"&amp;B3135)+SUM($Q$2:$Q3135)</f>
        <v>90.195000000000007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64"/>
        <v>3126</v>
      </c>
      <c r="P3136" s="7">
        <f ca="1">SUMIFS($N$2:$N3136,$B$2:$B3136,"&lt;&gt;"&amp;B3136)+SUM($Q$2:$Q3136)</f>
        <v>90.195000000000007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64"/>
        <v>3127</v>
      </c>
      <c r="P3137" s="7">
        <f ca="1">SUMIFS($N$2:$N3137,$B$2:$B3137,"&lt;&gt;"&amp;B3137)+SUM($Q$2:$Q3137)</f>
        <v>90.195000000000007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64"/>
        <v>3128</v>
      </c>
      <c r="P3138" s="7">
        <f ca="1">SUMIFS($N$2:$N3138,$B$2:$B3138,"&lt;&gt;"&amp;B3138)+SUM($Q$2:$Q3138)</f>
        <v>90.195000000000007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ref="A3139:A3161" si="65">IF(AND(B3139="", D3139&lt;&gt;""), A3138, A3138+1)</f>
        <v>3129</v>
      </c>
      <c r="P3139" s="7">
        <f ca="1">SUMIFS($N$2:$N3139,$B$2:$B3139,"&lt;&gt;"&amp;B3139)+SUM($Q$2:$Q3139)</f>
        <v>90.195000000000007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65"/>
        <v>3130</v>
      </c>
      <c r="P3140" s="7">
        <f ca="1">SUMIFS($N$2:$N3140,$B$2:$B3140,"&lt;&gt;"&amp;B3140)+SUM($Q$2:$Q3140)</f>
        <v>90.195000000000007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65"/>
        <v>3131</v>
      </c>
      <c r="P3141" s="7">
        <f ca="1">SUMIFS($N$2:$N3141,$B$2:$B3141,"&lt;&gt;"&amp;B3141)+SUM($Q$2:$Q3141)</f>
        <v>90.195000000000007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65"/>
        <v>3132</v>
      </c>
      <c r="P3142" s="7">
        <f ca="1">SUMIFS($N$2:$N3142,$B$2:$B3142,"&lt;&gt;"&amp;B3142)+SUM($Q$2:$Q3142)</f>
        <v>90.195000000000007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65"/>
        <v>3133</v>
      </c>
      <c r="P3143" s="7">
        <f ca="1">SUMIFS($N$2:$N3143,$B$2:$B3143,"&lt;&gt;"&amp;B3143)+SUM($Q$2:$Q3143)</f>
        <v>90.195000000000007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65"/>
        <v>3134</v>
      </c>
      <c r="P3144" s="7">
        <f ca="1">SUMIFS($N$2:$N3144,$B$2:$B3144,"&lt;&gt;"&amp;B3144)+SUM($Q$2:$Q3144)</f>
        <v>90.195000000000007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65"/>
        <v>3135</v>
      </c>
      <c r="P3145" s="7">
        <f ca="1">SUMIFS($N$2:$N3145,$B$2:$B3145,"&lt;&gt;"&amp;B3145)+SUM($Q$2:$Q3145)</f>
        <v>90.195000000000007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65"/>
        <v>3136</v>
      </c>
      <c r="P3146" s="7">
        <f ca="1">SUMIFS($N$2:$N3146,$B$2:$B3146,"&lt;&gt;"&amp;B3146)+SUM($Q$2:$Q3146)</f>
        <v>90.195000000000007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65"/>
        <v>3137</v>
      </c>
      <c r="P3147" s="7">
        <f ca="1">SUMIFS($N$2:$N3147,$B$2:$B3147,"&lt;&gt;"&amp;B3147)+SUM($Q$2:$Q3147)</f>
        <v>90.195000000000007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65"/>
        <v>3138</v>
      </c>
      <c r="P3148" s="7">
        <f ca="1">SUMIFS($N$2:$N3148,$B$2:$B3148,"&lt;&gt;"&amp;B3148)+SUM($Q$2:$Q3148)</f>
        <v>90.195000000000007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65"/>
        <v>3139</v>
      </c>
      <c r="P3149" s="7">
        <f ca="1">SUMIFS($N$2:$N3149,$B$2:$B3149,"&lt;&gt;"&amp;B3149)+SUM($Q$2:$Q3149)</f>
        <v>90.195000000000007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65"/>
        <v>3140</v>
      </c>
      <c r="P3150" s="7">
        <f ca="1">SUMIFS($N$2:$N3150,$B$2:$B3150,"&lt;&gt;"&amp;B3150)+SUM($Q$2:$Q3150)</f>
        <v>90.195000000000007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65"/>
        <v>3141</v>
      </c>
      <c r="P3151" s="7">
        <f ca="1">SUMIFS($N$2:$N3151,$B$2:$B3151,"&lt;&gt;"&amp;B3151)+SUM($Q$2:$Q3151)</f>
        <v>90.195000000000007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65"/>
        <v>3142</v>
      </c>
      <c r="P3152" s="7">
        <f ca="1">SUMIFS($N$2:$N3152,$B$2:$B3152,"&lt;&gt;"&amp;B3152)+SUM($Q$2:$Q3152)</f>
        <v>90.195000000000007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65"/>
        <v>3143</v>
      </c>
      <c r="P3153" s="7">
        <f ca="1">SUMIFS($N$2:$N3153,$B$2:$B3153,"&lt;&gt;"&amp;B3153)+SUM($Q$2:$Q3153)</f>
        <v>90.195000000000007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65"/>
        <v>3144</v>
      </c>
      <c r="P3154" s="7">
        <f ca="1">SUMIFS($N$2:$N3154,$B$2:$B3154,"&lt;&gt;"&amp;B3154)+SUM($Q$2:$Q3154)</f>
        <v>90.195000000000007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65"/>
        <v>3145</v>
      </c>
      <c r="P3155" s="7">
        <f ca="1">SUMIFS($N$2:$N3155,$B$2:$B3155,"&lt;&gt;"&amp;B3155)+SUM($Q$2:$Q3155)</f>
        <v>90.195000000000007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65"/>
        <v>3146</v>
      </c>
      <c r="P3156" s="7">
        <f ca="1">SUMIFS($N$2:$N3156,$B$2:$B3156,"&lt;&gt;"&amp;B3156)+SUM($Q$2:$Q3156)</f>
        <v>90.195000000000007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65"/>
        <v>3147</v>
      </c>
      <c r="P3157" s="7">
        <f ca="1">SUMIFS($N$2:$N3157,$B$2:$B3157,"&lt;&gt;"&amp;B3157)+SUM($Q$2:$Q3157)</f>
        <v>90.195000000000007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65"/>
        <v>3148</v>
      </c>
      <c r="P3158" s="7">
        <f ca="1">SUMIFS($N$2:$N3158,$B$2:$B3158,"&lt;&gt;"&amp;B3158)+SUM($Q$2:$Q3158)</f>
        <v>90.195000000000007</v>
      </c>
      <c r="R3158" t="b">
        <f>AND(ISNUMBER(FIND($E3158,Tables!$I$2)), ISNUMBER(FIND($D3158,Tables!$J$2)), $E3158&lt;&gt;"")</f>
        <v>0</v>
      </c>
    </row>
    <row r="3159" spans="1:18" x14ac:dyDescent="0.3">
      <c r="A3159">
        <f t="shared" si="65"/>
        <v>3149</v>
      </c>
      <c r="P3159" s="7">
        <f ca="1">SUMIFS($N$2:$N3159,$B$2:$B3159,"&lt;&gt;"&amp;B3159)+SUM($Q$2:$Q3159)</f>
        <v>90.195000000000007</v>
      </c>
      <c r="R3159" t="b">
        <f>AND(ISNUMBER(FIND($E3159,Tables!$I$2)), ISNUMBER(FIND($D3159,Tables!$J$2)), $E3159&lt;&gt;"")</f>
        <v>0</v>
      </c>
    </row>
    <row r="3160" spans="1:18" x14ac:dyDescent="0.3">
      <c r="A3160">
        <f t="shared" si="65"/>
        <v>3150</v>
      </c>
      <c r="P3160" s="7">
        <f ca="1">SUMIFS($N$2:$N3160,$B$2:$B3160,"&lt;&gt;"&amp;B3160)+SUM($Q$2:$Q3160)</f>
        <v>90.195000000000007</v>
      </c>
      <c r="R3160" t="b">
        <f>AND(ISNUMBER(FIND($E3160,Tables!$I$2)), ISNUMBER(FIND($D3160,Tables!$J$2)), $E3160&lt;&gt;"")</f>
        <v>0</v>
      </c>
    </row>
    <row r="3161" spans="1:18" x14ac:dyDescent="0.3">
      <c r="A3161">
        <f t="shared" si="65"/>
        <v>3151</v>
      </c>
      <c r="P3161" s="7">
        <f ca="1">SUMIFS($N$2:$N3161,$B$2:$B3161,"&lt;&gt;"&amp;B3161)+SUM($Q$2:$Q3161)</f>
        <v>90.195000000000007</v>
      </c>
      <c r="R3161" t="b">
        <f>AND(ISNUMBER(FIND($E3161,Tables!$I$2)), ISNUMBER(FIND($D3161,Tables!$J$2)), $E3161&lt;&gt;"")</f>
        <v>0</v>
      </c>
    </row>
  </sheetData>
  <autoFilter ref="A1:Q3161" xr:uid="{0C8D1BC5-4D2C-477A-A90E-69847125A4EB}"/>
  <conditionalFormatting sqref="M24">
    <cfRule type="cellIs" dxfId="28" priority="17" operator="equal">
      <formula>"win"</formula>
    </cfRule>
    <cfRule type="cellIs" dxfId="27" priority="18" operator="equal">
      <formula>"loss"</formula>
    </cfRule>
  </conditionalFormatting>
  <conditionalFormatting sqref="M24">
    <cfRule type="cellIs" dxfId="26" priority="16" operator="equal">
      <formula>"draw"</formula>
    </cfRule>
  </conditionalFormatting>
  <conditionalFormatting sqref="I24">
    <cfRule type="expression" dxfId="25" priority="19">
      <formula>$I24&lt;0</formula>
    </cfRule>
    <cfRule type="expression" dxfId="24" priority="20">
      <formula>$I24&gt;0</formula>
    </cfRule>
  </conditionalFormatting>
  <conditionalFormatting sqref="J24">
    <cfRule type="expression" dxfId="23" priority="14">
      <formula>$I24&lt;0</formula>
    </cfRule>
    <cfRule type="expression" dxfId="22" priority="15">
      <formula>$I24&gt;0</formula>
    </cfRule>
  </conditionalFormatting>
  <conditionalFormatting sqref="F2:G29998">
    <cfRule type="cellIs" dxfId="21" priority="2" operator="equal">
      <formula>"Parlay"</formula>
    </cfRule>
  </conditionalFormatting>
  <conditionalFormatting sqref="J2:J29998">
    <cfRule type="expression" dxfId="20" priority="21">
      <formula>$I2&lt;0</formula>
    </cfRule>
    <cfRule type="expression" dxfId="19" priority="22">
      <formula>$I2&gt;0</formula>
    </cfRule>
  </conditionalFormatting>
  <conditionalFormatting sqref="I2:I29998">
    <cfRule type="expression" dxfId="18" priority="7">
      <formula>$I2&lt;0</formula>
    </cfRule>
    <cfRule type="expression" dxfId="17" priority="25">
      <formula>$I2&gt;0</formula>
    </cfRule>
  </conditionalFormatting>
  <conditionalFormatting sqref="N2:N30001">
    <cfRule type="expression" dxfId="16" priority="5">
      <formula>TRUE</formula>
    </cfRule>
  </conditionalFormatting>
  <conditionalFormatting sqref="B12:N12">
    <cfRule type="expression" dxfId="15" priority="30">
      <formula>$A12 &lt;&gt; $A10</formula>
    </cfRule>
    <cfRule type="expression" dxfId="14" priority="31">
      <formula>OR($A12=$A13, $A12=$A10)</formula>
    </cfRule>
  </conditionalFormatting>
  <conditionalFormatting sqref="A2:A3161">
    <cfRule type="expression" dxfId="13" priority="3">
      <formula>$A2 &lt;&gt; $A1</formula>
    </cfRule>
    <cfRule type="expression" dxfId="12" priority="4">
      <formula>OR($A2=$A4, $A2=$A1)</formula>
    </cfRule>
  </conditionalFormatting>
  <conditionalFormatting sqref="A2:N30000">
    <cfRule type="expression" dxfId="11" priority="1">
      <formula>$A2 &lt;&gt; $A1</formula>
    </cfRule>
    <cfRule type="expression" dxfId="10" priority="26">
      <formula>$E2 = "NBA"</formula>
    </cfRule>
    <cfRule type="expression" dxfId="9" priority="32">
      <formula>OR($A2=$A4, $A2=$A1)</formula>
    </cfRule>
    <cfRule type="expression" dxfId="8" priority="33">
      <formula>MOD($A2,2)=1</formula>
    </cfRule>
  </conditionalFormatting>
  <conditionalFormatting sqref="M2:M30000">
    <cfRule type="cellIs" dxfId="7" priority="13" operator="equal">
      <formula>"draw"</formula>
    </cfRule>
    <cfRule type="cellIs" dxfId="6" priority="23" operator="equal">
      <formula>"win"</formula>
    </cfRule>
    <cfRule type="cellIs" dxfId="5" priority="24" operator="equal">
      <formula>"loss"</formula>
    </cfRule>
  </conditionalFormatting>
  <conditionalFormatting sqref="D2:D30000">
    <cfRule type="cellIs" dxfId="4" priority="10" operator="equal">
      <formula>"Prop"</formula>
    </cfRule>
    <cfRule type="cellIs" dxfId="3" priority="11" operator="equal">
      <formula>"Parlay"</formula>
    </cfRule>
    <cfRule type="cellIs" dxfId="2" priority="12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B40" sqref="B40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0</v>
      </c>
      <c r="C2" s="3">
        <f ca="1">SUMIFS(Bets!$L:$L,Bets!$I:$I, "&lt;0",Bets!$M:$M,"&lt;&gt;",Bets!$M:$M,"&lt;&gt;draw",Bets!$R:$R, TRUE)</f>
        <v>0</v>
      </c>
      <c r="D2" s="10">
        <f>COUNTIFS(Bets!$M:$M,"win",Bets!$I:$I, "&lt;0",Bets!$B:$B,"&lt;&gt;",Bets!$R:$R, TRUE)</f>
        <v>0</v>
      </c>
      <c r="E2" s="10">
        <f ca="1">COUNTIFS(Bets!$M:$M,"loss",Bets!$I:$I, "&lt;0",Bets!$B:$B,"&lt;&gt;",Bets!$R:$R, TRUE)</f>
        <v>0</v>
      </c>
      <c r="F2" s="3">
        <f ca="1">SUMIFS(Bets!$N:$N,Bets!$I:$I, "&lt;0",Bets!$R:$R, TRUE)</f>
        <v>0</v>
      </c>
      <c r="G2" s="18" t="e">
        <f ca="1">F2/B2</f>
        <v>#DIV/0!</v>
      </c>
      <c r="I2" s="21" t="s">
        <v>84</v>
      </c>
      <c r="J2" s="21" t="s">
        <v>80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17</v>
      </c>
      <c r="C3" s="3">
        <f ca="1">SUMIFS(Bets!$L:$L,Bets!$I:$I, "&gt;0",Bets!$M:$M,"&lt;&gt;",Bets!$M:$M,"&lt;&gt;draw",Bets!$R:$R, TRUE)</f>
        <v>46.644473870160283</v>
      </c>
      <c r="D3" s="10">
        <f>COUNTIFS(Bets!$M:$M,"win",Bets!$I:$I, "&gt;0",Bets!$B:$B,"&lt;&gt;",Bets!$R:$R, TRUE)</f>
        <v>0</v>
      </c>
      <c r="E3" s="10">
        <f ca="1">COUNTIFS(Bets!$M:$M,"loss",Bets!$I:$I, "&gt;0",Bets!$B:$B,"&lt;&gt;",Bets!$R:$R, TRUE)</f>
        <v>3</v>
      </c>
      <c r="F3" s="3">
        <f ca="1">SUMIFS(Bets!$N:$N,Bets!$I:$I, "&gt;0",Bets!$R:$R, TRUE)</f>
        <v>-17</v>
      </c>
      <c r="G3" s="18">
        <f ca="1">F3/B3</f>
        <v>-1</v>
      </c>
      <c r="I3" s="21"/>
      <c r="J3" s="21"/>
    </row>
    <row r="4" spans="1:37" x14ac:dyDescent="0.3">
      <c r="A4" s="13" t="s">
        <v>0</v>
      </c>
      <c r="B4" s="17">
        <f ca="1">SUM(B2:B3)</f>
        <v>17</v>
      </c>
      <c r="C4" s="17">
        <f ca="1">SUM(C2:C3)</f>
        <v>46.644473870160283</v>
      </c>
      <c r="D4" s="16">
        <f>SUM(D2:D3)</f>
        <v>0</v>
      </c>
      <c r="E4" s="16">
        <f ca="1">SUM(E2:E3)</f>
        <v>3</v>
      </c>
      <c r="F4" s="17">
        <f ca="1">SUM(F2:F3)</f>
        <v>-17</v>
      </c>
      <c r="G4" s="19">
        <f ca="1">F4/B4</f>
        <v>-1</v>
      </c>
      <c r="I4" s="21"/>
      <c r="J4" s="21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2">
        <f ca="1">SUMIFS(Bets!K:K,Bets!$I:$I,"&lt;="&amp;$B8,Bets!$I:$I,"&gt;="&amp;$C8,Bets!$M:$M,"&lt;&gt;")</f>
        <v>0</v>
      </c>
      <c r="E8" s="12">
        <f ca="1">SUMIFS(Bets!L:L,Bets!$I:$I,"&lt;="&amp;$B8,Bets!$I:$I,"&gt;="&amp;$C8,Bets!$M:$M,"&lt;&gt;")</f>
        <v>0</v>
      </c>
      <c r="F8" s="10">
        <f ca="1">COUNTIFS(Bets!$I:$I,"&lt;="&amp;$B8,Bets!$I:$I,"&gt;="&amp;$C8,Bets!$M:$M,"win",Bets!$B:$B,"&lt;&gt;")</f>
        <v>0</v>
      </c>
      <c r="G8" s="10">
        <f ca="1">COUNTIFS(Bets!$I:$I,"&lt;="&amp;$B8,Bets!$I:$I,"&gt;="&amp;$C8,Bets!$M:$M,"loss",Bets!$B:$B,"&lt;&gt;")</f>
        <v>0</v>
      </c>
      <c r="H8" s="12">
        <f ca="1">SUMIFS(Bets!N:N,Bets!$I:$I,"&lt;="&amp;$B8,Bets!$I:$I,"&gt;="&amp;$C8)</f>
        <v>0</v>
      </c>
      <c r="I8" s="18" t="str">
        <f ca="1">IFERROR((H8+D8)/D8,"")</f>
        <v/>
      </c>
      <c r="AJ8">
        <f>1/101</f>
        <v>9.9009900990099011E-3</v>
      </c>
      <c r="AK8" s="10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2">
        <f ca="1">SUMIFS(Bets!K:K,Bets!$I:$I,"&lt;="&amp;$B9,Bets!$I:$I,"&gt;="&amp;$C9,Bets!$M:$M,"&lt;&gt;")</f>
        <v>3</v>
      </c>
      <c r="E9" s="12">
        <f ca="1">SUMIFS(Bets!L:L,Bets!$I:$I,"&lt;="&amp;$B9,Bets!$I:$I,"&gt;="&amp;$C9,Bets!$M:$M,"&lt;&gt;")</f>
        <v>17.849999999999998</v>
      </c>
      <c r="F9" s="10">
        <f ca="1">COUNTIFS(Bets!$I:$I,"&lt;="&amp;$B9,Bets!$I:$I,"&gt;="&amp;$C9,Bets!$M:$M,"win",Bets!$B:$B,"&lt;&gt;")</f>
        <v>0</v>
      </c>
      <c r="G9" s="10">
        <f ca="1">COUNTIFS(Bets!$I:$I,"&lt;="&amp;$B9,Bets!$I:$I,"&gt;="&amp;$C9,Bets!$M:$M,"loss",Bets!$B:$B,"&lt;&gt;")</f>
        <v>1</v>
      </c>
      <c r="H9" s="12">
        <f ca="1">SUMIFS(Bets!N:N,Bets!$I:$I,"&lt;="&amp;$B9,Bets!$I:$I,"&gt;="&amp;$C9)</f>
        <v>-3</v>
      </c>
      <c r="I9" s="18">
        <f t="shared" ref="I9:I25" ca="1" si="2">IFERROR((H9)/D9,"")</f>
        <v>-1</v>
      </c>
      <c r="AJ9" s="10">
        <v>0.1</v>
      </c>
      <c r="AK9" s="10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2">
        <f ca="1">SUMIFS(Bets!K:K,Bets!$I:$I,"&lt;="&amp;$B10,Bets!$I:$I,"&gt;="&amp;$C10,Bets!$M:$M,"&lt;&gt;")</f>
        <v>15</v>
      </c>
      <c r="E10" s="12">
        <f ca="1">SUMIFS(Bets!L:L,Bets!$I:$I,"&lt;="&amp;$B10,Bets!$I:$I,"&gt;="&amp;$C10,Bets!$M:$M,"&lt;&gt;")</f>
        <v>77.25</v>
      </c>
      <c r="F10" s="10">
        <f ca="1">COUNTIFS(Bets!$I:$I,"&lt;="&amp;$B10,Bets!$I:$I,"&gt;="&amp;$C10,Bets!$M:$M,"win",Bets!$B:$B,"&lt;&gt;")</f>
        <v>0</v>
      </c>
      <c r="G10" s="10">
        <f ca="1">COUNTIFS(Bets!$I:$I,"&lt;="&amp;$B10,Bets!$I:$I,"&gt;="&amp;$C10,Bets!$M:$M,"loss",Bets!$B:$B,"&lt;&gt;")</f>
        <v>2</v>
      </c>
      <c r="H10" s="12">
        <f ca="1">SUMIFS(Bets!N:N,Bets!$I:$I,"&lt;="&amp;$B10,Bets!$I:$I,"&gt;="&amp;$C10)</f>
        <v>-15</v>
      </c>
      <c r="I10" s="18">
        <f t="shared" ca="1" si="2"/>
        <v>-1</v>
      </c>
      <c r="AJ10" s="10">
        <v>0.15</v>
      </c>
      <c r="AK10" s="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2">
        <f ca="1">SUMIFS(Bets!K:K,Bets!$I:$I,"&lt;="&amp;$B11,Bets!$I:$I,"&gt;="&amp;$C11,Bets!$M:$M,"&lt;&gt;")</f>
        <v>15</v>
      </c>
      <c r="E11" s="12">
        <f ca="1">SUMIFS(Bets!L:L,Bets!$I:$I,"&lt;="&amp;$B11,Bets!$I:$I,"&gt;="&amp;$C11,Bets!$M:$M,"&lt;&gt;")</f>
        <v>58</v>
      </c>
      <c r="F11" s="10">
        <f ca="1">COUNTIFS(Bets!$I:$I,"&lt;="&amp;$B11,Bets!$I:$I,"&gt;="&amp;$C11,Bets!$M:$M,"win",Bets!$B:$B,"&lt;&gt;")</f>
        <v>1</v>
      </c>
      <c r="G11" s="10">
        <f ca="1">COUNTIFS(Bets!$I:$I,"&lt;="&amp;$B11,Bets!$I:$I,"&gt;="&amp;$C11,Bets!$M:$M,"loss",Bets!$B:$B,"&lt;&gt;")</f>
        <v>1</v>
      </c>
      <c r="H11" s="12">
        <f ca="1">SUMIFS(Bets!N:N,Bets!$I:$I,"&lt;="&amp;$B11,Bets!$I:$I,"&gt;="&amp;$C11)</f>
        <v>8</v>
      </c>
      <c r="I11" s="18">
        <f t="shared" ca="1" si="2"/>
        <v>0.53333333333333333</v>
      </c>
      <c r="AJ11" s="10">
        <v>0.2</v>
      </c>
      <c r="AK11" s="10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2">
        <f ca="1">SUMIFS(Bets!K:K,Bets!$I:$I,"&lt;="&amp;$B12,Bets!$I:$I,"&gt;="&amp;$C12,Bets!$M:$M,"&lt;&gt;")</f>
        <v>67</v>
      </c>
      <c r="E12" s="12">
        <f ca="1">SUMIFS(Bets!L:L,Bets!$I:$I,"&lt;="&amp;$B12,Bets!$I:$I,"&gt;="&amp;$C12,Bets!$M:$M,"&lt;&gt;")</f>
        <v>179.79447387016029</v>
      </c>
      <c r="F12" s="10">
        <f ca="1">COUNTIFS(Bets!$I:$I,"&lt;="&amp;$B12,Bets!$I:$I,"&gt;="&amp;$C12,Bets!$M:$M,"win",Bets!$B:$B,"&lt;&gt;")</f>
        <v>1</v>
      </c>
      <c r="G12" s="10">
        <f ca="1">COUNTIFS(Bets!$I:$I,"&lt;="&amp;$B12,Bets!$I:$I,"&gt;="&amp;$C12,Bets!$M:$M,"loss",Bets!$B:$B,"&lt;&gt;")</f>
        <v>7</v>
      </c>
      <c r="H12" s="12">
        <f ca="1">SUMIFS(Bets!N:N,Bets!$I:$I,"&lt;="&amp;$B12,Bets!$I:$I,"&gt;="&amp;$C12)</f>
        <v>-33</v>
      </c>
      <c r="I12" s="18">
        <f t="shared" ca="1" si="2"/>
        <v>-0.4925373134328358</v>
      </c>
      <c r="AJ12" s="10">
        <v>0.25</v>
      </c>
      <c r="AK12" s="10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2">
        <f ca="1">SUMIFS(Bets!K:K,Bets!$I:$I,"&lt;="&amp;$B13,Bets!$I:$I,"&gt;="&amp;$C13,Bets!$M:$M,"&lt;&gt;")</f>
        <v>0</v>
      </c>
      <c r="E13" s="12">
        <f ca="1">SUMIFS(Bets!L:L,Bets!$I:$I,"&lt;="&amp;$B13,Bets!$I:$I,"&gt;="&amp;$C13,Bets!$M:$M,"&lt;&gt;")</f>
        <v>0</v>
      </c>
      <c r="F13" s="10">
        <f ca="1">COUNTIFS(Bets!$I:$I,"&lt;="&amp;$B13,Bets!$I:$I,"&gt;="&amp;$C13,Bets!$M:$M,"win",Bets!$B:$B,"&lt;&gt;")</f>
        <v>0</v>
      </c>
      <c r="G13" s="10">
        <f ca="1">COUNTIFS(Bets!$I:$I,"&lt;="&amp;$B13,Bets!$I:$I,"&gt;="&amp;$C13,Bets!$M:$M,"loss",Bets!$B:$B,"&lt;&gt;")</f>
        <v>0</v>
      </c>
      <c r="H13" s="12">
        <f ca="1">SUMIFS(Bets!N:N,Bets!$I:$I,"&lt;="&amp;$B13,Bets!$I:$I,"&gt;="&amp;$C13)</f>
        <v>0</v>
      </c>
      <c r="I13" s="18" t="str">
        <f t="shared" ca="1" si="2"/>
        <v/>
      </c>
      <c r="AJ13" s="10">
        <v>0.3</v>
      </c>
      <c r="AK13" s="10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2">
        <f ca="1">SUMIFS(Bets!K:K,Bets!$I:$I,"&lt;="&amp;$B14,Bets!$I:$I,"&gt;="&amp;$C14,Bets!$M:$M,"&lt;&gt;")</f>
        <v>82.33</v>
      </c>
      <c r="E14" s="12">
        <f ca="1">SUMIFS(Bets!L:L,Bets!$I:$I,"&lt;="&amp;$B14,Bets!$I:$I,"&gt;="&amp;$C14,Bets!$M:$M,"&lt;&gt;")</f>
        <v>142.94400000000002</v>
      </c>
      <c r="F14" s="10">
        <f ca="1">COUNTIFS(Bets!$I:$I,"&lt;="&amp;$B14,Bets!$I:$I,"&gt;="&amp;$C14,Bets!$M:$M,"win",Bets!$B:$B,"&lt;&gt;")</f>
        <v>3</v>
      </c>
      <c r="G14" s="10">
        <f ca="1">COUNTIFS(Bets!$I:$I,"&lt;="&amp;$B14,Bets!$I:$I,"&gt;="&amp;$C14,Bets!$M:$M,"loss",Bets!$B:$B,"&lt;&gt;")</f>
        <v>2</v>
      </c>
      <c r="H14" s="12">
        <f ca="1">SUMIFS(Bets!N:N,Bets!$I:$I,"&lt;="&amp;$B14,Bets!$I:$I,"&gt;="&amp;$C14)</f>
        <v>84.17</v>
      </c>
      <c r="I14" s="18">
        <f t="shared" ca="1" si="2"/>
        <v>1.0223490829588242</v>
      </c>
      <c r="AJ14" s="10">
        <v>0.35</v>
      </c>
      <c r="AK14" s="10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2">
        <f ca="1">SUMIFS(Bets!K:K,Bets!$I:$I,"&lt;="&amp;$B15,Bets!$I:$I,"&gt;="&amp;$C15,Bets!$M:$M,"&lt;&gt;")</f>
        <v>100</v>
      </c>
      <c r="E15" s="12">
        <f ca="1">SUMIFS(Bets!L:L,Bets!$I:$I,"&lt;="&amp;$B15,Bets!$I:$I,"&gt;="&amp;$C15,Bets!$M:$M,"&lt;&gt;")</f>
        <v>141.5</v>
      </c>
      <c r="F15" s="10">
        <f ca="1">COUNTIFS(Bets!$I:$I,"&lt;="&amp;$B15,Bets!$I:$I,"&gt;="&amp;$C15,Bets!$M:$M,"win",Bets!$B:$B,"&lt;&gt;")</f>
        <v>2</v>
      </c>
      <c r="G15" s="10">
        <f ca="1">COUNTIFS(Bets!$I:$I,"&lt;="&amp;$B15,Bets!$I:$I,"&gt;="&amp;$C15,Bets!$M:$M,"loss",Bets!$B:$B,"&lt;&gt;")</f>
        <v>0</v>
      </c>
      <c r="H15" s="12">
        <f ca="1">SUMIFS(Bets!N:N,Bets!$I:$I,"&lt;="&amp;$B15,Bets!$I:$I,"&gt;="&amp;$C15)</f>
        <v>40</v>
      </c>
      <c r="I15" s="18">
        <f t="shared" ca="1" si="2"/>
        <v>0.4</v>
      </c>
      <c r="AJ15" s="10">
        <v>0.4</v>
      </c>
      <c r="AK15" s="10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2">
        <f ca="1">SUMIFS(Bets!K:K,Bets!$I:$I,"&lt;="&amp;$B16,Bets!$I:$I,"&gt;="&amp;$C16,Bets!$M:$M,"&lt;&gt;")</f>
        <v>197.5</v>
      </c>
      <c r="E16" s="12">
        <f ca="1">SUMIFS(Bets!L:L,Bets!$I:$I,"&lt;="&amp;$B16,Bets!$I:$I,"&gt;="&amp;$C16,Bets!$M:$M,"&lt;&gt;")</f>
        <v>217.875</v>
      </c>
      <c r="F16" s="10">
        <f ca="1">COUNTIFS(Bets!$I:$I,"&lt;="&amp;$B16,Bets!$I:$I,"&gt;="&amp;$C16,Bets!$M:$M,"win",Bets!$B:$B,"&lt;&gt;")</f>
        <v>3</v>
      </c>
      <c r="G16" s="10">
        <f ca="1">COUNTIFS(Bets!$I:$I,"&lt;="&amp;$B16,Bets!$I:$I,"&gt;="&amp;$C16,Bets!$M:$M,"loss",Bets!$B:$B,"&lt;&gt;")</f>
        <v>2</v>
      </c>
      <c r="H16" s="12">
        <f ca="1">SUMIFS(Bets!N:N,Bets!$I:$I,"&lt;="&amp;$B16,Bets!$I:$I,"&gt;="&amp;$C16)</f>
        <v>143.125</v>
      </c>
      <c r="I16" s="18">
        <f t="shared" ca="1" si="2"/>
        <v>0.72468354430379744</v>
      </c>
      <c r="AJ16" s="10">
        <v>0.45</v>
      </c>
      <c r="AK16" s="10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2">
        <f ca="1">SUMIFS(Bets!K:K,Bets!$I:$I,"&lt;="&amp;$B17,Bets!$I:$I,"&gt;="&amp;$C17,Bets!$M:$M,"&lt;&gt;")</f>
        <v>19.3</v>
      </c>
      <c r="E17" s="12">
        <f ca="1">SUMIFS(Bets!L:L,Bets!$I:$I,"&lt;="&amp;$B17,Bets!$I:$I,"&gt;="&amp;$C17,Bets!$M:$M,"&lt;&gt;")</f>
        <v>18</v>
      </c>
      <c r="F17" s="10">
        <f ca="1">COUNTIFS(Bets!$I:$I,"&lt;="&amp;$B17,Bets!$I:$I,"&gt;="&amp;$C17,Bets!$M:$M,"win",Bets!$B:$B,"&lt;&gt;")</f>
        <v>1</v>
      </c>
      <c r="G17" s="10">
        <f ca="1">COUNTIFS(Bets!$I:$I,"&lt;="&amp;$B17,Bets!$I:$I,"&gt;="&amp;$C17,Bets!$M:$M,"loss",Bets!$B:$B,"&lt;&gt;")</f>
        <v>1</v>
      </c>
      <c r="H17" s="12">
        <f ca="1">SUMIFS(Bets!N:N,Bets!$I:$I,"&lt;="&amp;$B17,Bets!$I:$I,"&gt;="&amp;$C17)</f>
        <v>-9.3000000000000007</v>
      </c>
      <c r="I17" s="18">
        <f t="shared" ca="1" si="2"/>
        <v>-0.48186528497409331</v>
      </c>
      <c r="AJ17" s="10">
        <v>0.5</v>
      </c>
      <c r="AK17" s="10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2">
        <f ca="1">SUMIFS(Bets!K:K,Bets!$I:$I,"&lt;="&amp;$B18,Bets!$I:$I,"&gt;="&amp;$C18,Bets!$M:$M,"&lt;&gt;")</f>
        <v>0</v>
      </c>
      <c r="E18" s="12">
        <f ca="1">SUMIFS(Bets!L:L,Bets!$I:$I,"&lt;="&amp;$B18,Bets!$I:$I,"&gt;="&amp;$C18,Bets!$M:$M,"&lt;&gt;")</f>
        <v>0</v>
      </c>
      <c r="F18" s="10">
        <f ca="1">COUNTIFS(Bets!$I:$I,"&lt;="&amp;$B18,Bets!$I:$I,"&gt;="&amp;$C18,Bets!$M:$M,"win",Bets!$B:$B,"&lt;&gt;")</f>
        <v>0</v>
      </c>
      <c r="G18" s="10">
        <f ca="1">COUNTIFS(Bets!$I:$I,"&lt;="&amp;$B18,Bets!$I:$I,"&gt;="&amp;$C18,Bets!$M:$M,"loss",Bets!$B:$B,"&lt;&gt;")</f>
        <v>0</v>
      </c>
      <c r="H18" s="12">
        <f ca="1">SUMIFS(Bets!N:N,Bets!$I:$I,"&lt;="&amp;$B18,Bets!$I:$I,"&gt;="&amp;$C18)</f>
        <v>0</v>
      </c>
      <c r="I18" s="18" t="str">
        <f t="shared" ca="1" si="2"/>
        <v/>
      </c>
      <c r="AJ18" s="10">
        <v>0.55000000000000004</v>
      </c>
      <c r="AK18" s="10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2">
        <f ca="1">SUMIFS(Bets!K:K,Bets!$I:$I,"&lt;="&amp;$B19,Bets!$I:$I,"&gt;="&amp;$C19,Bets!$M:$M,"&lt;&gt;")</f>
        <v>126</v>
      </c>
      <c r="E19" s="12">
        <f ca="1">SUMIFS(Bets!L:L,Bets!$I:$I,"&lt;="&amp;$B19,Bets!$I:$I,"&gt;="&amp;$C19,Bets!$M:$M,"&lt;&gt;")</f>
        <v>70</v>
      </c>
      <c r="F19" s="10">
        <f ca="1">COUNTIFS(Bets!$I:$I,"&lt;="&amp;$B19,Bets!$I:$I,"&gt;="&amp;$C19,Bets!$M:$M,"win",Bets!$B:$B,"&lt;&gt;")</f>
        <v>1</v>
      </c>
      <c r="G19" s="10">
        <f ca="1">COUNTIFS(Bets!$I:$I,"&lt;="&amp;$B19,Bets!$I:$I,"&gt;="&amp;$C19,Bets!$M:$M,"loss",Bets!$B:$B,"&lt;&gt;")</f>
        <v>1</v>
      </c>
      <c r="H19" s="12">
        <f ca="1">SUMIFS(Bets!N:N,Bets!$I:$I,"&lt;="&amp;$B19,Bets!$I:$I,"&gt;="&amp;$C19)</f>
        <v>-126</v>
      </c>
      <c r="I19" s="18">
        <f t="shared" ca="1" si="2"/>
        <v>-1</v>
      </c>
      <c r="AJ19" s="10">
        <v>0.6</v>
      </c>
      <c r="AK19" s="10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2">
        <f ca="1">SUMIFS(Bets!K:K,Bets!$I:$I,"&lt;="&amp;$B20,Bets!$I:$I,"&gt;="&amp;$C20,Bets!$M:$M,"&lt;&gt;")</f>
        <v>21</v>
      </c>
      <c r="E20" s="12">
        <f ca="1">SUMIFS(Bets!L:L,Bets!$I:$I,"&lt;="&amp;$B20,Bets!$I:$I,"&gt;="&amp;$C20,Bets!$M:$M,"&lt;&gt;")</f>
        <v>10</v>
      </c>
      <c r="F20" s="10">
        <f ca="1">COUNTIFS(Bets!$I:$I,"&lt;="&amp;$B20,Bets!$I:$I,"&gt;="&amp;$C20,Bets!$M:$M,"win",Bets!$B:$B,"&lt;&gt;")</f>
        <v>0</v>
      </c>
      <c r="G20" s="10">
        <f ca="1">COUNTIFS(Bets!$I:$I,"&lt;="&amp;$B20,Bets!$I:$I,"&gt;="&amp;$C20,Bets!$M:$M,"loss",Bets!$B:$B,"&lt;&gt;")</f>
        <v>2</v>
      </c>
      <c r="H20" s="12">
        <f ca="1">SUMIFS(Bets!N:N,Bets!$I:$I,"&lt;="&amp;$B20,Bets!$I:$I,"&gt;="&amp;$C20)</f>
        <v>-21</v>
      </c>
      <c r="I20" s="18">
        <f t="shared" ca="1" si="2"/>
        <v>-1</v>
      </c>
      <c r="AJ20" s="10">
        <v>0.65</v>
      </c>
      <c r="AK20" s="1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2">
        <f ca="1">SUMIFS(Bets!K:K,Bets!$I:$I,"&lt;="&amp;$B21,Bets!$I:$I,"&gt;="&amp;$C21,Bets!$M:$M,"&lt;&gt;")</f>
        <v>54.5</v>
      </c>
      <c r="E21" s="12">
        <f ca="1">SUMIFS(Bets!L:L,Bets!$I:$I,"&lt;="&amp;$B21,Bets!$I:$I,"&gt;="&amp;$C21,Bets!$M:$M,"&lt;&gt;")</f>
        <v>20</v>
      </c>
      <c r="F21" s="10">
        <f ca="1">COUNTIFS(Bets!$I:$I,"&lt;="&amp;$B21,Bets!$I:$I,"&gt;="&amp;$C21,Bets!$M:$M,"win",Bets!$B:$B,"&lt;&gt;")</f>
        <v>3</v>
      </c>
      <c r="G21" s="10">
        <f ca="1">COUNTIFS(Bets!$I:$I,"&lt;="&amp;$B21,Bets!$I:$I,"&gt;="&amp;$C21,Bets!$M:$M,"loss",Bets!$B:$B,"&lt;&gt;")</f>
        <v>0</v>
      </c>
      <c r="H21" s="12">
        <f ca="1">SUMIFS(Bets!N:N,Bets!$I:$I,"&lt;="&amp;$B21,Bets!$I:$I,"&gt;="&amp;$C21)</f>
        <v>20</v>
      </c>
      <c r="I21" s="18">
        <f t="shared" ca="1" si="2"/>
        <v>0.3669724770642202</v>
      </c>
      <c r="AJ21" s="10">
        <v>0.7</v>
      </c>
      <c r="AK21" s="10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2">
        <f ca="1">SUMIFS(Bets!K:K,Bets!$I:$I,"&lt;="&amp;$B22,Bets!$I:$I,"&gt;="&amp;$C22,Bets!$M:$M,"&lt;&gt;")</f>
        <v>26.8</v>
      </c>
      <c r="E22" s="12">
        <f ca="1">SUMIFS(Bets!L:L,Bets!$I:$I,"&lt;="&amp;$B22,Bets!$I:$I,"&gt;="&amp;$C22,Bets!$M:$M,"&lt;&gt;")</f>
        <v>8</v>
      </c>
      <c r="F22" s="10">
        <f ca="1">COUNTIFS(Bets!$I:$I,"&lt;="&amp;$B22,Bets!$I:$I,"&gt;="&amp;$C22,Bets!$M:$M,"win",Bets!$B:$B,"&lt;&gt;")</f>
        <v>0</v>
      </c>
      <c r="G22" s="10">
        <f ca="1">COUNTIFS(Bets!$I:$I,"&lt;="&amp;$B22,Bets!$I:$I,"&gt;="&amp;$C22,Bets!$M:$M,"loss",Bets!$B:$B,"&lt;&gt;")</f>
        <v>1</v>
      </c>
      <c r="H22" s="12">
        <f ca="1">SUMIFS(Bets!N:N,Bets!$I:$I,"&lt;="&amp;$B22,Bets!$I:$I,"&gt;="&amp;$C22)</f>
        <v>-26.8</v>
      </c>
      <c r="I22" s="18">
        <f t="shared" ca="1" si="2"/>
        <v>-1</v>
      </c>
      <c r="AJ22" s="10">
        <v>0.75</v>
      </c>
      <c r="AK22" s="10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2">
        <f ca="1">SUMIFS(Bets!K:K,Bets!$I:$I,"&lt;="&amp;$B23,Bets!$I:$I,"&gt;="&amp;$C23,Bets!$M:$M,"&lt;&gt;")</f>
        <v>50</v>
      </c>
      <c r="E23" s="12">
        <f ca="1">SUMIFS(Bets!L:L,Bets!$I:$I,"&lt;="&amp;$B23,Bets!$I:$I,"&gt;="&amp;$C23,Bets!$M:$M,"&lt;&gt;")</f>
        <v>10</v>
      </c>
      <c r="F23" s="10">
        <f ca="1">COUNTIFS(Bets!$I:$I,"&lt;="&amp;$B23,Bets!$I:$I,"&gt;="&amp;$C23,Bets!$M:$M,"win",Bets!$B:$B,"&lt;&gt;")</f>
        <v>0</v>
      </c>
      <c r="G23" s="10">
        <f ca="1">COUNTIFS(Bets!$I:$I,"&lt;="&amp;$B23,Bets!$I:$I,"&gt;="&amp;$C23,Bets!$M:$M,"loss",Bets!$B:$B,"&lt;&gt;")</f>
        <v>2</v>
      </c>
      <c r="H23" s="12">
        <f ca="1">SUMIFS(Bets!N:N,Bets!$I:$I,"&lt;="&amp;$B23,Bets!$I:$I,"&gt;="&amp;$C23)</f>
        <v>-50</v>
      </c>
      <c r="I23" s="18">
        <f t="shared" ca="1" si="2"/>
        <v>-1</v>
      </c>
      <c r="AJ23" s="10">
        <v>0.8</v>
      </c>
      <c r="AK23" s="10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2">
        <f ca="1">SUMIFS(Bets!K:K,Bets!$I:$I,"&lt;="&amp;$B24,Bets!$I:$I,"&gt;="&amp;$C24,Bets!$M:$M,"&lt;&gt;")</f>
        <v>0</v>
      </c>
      <c r="E24" s="12">
        <f ca="1">SUMIFS(Bets!L:L,Bets!$I:$I,"&lt;="&amp;$B24,Bets!$I:$I,"&gt;="&amp;$C24,Bets!$M:$M,"&lt;&gt;")</f>
        <v>0</v>
      </c>
      <c r="F24" s="10">
        <f ca="1">COUNTIFS(Bets!$I:$I,"&lt;="&amp;$B24,Bets!$I:$I,"&gt;="&amp;$C24,Bets!$M:$M,"win",Bets!$B:$B,"&lt;&gt;")</f>
        <v>0</v>
      </c>
      <c r="G24" s="10">
        <f ca="1">COUNTIFS(Bets!$I:$I,"&lt;="&amp;$B24,Bets!$I:$I,"&gt;="&amp;$C24,Bets!$M:$M,"loss",Bets!$B:$B,"&lt;&gt;")</f>
        <v>0</v>
      </c>
      <c r="H24" s="12">
        <f ca="1">SUMIFS(Bets!N:N,Bets!$I:$I,"&lt;="&amp;$B24,Bets!$I:$I,"&gt;="&amp;$C24)</f>
        <v>0</v>
      </c>
      <c r="I24" s="18" t="str">
        <f t="shared" ca="1" si="2"/>
        <v/>
      </c>
      <c r="AJ24" s="10">
        <v>0.85</v>
      </c>
      <c r="AK24" s="10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2">
        <f ca="1">SUMIFS(Bets!K:K,Bets!$I:$I,"&lt;="&amp;$B25,Bets!$I:$I,"&gt;="&amp;$C25,Bets!$M:$M,"&lt;&gt;")</f>
        <v>187.5</v>
      </c>
      <c r="E25" s="12">
        <f ca="1">SUMIFS(Bets!L:L,Bets!$I:$I,"&lt;="&amp;$B25,Bets!$I:$I,"&gt;="&amp;$C25,Bets!$M:$M,"&lt;&gt;")</f>
        <v>9</v>
      </c>
      <c r="F25" s="10">
        <f ca="1">COUNTIFS(Bets!$I:$I,"&lt;="&amp;$B25,Bets!$I:$I,"&gt;="&amp;$C25,Bets!$M:$M,"win",Bets!$B:$B,"&lt;&gt;")</f>
        <v>2</v>
      </c>
      <c r="G25" s="10">
        <f ca="1">COUNTIFS(Bets!$I:$I,"&lt;="&amp;$B25,Bets!$I:$I,"&gt;="&amp;$C25,Bets!$M:$M,"loss",Bets!$B:$B,"&lt;&gt;")</f>
        <v>0</v>
      </c>
      <c r="H25" s="12">
        <f ca="1">SUMIFS(Bets!N:N,Bets!$I:$I,"&lt;="&amp;$B25,Bets!$I:$I,"&gt;="&amp;$C25)</f>
        <v>9</v>
      </c>
      <c r="I25" s="18">
        <f t="shared" ca="1" si="2"/>
        <v>4.8000000000000001E-2</v>
      </c>
      <c r="AJ25" s="10">
        <v>0.9</v>
      </c>
      <c r="AK25" s="10">
        <f>100/101</f>
        <v>0.99009900990099009</v>
      </c>
    </row>
    <row r="26" spans="1:37" x14ac:dyDescent="0.3">
      <c r="A26" s="13" t="s">
        <v>126</v>
      </c>
      <c r="B26" s="15">
        <f>IFERROR(ROUND(IF(AJ26&lt;=0.5,(1-AJ26)/AJ26*100,AJ26/(1-AJ26)*-100),0),"")</f>
        <v>10000</v>
      </c>
      <c r="C26" s="15">
        <f>IFERROR(ROUND(IF(AK26&lt;=0.5, (1-AK26)/AK26*100, AK26/(1-AK26)*-100),0),"")+1</f>
        <v>-9999</v>
      </c>
      <c r="D26" s="14">
        <f ca="1">SUMIFS(Bets!K:K,Bets!$I:$I,"&lt;="&amp;$B26,Bets!$I:$I,"&gt;="&amp;$C26,Bets!$M:$M,"&lt;&gt;")</f>
        <v>964.93</v>
      </c>
      <c r="E26" s="14">
        <f ca="1">SUMIFS(Bets!L:L,Bets!$I:$I,"&lt;="&amp;$B26,Bets!$I:$I,"&gt;="&amp;$C26,Bets!$M:$M,"&lt;&gt;")</f>
        <v>980.21347387016021</v>
      </c>
      <c r="F26" s="16">
        <f ca="1">COUNTIFS(Bets!$I:$I,"&lt;="&amp;$B26,Bets!$I:$I,"&gt;="&amp;$C26,Bets!$M:$M,"win",Bets!$B:$B,"&lt;&gt;")</f>
        <v>17</v>
      </c>
      <c r="G26" s="16">
        <f ca="1">COUNTIFS(Bets!$I:$I,"&lt;="&amp;$B26,Bets!$I:$I,"&gt;="&amp;$C26,Bets!$M:$M,"loss",Bets!$B:$B,"&lt;&gt;")</f>
        <v>22</v>
      </c>
      <c r="H26" s="14">
        <f ca="1">SUMIFS(Bets!N:N,Bets!$I:$I,"&lt;="&amp;$B26,Bets!$I:$I,"&gt;="&amp;$C26)</f>
        <v>20.195000000000004</v>
      </c>
      <c r="I26" s="19">
        <f ca="1">IFERROR((H26)/D26,"")</f>
        <v>2.0928979304198236E-2</v>
      </c>
      <c r="AJ26">
        <f>1/101</f>
        <v>9.9009900990099011E-3</v>
      </c>
      <c r="AK26" s="10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E9" sqref="E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1" t="s">
        <v>2</v>
      </c>
      <c r="B1" s="11" t="s">
        <v>99</v>
      </c>
      <c r="C1" s="11" t="s">
        <v>22</v>
      </c>
      <c r="D1" s="11" t="s">
        <v>100</v>
      </c>
      <c r="E1" s="11" t="s">
        <v>98</v>
      </c>
      <c r="F1" s="11" t="s">
        <v>103</v>
      </c>
    </row>
    <row r="2" spans="1:6" hidden="1" x14ac:dyDescent="0.3">
      <c r="A2" s="20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20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20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20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20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20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20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20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20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20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20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20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20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20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20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20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20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20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20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20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20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20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20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20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20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20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20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20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20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20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20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20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20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20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20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20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20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20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20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20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20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20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20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20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20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20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20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20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20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20">
        <v>43484</v>
      </c>
      <c r="B51">
        <f>COUNTIFS(Bets!$B:$B,'By Day'!$A51,Bets!$M:$M,"win")</f>
        <v>4</v>
      </c>
      <c r="C51">
        <f>COUNTIFS(Bets!$B:$B,'By Day'!$A51,Bets!$M:$M,"loss")</f>
        <v>10</v>
      </c>
      <c r="D51">
        <f t="shared" si="0"/>
        <v>14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20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20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20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20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20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20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hidden="1" x14ac:dyDescent="0.3">
      <c r="A58" s="20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20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20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20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20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20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20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hidden="1" x14ac:dyDescent="0.3">
      <c r="A65" s="20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3">
      <c r="A66" s="20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3">
      <c r="A67" s="20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3">
      <c r="A68" s="20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3">
      <c r="A69" s="20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3">
      <c r="A70" s="20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3">
      <c r="A71" s="20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hidden="1" x14ac:dyDescent="0.3">
      <c r="A72" s="20">
        <v>43505</v>
      </c>
      <c r="B72">
        <f>COUNTIFS(Bets!$B:$B,'By Day'!$A72,Bets!$M:$M,"win")</f>
        <v>0</v>
      </c>
      <c r="C72">
        <f>COUNTIFS(Bets!$B:$B,'By Day'!$A72,Bets!$M:$M,"loss")</f>
        <v>0</v>
      </c>
      <c r="D72">
        <f t="shared" si="1"/>
        <v>0</v>
      </c>
      <c r="E72" s="7">
        <f>SUMIFS(Bets!N:N,Bets!B:B,'By Day'!$A72)</f>
        <v>0</v>
      </c>
      <c r="F72" s="7">
        <f ca="1">SUM($E$2:E72)</f>
        <v>20.195000000000004</v>
      </c>
    </row>
    <row r="73" spans="1:6" hidden="1" x14ac:dyDescent="0.3">
      <c r="A73" s="20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20.195000000000004</v>
      </c>
    </row>
    <row r="74" spans="1:6" hidden="1" x14ac:dyDescent="0.3">
      <c r="A74" s="20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20.195000000000004</v>
      </c>
    </row>
    <row r="75" spans="1:6" hidden="1" x14ac:dyDescent="0.3">
      <c r="A75" s="20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20.195000000000004</v>
      </c>
    </row>
    <row r="76" spans="1:6" hidden="1" x14ac:dyDescent="0.3">
      <c r="A76" s="20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20.195000000000004</v>
      </c>
    </row>
    <row r="77" spans="1:6" hidden="1" x14ac:dyDescent="0.3">
      <c r="A77" s="20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20.195000000000004</v>
      </c>
    </row>
    <row r="78" spans="1:6" hidden="1" x14ac:dyDescent="0.3">
      <c r="A78" s="20">
        <v>43511</v>
      </c>
      <c r="B78">
        <f>COUNTIFS(Bets!$B:$B,'By Day'!$A78,Bets!$M:$M,"win")</f>
        <v>0</v>
      </c>
      <c r="C78">
        <f>COUNTIFS(Bets!$B:$B,'By Day'!$A78,Bets!$M:$M,"loss")</f>
        <v>0</v>
      </c>
      <c r="D78">
        <f t="shared" si="1"/>
        <v>0</v>
      </c>
      <c r="E78" s="7">
        <f>SUMIFS(Bets!N:N,Bets!B:B,'By Day'!$A78)</f>
        <v>0</v>
      </c>
      <c r="F78" s="7">
        <f ca="1">SUM($E$2:E78)</f>
        <v>20.195000000000004</v>
      </c>
    </row>
    <row r="79" spans="1:6" hidden="1" x14ac:dyDescent="0.3">
      <c r="A79" s="20">
        <v>43512</v>
      </c>
      <c r="B79">
        <f>COUNTIFS(Bets!$B:$B,'By Day'!$A79,Bets!$M:$M,"win")</f>
        <v>0</v>
      </c>
      <c r="C79">
        <f>COUNTIFS(Bets!$B:$B,'By Day'!$A79,Bets!$M:$M,"loss")</f>
        <v>0</v>
      </c>
      <c r="D79">
        <f t="shared" si="1"/>
        <v>0</v>
      </c>
      <c r="E79" s="7">
        <f>SUMIFS(Bets!N:N,Bets!B:B,'By Day'!$A79)</f>
        <v>0</v>
      </c>
      <c r="F79" s="7">
        <f ca="1">SUM($E$2:E79)</f>
        <v>20.195000000000004</v>
      </c>
    </row>
    <row r="80" spans="1:6" hidden="1" x14ac:dyDescent="0.3">
      <c r="A80" s="20">
        <v>43513</v>
      </c>
      <c r="B80">
        <f>COUNTIFS(Bets!$B:$B,'By Day'!$A80,Bets!$M:$M,"win")</f>
        <v>0</v>
      </c>
      <c r="C80">
        <f>COUNTIFS(Bets!$B:$B,'By Day'!$A80,Bets!$M:$M,"loss")</f>
        <v>0</v>
      </c>
      <c r="D80">
        <f t="shared" si="1"/>
        <v>0</v>
      </c>
      <c r="E80" s="7">
        <f>SUMIFS(Bets!N:N,Bets!B:B,'By Day'!$A80)</f>
        <v>0</v>
      </c>
      <c r="F80" s="7">
        <f ca="1">SUM($E$2:E80)</f>
        <v>20.195000000000004</v>
      </c>
    </row>
    <row r="81" spans="1:6" hidden="1" x14ac:dyDescent="0.3">
      <c r="A81" s="20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20.195000000000004</v>
      </c>
    </row>
    <row r="82" spans="1:6" hidden="1" x14ac:dyDescent="0.3">
      <c r="A82" s="20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20.195000000000004</v>
      </c>
    </row>
    <row r="83" spans="1:6" hidden="1" x14ac:dyDescent="0.3">
      <c r="A83" s="20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20.195000000000004</v>
      </c>
    </row>
    <row r="84" spans="1:6" hidden="1" x14ac:dyDescent="0.3">
      <c r="A84" s="20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20.195000000000004</v>
      </c>
    </row>
    <row r="85" spans="1:6" hidden="1" x14ac:dyDescent="0.3">
      <c r="A85" s="20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20.195000000000004</v>
      </c>
    </row>
    <row r="86" spans="1:6" hidden="1" x14ac:dyDescent="0.3">
      <c r="A86" s="20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>SUMIFS(Bets!N:N,Bets!B:B,'By Day'!$A86)</f>
        <v>0</v>
      </c>
      <c r="F86" s="7">
        <f ca="1">SUM($E$2:E86)</f>
        <v>20.195000000000004</v>
      </c>
    </row>
    <row r="87" spans="1:6" hidden="1" x14ac:dyDescent="0.3">
      <c r="A87" s="20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20.195000000000004</v>
      </c>
    </row>
    <row r="88" spans="1:6" hidden="1" x14ac:dyDescent="0.3">
      <c r="A88" s="20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20.195000000000004</v>
      </c>
    </row>
    <row r="89" spans="1:6" hidden="1" x14ac:dyDescent="0.3">
      <c r="A89" s="20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20.195000000000004</v>
      </c>
    </row>
    <row r="90" spans="1:6" hidden="1" x14ac:dyDescent="0.3">
      <c r="A90" s="20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20.195000000000004</v>
      </c>
    </row>
    <row r="91" spans="1:6" hidden="1" x14ac:dyDescent="0.3">
      <c r="A91" s="20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20.195000000000004</v>
      </c>
    </row>
    <row r="92" spans="1:6" hidden="1" x14ac:dyDescent="0.3">
      <c r="A92" s="20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20.195000000000004</v>
      </c>
    </row>
    <row r="93" spans="1:6" hidden="1" x14ac:dyDescent="0.3">
      <c r="A93" s="20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20.195000000000004</v>
      </c>
    </row>
    <row r="94" spans="1:6" hidden="1" x14ac:dyDescent="0.3">
      <c r="A94" s="20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20.195000000000004</v>
      </c>
    </row>
    <row r="95" spans="1:6" hidden="1" x14ac:dyDescent="0.3">
      <c r="A95" s="20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20.195000000000004</v>
      </c>
    </row>
    <row r="96" spans="1:6" hidden="1" x14ac:dyDescent="0.3">
      <c r="A96" s="20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20.195000000000004</v>
      </c>
    </row>
    <row r="97" spans="1:6" hidden="1" x14ac:dyDescent="0.3">
      <c r="A97" s="20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20.195000000000004</v>
      </c>
    </row>
    <row r="98" spans="1:6" hidden="1" x14ac:dyDescent="0.3">
      <c r="A98" s="20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20.195000000000004</v>
      </c>
    </row>
    <row r="99" spans="1:6" hidden="1" x14ac:dyDescent="0.3">
      <c r="A99" s="20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20.195000000000004</v>
      </c>
    </row>
    <row r="100" spans="1:6" hidden="1" x14ac:dyDescent="0.3">
      <c r="A100" s="20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20.195000000000004</v>
      </c>
    </row>
    <row r="101" spans="1:6" hidden="1" x14ac:dyDescent="0.3">
      <c r="A101" s="20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20.195000000000004</v>
      </c>
    </row>
    <row r="102" spans="1:6" hidden="1" x14ac:dyDescent="0.3">
      <c r="A102" s="20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20.195000000000004</v>
      </c>
    </row>
    <row r="103" spans="1:6" hidden="1" x14ac:dyDescent="0.3">
      <c r="A103" s="20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20.195000000000004</v>
      </c>
    </row>
    <row r="104" spans="1:6" hidden="1" x14ac:dyDescent="0.3">
      <c r="A104" s="20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20.195000000000004</v>
      </c>
    </row>
    <row r="105" spans="1:6" hidden="1" x14ac:dyDescent="0.3">
      <c r="A105" s="20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20.195000000000004</v>
      </c>
    </row>
    <row r="106" spans="1:6" hidden="1" x14ac:dyDescent="0.3">
      <c r="A106" s="20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20.195000000000004</v>
      </c>
    </row>
    <row r="107" spans="1:6" hidden="1" x14ac:dyDescent="0.3">
      <c r="A107" s="20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20.195000000000004</v>
      </c>
    </row>
    <row r="108" spans="1:6" hidden="1" x14ac:dyDescent="0.3">
      <c r="A108" s="20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20.195000000000004</v>
      </c>
    </row>
    <row r="109" spans="1:6" hidden="1" x14ac:dyDescent="0.3">
      <c r="A109" s="20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20.195000000000004</v>
      </c>
    </row>
    <row r="110" spans="1:6" hidden="1" x14ac:dyDescent="0.3">
      <c r="A110" s="20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20.195000000000004</v>
      </c>
    </row>
    <row r="111" spans="1:6" hidden="1" x14ac:dyDescent="0.3">
      <c r="A111" s="20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20.195000000000004</v>
      </c>
    </row>
    <row r="112" spans="1:6" hidden="1" x14ac:dyDescent="0.3">
      <c r="A112" s="20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20.195000000000004</v>
      </c>
    </row>
    <row r="113" spans="1:6" hidden="1" x14ac:dyDescent="0.3">
      <c r="A113" s="20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20.195000000000004</v>
      </c>
    </row>
    <row r="114" spans="1:6" hidden="1" x14ac:dyDescent="0.3">
      <c r="A114" s="20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20.195000000000004</v>
      </c>
    </row>
    <row r="115" spans="1:6" hidden="1" x14ac:dyDescent="0.3">
      <c r="A115" s="20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20.195000000000004</v>
      </c>
    </row>
    <row r="116" spans="1:6" hidden="1" x14ac:dyDescent="0.3">
      <c r="A116" s="20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20.195000000000004</v>
      </c>
    </row>
    <row r="117" spans="1:6" hidden="1" x14ac:dyDescent="0.3">
      <c r="A117" s="20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20.195000000000004</v>
      </c>
    </row>
    <row r="118" spans="1:6" hidden="1" x14ac:dyDescent="0.3">
      <c r="A118" s="20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20.195000000000004</v>
      </c>
    </row>
    <row r="119" spans="1:6" hidden="1" x14ac:dyDescent="0.3">
      <c r="A119" s="20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20.195000000000004</v>
      </c>
    </row>
    <row r="120" spans="1:6" hidden="1" x14ac:dyDescent="0.3">
      <c r="A120" s="20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20.195000000000004</v>
      </c>
    </row>
    <row r="121" spans="1:6" hidden="1" x14ac:dyDescent="0.3">
      <c r="A121" s="20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20.195000000000004</v>
      </c>
    </row>
    <row r="122" spans="1:6" hidden="1" x14ac:dyDescent="0.3">
      <c r="A122" s="20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20.195000000000004</v>
      </c>
    </row>
    <row r="123" spans="1:6" hidden="1" x14ac:dyDescent="0.3">
      <c r="A123" s="20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20.195000000000004</v>
      </c>
    </row>
    <row r="124" spans="1:6" hidden="1" x14ac:dyDescent="0.3">
      <c r="A124" s="20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20.195000000000004</v>
      </c>
    </row>
    <row r="125" spans="1:6" hidden="1" x14ac:dyDescent="0.3">
      <c r="A125" s="20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20.195000000000004</v>
      </c>
    </row>
    <row r="126" spans="1:6" hidden="1" x14ac:dyDescent="0.3">
      <c r="A126" s="20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20.195000000000004</v>
      </c>
    </row>
    <row r="127" spans="1:6" hidden="1" x14ac:dyDescent="0.3">
      <c r="A127" s="20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20.195000000000004</v>
      </c>
    </row>
    <row r="128" spans="1:6" hidden="1" x14ac:dyDescent="0.3">
      <c r="A128" s="20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20.195000000000004</v>
      </c>
    </row>
    <row r="129" spans="1:6" hidden="1" x14ac:dyDescent="0.3">
      <c r="A129" s="20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20.195000000000004</v>
      </c>
    </row>
    <row r="130" spans="1:6" hidden="1" x14ac:dyDescent="0.3">
      <c r="A130" s="20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20.195000000000004</v>
      </c>
    </row>
    <row r="131" spans="1:6" hidden="1" x14ac:dyDescent="0.3">
      <c r="A131" s="20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20.195000000000004</v>
      </c>
    </row>
    <row r="132" spans="1:6" hidden="1" x14ac:dyDescent="0.3">
      <c r="A132" s="20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20.195000000000004</v>
      </c>
    </row>
    <row r="133" spans="1:6" hidden="1" x14ac:dyDescent="0.3">
      <c r="A133" s="20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20.195000000000004</v>
      </c>
    </row>
    <row r="134" spans="1:6" hidden="1" x14ac:dyDescent="0.3">
      <c r="A134" s="20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20.195000000000004</v>
      </c>
    </row>
    <row r="135" spans="1:6" hidden="1" x14ac:dyDescent="0.3">
      <c r="A135" s="20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20.195000000000004</v>
      </c>
    </row>
    <row r="136" spans="1:6" hidden="1" x14ac:dyDescent="0.3">
      <c r="A136" s="20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20.195000000000004</v>
      </c>
    </row>
    <row r="137" spans="1:6" hidden="1" x14ac:dyDescent="0.3">
      <c r="A137" s="20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20.195000000000004</v>
      </c>
    </row>
    <row r="138" spans="1:6" hidden="1" x14ac:dyDescent="0.3">
      <c r="A138" s="20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20.195000000000004</v>
      </c>
    </row>
    <row r="139" spans="1:6" hidden="1" x14ac:dyDescent="0.3">
      <c r="A139" s="20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20.195000000000004</v>
      </c>
    </row>
    <row r="140" spans="1:6" hidden="1" x14ac:dyDescent="0.3">
      <c r="A140" s="20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20.195000000000004</v>
      </c>
    </row>
    <row r="141" spans="1:6" hidden="1" x14ac:dyDescent="0.3">
      <c r="A141" s="20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20.195000000000004</v>
      </c>
    </row>
    <row r="142" spans="1:6" hidden="1" x14ac:dyDescent="0.3">
      <c r="A142" s="20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20.195000000000004</v>
      </c>
    </row>
    <row r="143" spans="1:6" hidden="1" x14ac:dyDescent="0.3">
      <c r="A143" s="20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20.195000000000004</v>
      </c>
    </row>
    <row r="144" spans="1:6" hidden="1" x14ac:dyDescent="0.3">
      <c r="A144" s="20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20.195000000000004</v>
      </c>
    </row>
    <row r="145" spans="1:6" hidden="1" x14ac:dyDescent="0.3">
      <c r="A145" s="20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20.195000000000004</v>
      </c>
    </row>
    <row r="146" spans="1:6" hidden="1" x14ac:dyDescent="0.3">
      <c r="A146" s="20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20.195000000000004</v>
      </c>
    </row>
    <row r="147" spans="1:6" hidden="1" x14ac:dyDescent="0.3">
      <c r="A147" s="20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20.195000000000004</v>
      </c>
    </row>
    <row r="148" spans="1:6" hidden="1" x14ac:dyDescent="0.3">
      <c r="A148" s="20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20.195000000000004</v>
      </c>
    </row>
    <row r="149" spans="1:6" hidden="1" x14ac:dyDescent="0.3">
      <c r="A149" s="20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20.195000000000004</v>
      </c>
    </row>
    <row r="150" spans="1:6" hidden="1" x14ac:dyDescent="0.3">
      <c r="A150" s="20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20.195000000000004</v>
      </c>
    </row>
    <row r="151" spans="1:6" hidden="1" x14ac:dyDescent="0.3">
      <c r="A151" s="20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20.195000000000004</v>
      </c>
    </row>
    <row r="152" spans="1:6" hidden="1" x14ac:dyDescent="0.3">
      <c r="A152" s="20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20.195000000000004</v>
      </c>
    </row>
    <row r="153" spans="1:6" hidden="1" x14ac:dyDescent="0.3">
      <c r="A153" s="20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20.195000000000004</v>
      </c>
    </row>
    <row r="154" spans="1:6" hidden="1" x14ac:dyDescent="0.3">
      <c r="A154" s="20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20.195000000000004</v>
      </c>
    </row>
    <row r="155" spans="1:6" hidden="1" x14ac:dyDescent="0.3">
      <c r="A155" s="20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20.195000000000004</v>
      </c>
    </row>
    <row r="156" spans="1:6" hidden="1" x14ac:dyDescent="0.3">
      <c r="A156" s="20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20.195000000000004</v>
      </c>
    </row>
    <row r="157" spans="1:6" hidden="1" x14ac:dyDescent="0.3">
      <c r="A157" s="20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20.195000000000004</v>
      </c>
    </row>
    <row r="158" spans="1:6" hidden="1" x14ac:dyDescent="0.3">
      <c r="A158" s="20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20.195000000000004</v>
      </c>
    </row>
    <row r="159" spans="1:6" hidden="1" x14ac:dyDescent="0.3">
      <c r="A159" s="20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20.195000000000004</v>
      </c>
    </row>
    <row r="160" spans="1:6" hidden="1" x14ac:dyDescent="0.3">
      <c r="A160" s="20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20.195000000000004</v>
      </c>
    </row>
    <row r="161" spans="1:6" hidden="1" x14ac:dyDescent="0.3">
      <c r="A161" s="20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20.195000000000004</v>
      </c>
    </row>
    <row r="162" spans="1:6" hidden="1" x14ac:dyDescent="0.3">
      <c r="A162" s="20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20.195000000000004</v>
      </c>
    </row>
    <row r="163" spans="1:6" hidden="1" x14ac:dyDescent="0.3">
      <c r="A163" s="20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20.195000000000004</v>
      </c>
    </row>
    <row r="164" spans="1:6" hidden="1" x14ac:dyDescent="0.3">
      <c r="A164" s="20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20.195000000000004</v>
      </c>
    </row>
    <row r="165" spans="1:6" hidden="1" x14ac:dyDescent="0.3">
      <c r="A165" s="20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20.195000000000004</v>
      </c>
    </row>
    <row r="166" spans="1:6" hidden="1" x14ac:dyDescent="0.3">
      <c r="A166" s="20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20.195000000000004</v>
      </c>
    </row>
    <row r="167" spans="1:6" hidden="1" x14ac:dyDescent="0.3">
      <c r="A167" s="20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20.195000000000004</v>
      </c>
    </row>
    <row r="168" spans="1:6" hidden="1" x14ac:dyDescent="0.3">
      <c r="A168" s="20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20.195000000000004</v>
      </c>
    </row>
    <row r="169" spans="1:6" hidden="1" x14ac:dyDescent="0.3">
      <c r="A169" s="20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20.195000000000004</v>
      </c>
    </row>
    <row r="170" spans="1:6" hidden="1" x14ac:dyDescent="0.3">
      <c r="A170" s="20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20.195000000000004</v>
      </c>
    </row>
    <row r="171" spans="1:6" hidden="1" x14ac:dyDescent="0.3">
      <c r="A171" s="20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20.195000000000004</v>
      </c>
    </row>
    <row r="172" spans="1:6" hidden="1" x14ac:dyDescent="0.3">
      <c r="A172" s="20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20.195000000000004</v>
      </c>
    </row>
    <row r="173" spans="1:6" hidden="1" x14ac:dyDescent="0.3">
      <c r="A173" s="20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20.195000000000004</v>
      </c>
    </row>
    <row r="174" spans="1:6" hidden="1" x14ac:dyDescent="0.3">
      <c r="A174" s="20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20.195000000000004</v>
      </c>
    </row>
    <row r="175" spans="1:6" hidden="1" x14ac:dyDescent="0.3">
      <c r="A175" s="20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20.195000000000004</v>
      </c>
    </row>
    <row r="176" spans="1:6" hidden="1" x14ac:dyDescent="0.3">
      <c r="A176" s="20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20.195000000000004</v>
      </c>
    </row>
    <row r="177" spans="1:6" hidden="1" x14ac:dyDescent="0.3">
      <c r="A177" s="20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20.195000000000004</v>
      </c>
    </row>
    <row r="178" spans="1:6" hidden="1" x14ac:dyDescent="0.3">
      <c r="A178" s="20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20.195000000000004</v>
      </c>
    </row>
    <row r="179" spans="1:6" hidden="1" x14ac:dyDescent="0.3">
      <c r="A179" s="20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20.195000000000004</v>
      </c>
    </row>
    <row r="180" spans="1:6" hidden="1" x14ac:dyDescent="0.3">
      <c r="A180" s="20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20.195000000000004</v>
      </c>
    </row>
    <row r="181" spans="1:6" hidden="1" x14ac:dyDescent="0.3">
      <c r="A181" s="20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20.195000000000004</v>
      </c>
    </row>
    <row r="182" spans="1:6" hidden="1" x14ac:dyDescent="0.3">
      <c r="A182" s="20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20.195000000000004</v>
      </c>
    </row>
    <row r="183" spans="1:6" hidden="1" x14ac:dyDescent="0.3">
      <c r="A183" s="20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20.195000000000004</v>
      </c>
    </row>
    <row r="184" spans="1:6" hidden="1" x14ac:dyDescent="0.3">
      <c r="A184" s="20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20.195000000000004</v>
      </c>
    </row>
    <row r="185" spans="1:6" hidden="1" x14ac:dyDescent="0.3">
      <c r="A185" s="20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20.195000000000004</v>
      </c>
    </row>
    <row r="186" spans="1:6" hidden="1" x14ac:dyDescent="0.3">
      <c r="A186" s="20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20.195000000000004</v>
      </c>
    </row>
    <row r="187" spans="1:6" hidden="1" x14ac:dyDescent="0.3">
      <c r="A187" s="20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20.195000000000004</v>
      </c>
    </row>
    <row r="188" spans="1:6" hidden="1" x14ac:dyDescent="0.3">
      <c r="A188" s="20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20.195000000000004</v>
      </c>
    </row>
    <row r="189" spans="1:6" hidden="1" x14ac:dyDescent="0.3">
      <c r="A189" s="20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20.195000000000004</v>
      </c>
    </row>
    <row r="190" spans="1:6" hidden="1" x14ac:dyDescent="0.3">
      <c r="A190" s="20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20.195000000000004</v>
      </c>
    </row>
    <row r="191" spans="1:6" hidden="1" x14ac:dyDescent="0.3">
      <c r="A191" s="20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20.195000000000004</v>
      </c>
    </row>
    <row r="192" spans="1:6" hidden="1" x14ac:dyDescent="0.3">
      <c r="A192" s="20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20.195000000000004</v>
      </c>
    </row>
    <row r="193" spans="1:6" hidden="1" x14ac:dyDescent="0.3">
      <c r="A193" s="20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20.195000000000004</v>
      </c>
    </row>
    <row r="194" spans="1:6" hidden="1" x14ac:dyDescent="0.3">
      <c r="A194" s="20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20.195000000000004</v>
      </c>
    </row>
    <row r="195" spans="1:6" hidden="1" x14ac:dyDescent="0.3">
      <c r="A195" s="20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20.195000000000004</v>
      </c>
    </row>
    <row r="196" spans="1:6" hidden="1" x14ac:dyDescent="0.3">
      <c r="A196" s="20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20.195000000000004</v>
      </c>
    </row>
    <row r="197" spans="1:6" hidden="1" x14ac:dyDescent="0.3">
      <c r="A197" s="20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20.195000000000004</v>
      </c>
    </row>
    <row r="198" spans="1:6" hidden="1" x14ac:dyDescent="0.3">
      <c r="A198" s="20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20.195000000000004</v>
      </c>
    </row>
    <row r="199" spans="1:6" hidden="1" x14ac:dyDescent="0.3">
      <c r="A199" s="20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20.195000000000004</v>
      </c>
    </row>
    <row r="200" spans="1:6" hidden="1" x14ac:dyDescent="0.3">
      <c r="A200" s="20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20.195000000000004</v>
      </c>
    </row>
    <row r="201" spans="1:6" hidden="1" x14ac:dyDescent="0.3">
      <c r="A201" s="20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20.195000000000004</v>
      </c>
    </row>
    <row r="202" spans="1:6" hidden="1" x14ac:dyDescent="0.3">
      <c r="A202" s="20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20.195000000000004</v>
      </c>
    </row>
    <row r="203" spans="1:6" hidden="1" x14ac:dyDescent="0.3">
      <c r="A203" s="20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20.195000000000004</v>
      </c>
    </row>
    <row r="204" spans="1:6" hidden="1" x14ac:dyDescent="0.3">
      <c r="A204" s="20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20.195000000000004</v>
      </c>
    </row>
    <row r="205" spans="1:6" hidden="1" x14ac:dyDescent="0.3">
      <c r="A205" s="20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20.195000000000004</v>
      </c>
    </row>
    <row r="206" spans="1:6" hidden="1" x14ac:dyDescent="0.3">
      <c r="A206" s="20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20.195000000000004</v>
      </c>
    </row>
    <row r="207" spans="1:6" hidden="1" x14ac:dyDescent="0.3">
      <c r="A207" s="20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20.195000000000004</v>
      </c>
    </row>
    <row r="208" spans="1:6" hidden="1" x14ac:dyDescent="0.3">
      <c r="A208" s="20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20.195000000000004</v>
      </c>
    </row>
    <row r="209" spans="1:6" hidden="1" x14ac:dyDescent="0.3">
      <c r="A209" s="20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20.195000000000004</v>
      </c>
    </row>
    <row r="210" spans="1:6" hidden="1" x14ac:dyDescent="0.3">
      <c r="A210" s="20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20.195000000000004</v>
      </c>
    </row>
    <row r="211" spans="1:6" hidden="1" x14ac:dyDescent="0.3">
      <c r="A211" s="20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20.195000000000004</v>
      </c>
    </row>
    <row r="212" spans="1:6" hidden="1" x14ac:dyDescent="0.3">
      <c r="A212" s="20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20.195000000000004</v>
      </c>
    </row>
    <row r="213" spans="1:6" hidden="1" x14ac:dyDescent="0.3">
      <c r="A213" s="20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20.195000000000004</v>
      </c>
    </row>
    <row r="214" spans="1:6" hidden="1" x14ac:dyDescent="0.3">
      <c r="A214" s="20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20.195000000000004</v>
      </c>
    </row>
    <row r="215" spans="1:6" hidden="1" x14ac:dyDescent="0.3">
      <c r="A215" s="20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20.195000000000004</v>
      </c>
    </row>
    <row r="216" spans="1:6" hidden="1" x14ac:dyDescent="0.3">
      <c r="A216" s="20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20.195000000000004</v>
      </c>
    </row>
    <row r="217" spans="1:6" hidden="1" x14ac:dyDescent="0.3">
      <c r="A217" s="20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20.195000000000004</v>
      </c>
    </row>
    <row r="218" spans="1:6" hidden="1" x14ac:dyDescent="0.3">
      <c r="A218" s="20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20.195000000000004</v>
      </c>
    </row>
    <row r="219" spans="1:6" hidden="1" x14ac:dyDescent="0.3">
      <c r="A219" s="20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20.195000000000004</v>
      </c>
    </row>
    <row r="220" spans="1:6" hidden="1" x14ac:dyDescent="0.3">
      <c r="A220" s="20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20.195000000000004</v>
      </c>
    </row>
    <row r="221" spans="1:6" hidden="1" x14ac:dyDescent="0.3">
      <c r="A221" s="20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20.195000000000004</v>
      </c>
    </row>
    <row r="222" spans="1:6" hidden="1" x14ac:dyDescent="0.3">
      <c r="A222" s="20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20.195000000000004</v>
      </c>
    </row>
    <row r="223" spans="1:6" hidden="1" x14ac:dyDescent="0.3">
      <c r="A223" s="20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20.195000000000004</v>
      </c>
    </row>
    <row r="224" spans="1:6" hidden="1" x14ac:dyDescent="0.3">
      <c r="A224" s="20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20.195000000000004</v>
      </c>
    </row>
    <row r="225" spans="1:6" hidden="1" x14ac:dyDescent="0.3">
      <c r="A225" s="20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20.195000000000004</v>
      </c>
    </row>
    <row r="226" spans="1:6" hidden="1" x14ac:dyDescent="0.3">
      <c r="A226" s="20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20.195000000000004</v>
      </c>
    </row>
    <row r="227" spans="1:6" hidden="1" x14ac:dyDescent="0.3">
      <c r="A227" s="20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20.195000000000004</v>
      </c>
    </row>
    <row r="228" spans="1:6" hidden="1" x14ac:dyDescent="0.3">
      <c r="A228" s="20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20.195000000000004</v>
      </c>
    </row>
    <row r="229" spans="1:6" hidden="1" x14ac:dyDescent="0.3">
      <c r="A229" s="20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20.195000000000004</v>
      </c>
    </row>
    <row r="230" spans="1:6" hidden="1" x14ac:dyDescent="0.3">
      <c r="A230" s="20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20.195000000000004</v>
      </c>
    </row>
    <row r="231" spans="1:6" hidden="1" x14ac:dyDescent="0.3">
      <c r="A231" s="20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20.195000000000004</v>
      </c>
    </row>
    <row r="232" spans="1:6" hidden="1" x14ac:dyDescent="0.3">
      <c r="A232" s="20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20.195000000000004</v>
      </c>
    </row>
    <row r="233" spans="1:6" hidden="1" x14ac:dyDescent="0.3">
      <c r="A233" s="20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20.195000000000004</v>
      </c>
    </row>
    <row r="234" spans="1:6" hidden="1" x14ac:dyDescent="0.3">
      <c r="A234" s="20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20.195000000000004</v>
      </c>
    </row>
    <row r="235" spans="1:6" hidden="1" x14ac:dyDescent="0.3">
      <c r="A235" s="20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20.195000000000004</v>
      </c>
    </row>
    <row r="236" spans="1:6" hidden="1" x14ac:dyDescent="0.3">
      <c r="A236" s="20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20.195000000000004</v>
      </c>
    </row>
    <row r="237" spans="1:6" hidden="1" x14ac:dyDescent="0.3">
      <c r="A237" s="20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20.195000000000004</v>
      </c>
    </row>
    <row r="238" spans="1:6" hidden="1" x14ac:dyDescent="0.3">
      <c r="A238" s="20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20.195000000000004</v>
      </c>
    </row>
    <row r="239" spans="1:6" hidden="1" x14ac:dyDescent="0.3">
      <c r="A239" s="20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20.195000000000004</v>
      </c>
    </row>
    <row r="240" spans="1:6" hidden="1" x14ac:dyDescent="0.3">
      <c r="A240" s="20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20.195000000000004</v>
      </c>
    </row>
    <row r="241" spans="1:6" hidden="1" x14ac:dyDescent="0.3">
      <c r="A241" s="20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20.195000000000004</v>
      </c>
    </row>
    <row r="242" spans="1:6" hidden="1" x14ac:dyDescent="0.3">
      <c r="A242" s="20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20.195000000000004</v>
      </c>
    </row>
    <row r="243" spans="1:6" hidden="1" x14ac:dyDescent="0.3">
      <c r="A243" s="20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20.195000000000004</v>
      </c>
    </row>
    <row r="244" spans="1:6" hidden="1" x14ac:dyDescent="0.3">
      <c r="A244" s="20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20.195000000000004</v>
      </c>
    </row>
    <row r="245" spans="1:6" hidden="1" x14ac:dyDescent="0.3">
      <c r="A245" s="20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20.195000000000004</v>
      </c>
    </row>
    <row r="246" spans="1:6" hidden="1" x14ac:dyDescent="0.3">
      <c r="A246" s="20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20.195000000000004</v>
      </c>
    </row>
    <row r="247" spans="1:6" hidden="1" x14ac:dyDescent="0.3">
      <c r="A247" s="20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20.195000000000004</v>
      </c>
    </row>
    <row r="248" spans="1:6" hidden="1" x14ac:dyDescent="0.3">
      <c r="A248" s="20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20.195000000000004</v>
      </c>
    </row>
    <row r="249" spans="1:6" hidden="1" x14ac:dyDescent="0.3">
      <c r="A249" s="20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20.195000000000004</v>
      </c>
    </row>
    <row r="250" spans="1:6" hidden="1" x14ac:dyDescent="0.3">
      <c r="A250" s="20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20.195000000000004</v>
      </c>
    </row>
    <row r="251" spans="1:6" hidden="1" x14ac:dyDescent="0.3">
      <c r="A251" s="20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20.195000000000004</v>
      </c>
    </row>
    <row r="252" spans="1:6" hidden="1" x14ac:dyDescent="0.3">
      <c r="A252" s="20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20.195000000000004</v>
      </c>
    </row>
    <row r="253" spans="1:6" hidden="1" x14ac:dyDescent="0.3">
      <c r="A253" s="20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20.195000000000004</v>
      </c>
    </row>
    <row r="254" spans="1:6" hidden="1" x14ac:dyDescent="0.3">
      <c r="A254" s="20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20.195000000000004</v>
      </c>
    </row>
    <row r="255" spans="1:6" hidden="1" x14ac:dyDescent="0.3">
      <c r="A255" s="20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20.195000000000004</v>
      </c>
    </row>
    <row r="256" spans="1:6" hidden="1" x14ac:dyDescent="0.3">
      <c r="A256" s="20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20.195000000000004</v>
      </c>
    </row>
    <row r="257" spans="1:6" hidden="1" x14ac:dyDescent="0.3">
      <c r="A257" s="20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20.195000000000004</v>
      </c>
    </row>
    <row r="258" spans="1:6" hidden="1" x14ac:dyDescent="0.3">
      <c r="A258" s="20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20.195000000000004</v>
      </c>
    </row>
    <row r="259" spans="1:6" hidden="1" x14ac:dyDescent="0.3">
      <c r="A259" s="20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20.195000000000004</v>
      </c>
    </row>
    <row r="260" spans="1:6" hidden="1" x14ac:dyDescent="0.3">
      <c r="A260" s="20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20.195000000000004</v>
      </c>
    </row>
    <row r="261" spans="1:6" hidden="1" x14ac:dyDescent="0.3">
      <c r="A261" s="20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20.195000000000004</v>
      </c>
    </row>
    <row r="262" spans="1:6" hidden="1" x14ac:dyDescent="0.3">
      <c r="A262" s="20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20.195000000000004</v>
      </c>
    </row>
    <row r="263" spans="1:6" hidden="1" x14ac:dyDescent="0.3">
      <c r="A263" s="20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20.195000000000004</v>
      </c>
    </row>
    <row r="264" spans="1:6" hidden="1" x14ac:dyDescent="0.3">
      <c r="A264" s="20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20.195000000000004</v>
      </c>
    </row>
    <row r="265" spans="1:6" hidden="1" x14ac:dyDescent="0.3">
      <c r="A265" s="20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20.195000000000004</v>
      </c>
    </row>
    <row r="266" spans="1:6" hidden="1" x14ac:dyDescent="0.3">
      <c r="A266" s="20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20.195000000000004</v>
      </c>
    </row>
    <row r="267" spans="1:6" hidden="1" x14ac:dyDescent="0.3">
      <c r="A267" s="20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20.195000000000004</v>
      </c>
    </row>
    <row r="268" spans="1:6" hidden="1" x14ac:dyDescent="0.3">
      <c r="A268" s="20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20.195000000000004</v>
      </c>
    </row>
    <row r="269" spans="1:6" hidden="1" x14ac:dyDescent="0.3">
      <c r="A269" s="20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20.195000000000004</v>
      </c>
    </row>
    <row r="270" spans="1:6" hidden="1" x14ac:dyDescent="0.3">
      <c r="A270" s="20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20.195000000000004</v>
      </c>
    </row>
    <row r="271" spans="1:6" hidden="1" x14ac:dyDescent="0.3">
      <c r="A271" s="20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20.195000000000004</v>
      </c>
    </row>
    <row r="272" spans="1:6" hidden="1" x14ac:dyDescent="0.3">
      <c r="A272" s="20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20.195000000000004</v>
      </c>
    </row>
    <row r="273" spans="1:6" hidden="1" x14ac:dyDescent="0.3">
      <c r="A273" s="20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20.195000000000004</v>
      </c>
    </row>
    <row r="274" spans="1:6" hidden="1" x14ac:dyDescent="0.3">
      <c r="A274" s="20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20.195000000000004</v>
      </c>
    </row>
    <row r="275" spans="1:6" hidden="1" x14ac:dyDescent="0.3">
      <c r="A275" s="20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20.195000000000004</v>
      </c>
    </row>
    <row r="276" spans="1:6" hidden="1" x14ac:dyDescent="0.3">
      <c r="A276" s="20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20.195000000000004</v>
      </c>
    </row>
    <row r="277" spans="1:6" hidden="1" x14ac:dyDescent="0.3">
      <c r="A277" s="20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20.195000000000004</v>
      </c>
    </row>
    <row r="278" spans="1:6" hidden="1" x14ac:dyDescent="0.3">
      <c r="A278" s="20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20.195000000000004</v>
      </c>
    </row>
    <row r="279" spans="1:6" hidden="1" x14ac:dyDescent="0.3">
      <c r="A279" s="20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20.195000000000004</v>
      </c>
    </row>
    <row r="280" spans="1:6" hidden="1" x14ac:dyDescent="0.3">
      <c r="A280" s="20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20.195000000000004</v>
      </c>
    </row>
    <row r="281" spans="1:6" hidden="1" x14ac:dyDescent="0.3">
      <c r="A281" s="20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20.195000000000004</v>
      </c>
    </row>
    <row r="282" spans="1:6" hidden="1" x14ac:dyDescent="0.3">
      <c r="A282" s="20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20.195000000000004</v>
      </c>
    </row>
    <row r="283" spans="1:6" hidden="1" x14ac:dyDescent="0.3">
      <c r="A283" s="20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20.195000000000004</v>
      </c>
    </row>
    <row r="284" spans="1:6" hidden="1" x14ac:dyDescent="0.3">
      <c r="A284" s="20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20.195000000000004</v>
      </c>
    </row>
    <row r="285" spans="1:6" hidden="1" x14ac:dyDescent="0.3">
      <c r="A285" s="20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20.195000000000004</v>
      </c>
    </row>
    <row r="286" spans="1:6" hidden="1" x14ac:dyDescent="0.3">
      <c r="A286" s="20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20.195000000000004</v>
      </c>
    </row>
    <row r="287" spans="1:6" hidden="1" x14ac:dyDescent="0.3">
      <c r="A287" s="20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20.195000000000004</v>
      </c>
    </row>
    <row r="288" spans="1:6" hidden="1" x14ac:dyDescent="0.3">
      <c r="A288" s="20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20.195000000000004</v>
      </c>
    </row>
    <row r="289" spans="1:6" hidden="1" x14ac:dyDescent="0.3">
      <c r="A289" s="20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20.195000000000004</v>
      </c>
    </row>
    <row r="290" spans="1:6" hidden="1" x14ac:dyDescent="0.3">
      <c r="A290" s="20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20.195000000000004</v>
      </c>
    </row>
    <row r="291" spans="1:6" hidden="1" x14ac:dyDescent="0.3">
      <c r="A291" s="20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20.195000000000004</v>
      </c>
    </row>
    <row r="292" spans="1:6" hidden="1" x14ac:dyDescent="0.3">
      <c r="A292" s="20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20.195000000000004</v>
      </c>
    </row>
    <row r="293" spans="1:6" hidden="1" x14ac:dyDescent="0.3">
      <c r="A293" s="20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20.195000000000004</v>
      </c>
    </row>
    <row r="294" spans="1:6" hidden="1" x14ac:dyDescent="0.3">
      <c r="A294" s="20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20.195000000000004</v>
      </c>
    </row>
    <row r="295" spans="1:6" hidden="1" x14ac:dyDescent="0.3">
      <c r="A295" s="20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20.195000000000004</v>
      </c>
    </row>
    <row r="296" spans="1:6" hidden="1" x14ac:dyDescent="0.3">
      <c r="A296" s="20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20.195000000000004</v>
      </c>
    </row>
    <row r="297" spans="1:6" hidden="1" x14ac:dyDescent="0.3">
      <c r="A297" s="20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20.195000000000004</v>
      </c>
    </row>
    <row r="298" spans="1:6" hidden="1" x14ac:dyDescent="0.3">
      <c r="A298" s="20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20.195000000000004</v>
      </c>
    </row>
    <row r="299" spans="1:6" hidden="1" x14ac:dyDescent="0.3">
      <c r="A299" s="20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20.195000000000004</v>
      </c>
    </row>
    <row r="300" spans="1:6" hidden="1" x14ac:dyDescent="0.3">
      <c r="A300" s="20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20.195000000000004</v>
      </c>
    </row>
    <row r="301" spans="1:6" hidden="1" x14ac:dyDescent="0.3">
      <c r="A301" s="20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20.195000000000004</v>
      </c>
    </row>
    <row r="302" spans="1:6" hidden="1" x14ac:dyDescent="0.3">
      <c r="A302" s="20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20.195000000000004</v>
      </c>
    </row>
    <row r="303" spans="1:6" hidden="1" x14ac:dyDescent="0.3">
      <c r="A303" s="20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20.195000000000004</v>
      </c>
    </row>
    <row r="304" spans="1:6" hidden="1" x14ac:dyDescent="0.3">
      <c r="A304" s="20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20.195000000000004</v>
      </c>
    </row>
    <row r="305" spans="1:6" hidden="1" x14ac:dyDescent="0.3">
      <c r="A305" s="20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20.195000000000004</v>
      </c>
    </row>
    <row r="306" spans="1:6" hidden="1" x14ac:dyDescent="0.3">
      <c r="A306" s="20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20.195000000000004</v>
      </c>
    </row>
    <row r="307" spans="1:6" hidden="1" x14ac:dyDescent="0.3">
      <c r="A307" s="20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20.195000000000004</v>
      </c>
    </row>
    <row r="308" spans="1:6" hidden="1" x14ac:dyDescent="0.3">
      <c r="A308" s="20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20.195000000000004</v>
      </c>
    </row>
    <row r="309" spans="1:6" hidden="1" x14ac:dyDescent="0.3">
      <c r="A309" s="20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20.195000000000004</v>
      </c>
    </row>
    <row r="310" spans="1:6" hidden="1" x14ac:dyDescent="0.3">
      <c r="A310" s="20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20.195000000000004</v>
      </c>
    </row>
    <row r="311" spans="1:6" hidden="1" x14ac:dyDescent="0.3">
      <c r="A311" s="20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20.195000000000004</v>
      </c>
    </row>
    <row r="312" spans="1:6" hidden="1" x14ac:dyDescent="0.3">
      <c r="A312" s="20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20.195000000000004</v>
      </c>
    </row>
    <row r="313" spans="1:6" hidden="1" x14ac:dyDescent="0.3">
      <c r="A313" s="20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20.195000000000004</v>
      </c>
    </row>
    <row r="314" spans="1:6" hidden="1" x14ac:dyDescent="0.3">
      <c r="A314" s="20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20.195000000000004</v>
      </c>
    </row>
    <row r="315" spans="1:6" hidden="1" x14ac:dyDescent="0.3">
      <c r="A315" s="20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20.195000000000004</v>
      </c>
    </row>
    <row r="316" spans="1:6" hidden="1" x14ac:dyDescent="0.3">
      <c r="A316" s="20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20.195000000000004</v>
      </c>
    </row>
    <row r="317" spans="1:6" hidden="1" x14ac:dyDescent="0.3">
      <c r="A317" s="20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20.195000000000004</v>
      </c>
    </row>
    <row r="318" spans="1:6" hidden="1" x14ac:dyDescent="0.3">
      <c r="A318" s="20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20.195000000000004</v>
      </c>
    </row>
    <row r="319" spans="1:6" hidden="1" x14ac:dyDescent="0.3">
      <c r="A319" s="20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20.195000000000004</v>
      </c>
    </row>
    <row r="320" spans="1:6" hidden="1" x14ac:dyDescent="0.3">
      <c r="A320" s="20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20.195000000000004</v>
      </c>
    </row>
    <row r="321" spans="1:6" hidden="1" x14ac:dyDescent="0.3">
      <c r="A321" s="20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20.195000000000004</v>
      </c>
    </row>
    <row r="322" spans="1:6" hidden="1" x14ac:dyDescent="0.3">
      <c r="A322" s="20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20.195000000000004</v>
      </c>
    </row>
    <row r="323" spans="1:6" hidden="1" x14ac:dyDescent="0.3">
      <c r="A323" s="20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20.195000000000004</v>
      </c>
    </row>
    <row r="324" spans="1:6" hidden="1" x14ac:dyDescent="0.3">
      <c r="A324" s="20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20.195000000000004</v>
      </c>
    </row>
    <row r="325" spans="1:6" hidden="1" x14ac:dyDescent="0.3">
      <c r="A325" s="20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20.195000000000004</v>
      </c>
    </row>
    <row r="326" spans="1:6" hidden="1" x14ac:dyDescent="0.3">
      <c r="A326" s="20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20.195000000000004</v>
      </c>
    </row>
  </sheetData>
  <autoFilter ref="A1:F326" xr:uid="{346C787A-8CAF-4384-AD5D-125844F9E439}">
    <filterColumn colId="4">
      <filters>
        <filter val="$32.50"/>
        <filter val="-$40.00"/>
        <filter val="-$42.83"/>
        <filter val="-$5.00"/>
        <filter val="$52.83"/>
        <filter val="-$62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2019-02-06T04:15:04Z</dcterms:modified>
</cp:coreProperties>
</file>