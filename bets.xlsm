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\Documents\GitHub\MMAscraper\"/>
    </mc:Choice>
  </mc:AlternateContent>
  <xr:revisionPtr revIDLastSave="0" documentId="13_ncr:1_{13055F32-3AB6-420A-AB6B-D2DE142225E5}" xr6:coauthVersionLast="40" xr6:coauthVersionMax="40" xr10:uidLastSave="{00000000-0000-0000-0000-000000000000}"/>
  <bookViews>
    <workbookView xWindow="-108" yWindow="-108" windowWidth="23256" windowHeight="12576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0" i="1" l="1"/>
  <c r="L55" i="1" l="1"/>
  <c r="N55" i="1" s="1"/>
  <c r="L56" i="1"/>
  <c r="N56" i="1" s="1"/>
  <c r="L57" i="1"/>
  <c r="N57" i="1" s="1"/>
  <c r="L58" i="1"/>
  <c r="N58" i="1" s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68" i="1"/>
  <c r="N68" i="1" s="1"/>
  <c r="L70" i="1"/>
  <c r="N70" i="1" s="1"/>
  <c r="L71" i="1"/>
  <c r="N71" i="1" s="1"/>
  <c r="L72" i="1"/>
  <c r="N72" i="1" s="1"/>
  <c r="L73" i="1"/>
  <c r="N73" i="1" s="1"/>
  <c r="L74" i="1"/>
  <c r="N74" i="1" s="1"/>
  <c r="L75" i="1"/>
  <c r="N75" i="1" s="1"/>
  <c r="L77" i="1"/>
  <c r="N77" i="1" s="1"/>
  <c r="L78" i="1"/>
  <c r="N78" i="1" s="1"/>
  <c r="L79" i="1"/>
  <c r="N79" i="1" s="1"/>
  <c r="L80" i="1"/>
  <c r="N80" i="1" s="1"/>
  <c r="L81" i="1"/>
  <c r="N81" i="1" s="1"/>
  <c r="L82" i="1"/>
  <c r="N82" i="1" s="1"/>
  <c r="L83" i="1"/>
  <c r="N83" i="1" s="1"/>
  <c r="L84" i="1"/>
  <c r="N84" i="1" s="1"/>
  <c r="L85" i="1"/>
  <c r="N85" i="1" s="1"/>
  <c r="L86" i="1"/>
  <c r="N86" i="1" s="1"/>
  <c r="L87" i="1"/>
  <c r="N87" i="1" s="1"/>
  <c r="L88" i="1"/>
  <c r="N88" i="1" s="1"/>
  <c r="L89" i="1"/>
  <c r="N89" i="1" s="1"/>
  <c r="L90" i="1"/>
  <c r="N90" i="1" s="1"/>
  <c r="L91" i="1"/>
  <c r="N91" i="1" s="1"/>
  <c r="L92" i="1"/>
  <c r="N92" i="1" s="1"/>
  <c r="L93" i="1"/>
  <c r="N93" i="1" s="1"/>
  <c r="L94" i="1"/>
  <c r="N94" i="1" s="1"/>
  <c r="L95" i="1"/>
  <c r="N95" i="1" s="1"/>
  <c r="L96" i="1"/>
  <c r="N96" i="1" s="1"/>
  <c r="L97" i="1"/>
  <c r="N97" i="1" s="1"/>
  <c r="L98" i="1"/>
  <c r="N98" i="1" s="1"/>
  <c r="L99" i="1"/>
  <c r="N99" i="1" s="1"/>
  <c r="L100" i="1"/>
  <c r="N100" i="1" s="1"/>
  <c r="L101" i="1"/>
  <c r="N101" i="1" s="1"/>
  <c r="L102" i="1"/>
  <c r="N102" i="1" s="1"/>
  <c r="L103" i="1"/>
  <c r="N103" i="1" s="1"/>
  <c r="L104" i="1"/>
  <c r="N104" i="1" s="1"/>
  <c r="L105" i="1"/>
  <c r="N105" i="1" s="1"/>
  <c r="L106" i="1"/>
  <c r="N106" i="1" s="1"/>
  <c r="L107" i="1"/>
  <c r="N107" i="1" s="1"/>
  <c r="L108" i="1"/>
  <c r="N108" i="1" s="1"/>
  <c r="L109" i="1"/>
  <c r="N109" i="1" s="1"/>
  <c r="L110" i="1"/>
  <c r="N110" i="1" s="1"/>
  <c r="L111" i="1"/>
  <c r="N111" i="1" s="1"/>
  <c r="L112" i="1"/>
  <c r="N112" i="1" s="1"/>
  <c r="L113" i="1"/>
  <c r="N113" i="1" s="1"/>
  <c r="L114" i="1"/>
  <c r="N114" i="1" s="1"/>
  <c r="L115" i="1"/>
  <c r="N115" i="1" s="1"/>
  <c r="L116" i="1"/>
  <c r="N116" i="1" s="1"/>
  <c r="L117" i="1"/>
  <c r="N117" i="1" s="1"/>
  <c r="L118" i="1"/>
  <c r="N118" i="1" s="1"/>
  <c r="L119" i="1"/>
  <c r="N119" i="1" s="1"/>
  <c r="L120" i="1"/>
  <c r="N120" i="1" s="1"/>
  <c r="L121" i="1"/>
  <c r="N121" i="1" s="1"/>
  <c r="L122" i="1"/>
  <c r="N122" i="1" s="1"/>
  <c r="L123" i="1"/>
  <c r="N123" i="1" s="1"/>
  <c r="L124" i="1"/>
  <c r="N124" i="1" s="1"/>
  <c r="L125" i="1"/>
  <c r="N125" i="1" s="1"/>
  <c r="L126" i="1"/>
  <c r="N126" i="1" s="1"/>
  <c r="L127" i="1"/>
  <c r="N127" i="1" s="1"/>
  <c r="L128" i="1"/>
  <c r="N128" i="1" s="1"/>
  <c r="L129" i="1"/>
  <c r="N129" i="1" s="1"/>
  <c r="L130" i="1"/>
  <c r="N130" i="1" s="1"/>
  <c r="L131" i="1"/>
  <c r="N131" i="1" s="1"/>
  <c r="L132" i="1"/>
  <c r="N132" i="1" s="1"/>
  <c r="L133" i="1"/>
  <c r="N133" i="1" s="1"/>
  <c r="L134" i="1"/>
  <c r="N134" i="1" s="1"/>
  <c r="L135" i="1"/>
  <c r="N135" i="1" s="1"/>
  <c r="L136" i="1"/>
  <c r="N136" i="1" s="1"/>
  <c r="L137" i="1"/>
  <c r="N137" i="1" s="1"/>
  <c r="L138" i="1"/>
  <c r="N138" i="1" s="1"/>
  <c r="L139" i="1"/>
  <c r="N139" i="1" s="1"/>
  <c r="L140" i="1"/>
  <c r="N140" i="1" s="1"/>
  <c r="L141" i="1"/>
  <c r="N141" i="1" s="1"/>
  <c r="L142" i="1"/>
  <c r="N142" i="1" s="1"/>
  <c r="L143" i="1"/>
  <c r="N143" i="1" s="1"/>
  <c r="L144" i="1"/>
  <c r="N144" i="1" s="1"/>
  <c r="L145" i="1"/>
  <c r="N145" i="1" s="1"/>
  <c r="L146" i="1"/>
  <c r="N146" i="1" s="1"/>
  <c r="L147" i="1"/>
  <c r="N147" i="1" s="1"/>
  <c r="L148" i="1"/>
  <c r="N148" i="1" s="1"/>
  <c r="L149" i="1"/>
  <c r="N149" i="1" s="1"/>
  <c r="L150" i="1"/>
  <c r="N150" i="1" s="1"/>
  <c r="L151" i="1"/>
  <c r="N151" i="1" s="1"/>
  <c r="L152" i="1"/>
  <c r="N152" i="1" s="1"/>
  <c r="L153" i="1"/>
  <c r="N153" i="1" s="1"/>
  <c r="L154" i="1"/>
  <c r="N154" i="1" s="1"/>
  <c r="L155" i="1"/>
  <c r="N155" i="1" s="1"/>
  <c r="L156" i="1"/>
  <c r="N156" i="1" s="1"/>
  <c r="L157" i="1"/>
  <c r="N157" i="1" s="1"/>
  <c r="L158" i="1"/>
  <c r="N158" i="1" s="1"/>
  <c r="L159" i="1"/>
  <c r="N159" i="1" s="1"/>
  <c r="L160" i="1"/>
  <c r="N160" i="1" s="1"/>
  <c r="L161" i="1"/>
  <c r="N161" i="1" s="1"/>
  <c r="L162" i="1"/>
  <c r="N162" i="1" s="1"/>
  <c r="L163" i="1"/>
  <c r="N163" i="1" s="1"/>
  <c r="L164" i="1"/>
  <c r="N164" i="1" s="1"/>
  <c r="L165" i="1"/>
  <c r="N165" i="1" s="1"/>
  <c r="L166" i="1"/>
  <c r="N166" i="1" s="1"/>
  <c r="L167" i="1"/>
  <c r="N167" i="1" s="1"/>
  <c r="L168" i="1"/>
  <c r="N168" i="1" s="1"/>
  <c r="L169" i="1"/>
  <c r="N169" i="1" s="1"/>
  <c r="L170" i="1"/>
  <c r="N170" i="1" s="1"/>
  <c r="L171" i="1"/>
  <c r="N171" i="1" s="1"/>
  <c r="L172" i="1"/>
  <c r="N172" i="1" s="1"/>
  <c r="L173" i="1"/>
  <c r="N173" i="1" s="1"/>
  <c r="L174" i="1"/>
  <c r="N174" i="1" s="1"/>
  <c r="L175" i="1"/>
  <c r="N175" i="1" s="1"/>
  <c r="L176" i="1"/>
  <c r="N176" i="1" s="1"/>
  <c r="L177" i="1"/>
  <c r="N177" i="1" s="1"/>
  <c r="L178" i="1"/>
  <c r="N178" i="1" s="1"/>
  <c r="L179" i="1"/>
  <c r="N179" i="1" s="1"/>
  <c r="L180" i="1"/>
  <c r="N180" i="1" s="1"/>
  <c r="L181" i="1"/>
  <c r="N181" i="1" s="1"/>
  <c r="L182" i="1"/>
  <c r="N182" i="1" s="1"/>
  <c r="L183" i="1"/>
  <c r="N183" i="1" s="1"/>
  <c r="L184" i="1"/>
  <c r="N184" i="1" s="1"/>
  <c r="L185" i="1"/>
  <c r="N185" i="1" s="1"/>
  <c r="L186" i="1"/>
  <c r="N186" i="1" s="1"/>
  <c r="L187" i="1"/>
  <c r="N187" i="1" s="1"/>
  <c r="L188" i="1"/>
  <c r="N188" i="1" s="1"/>
  <c r="L189" i="1"/>
  <c r="N189" i="1" s="1"/>
  <c r="L190" i="1"/>
  <c r="N190" i="1" s="1"/>
  <c r="L191" i="1"/>
  <c r="N191" i="1" s="1"/>
  <c r="L192" i="1"/>
  <c r="N192" i="1" s="1"/>
  <c r="L193" i="1"/>
  <c r="N193" i="1" s="1"/>
  <c r="L194" i="1"/>
  <c r="N194" i="1" s="1"/>
  <c r="L195" i="1"/>
  <c r="N195" i="1" s="1"/>
  <c r="L196" i="1"/>
  <c r="N196" i="1" s="1"/>
  <c r="L197" i="1"/>
  <c r="N197" i="1" s="1"/>
  <c r="L198" i="1"/>
  <c r="N198" i="1" s="1"/>
  <c r="L199" i="1"/>
  <c r="N199" i="1" s="1"/>
  <c r="L200" i="1"/>
  <c r="N200" i="1" s="1"/>
  <c r="L201" i="1"/>
  <c r="N201" i="1" s="1"/>
  <c r="L202" i="1"/>
  <c r="N202" i="1" s="1"/>
  <c r="L203" i="1"/>
  <c r="N203" i="1" s="1"/>
  <c r="L204" i="1"/>
  <c r="N204" i="1" s="1"/>
  <c r="L205" i="1"/>
  <c r="N205" i="1" s="1"/>
  <c r="L206" i="1"/>
  <c r="N206" i="1" s="1"/>
  <c r="L207" i="1"/>
  <c r="N207" i="1" s="1"/>
  <c r="L208" i="1"/>
  <c r="N208" i="1" s="1"/>
  <c r="L209" i="1"/>
  <c r="N209" i="1" s="1"/>
  <c r="L210" i="1"/>
  <c r="N210" i="1" s="1"/>
  <c r="L211" i="1"/>
  <c r="N211" i="1" s="1"/>
  <c r="L212" i="1"/>
  <c r="N212" i="1" s="1"/>
  <c r="L213" i="1"/>
  <c r="N213" i="1" s="1"/>
  <c r="L214" i="1"/>
  <c r="N214" i="1" s="1"/>
  <c r="L215" i="1"/>
  <c r="N215" i="1" s="1"/>
  <c r="L216" i="1"/>
  <c r="N216" i="1" s="1"/>
  <c r="L217" i="1"/>
  <c r="N217" i="1" s="1"/>
  <c r="L218" i="1"/>
  <c r="N218" i="1" s="1"/>
  <c r="L219" i="1"/>
  <c r="N219" i="1" s="1"/>
  <c r="L220" i="1"/>
  <c r="N220" i="1" s="1"/>
  <c r="L221" i="1"/>
  <c r="N221" i="1" s="1"/>
  <c r="L222" i="1"/>
  <c r="N222" i="1" s="1"/>
  <c r="L223" i="1"/>
  <c r="N223" i="1" s="1"/>
  <c r="L224" i="1"/>
  <c r="N224" i="1" s="1"/>
  <c r="L225" i="1"/>
  <c r="N225" i="1" s="1"/>
  <c r="L226" i="1"/>
  <c r="N226" i="1" s="1"/>
  <c r="L227" i="1"/>
  <c r="N227" i="1" s="1"/>
  <c r="L228" i="1"/>
  <c r="N228" i="1" s="1"/>
  <c r="L229" i="1"/>
  <c r="N229" i="1" s="1"/>
  <c r="L230" i="1"/>
  <c r="N230" i="1" s="1"/>
  <c r="L231" i="1"/>
  <c r="N231" i="1" s="1"/>
  <c r="L232" i="1"/>
  <c r="N232" i="1" s="1"/>
  <c r="L233" i="1"/>
  <c r="N233" i="1" s="1"/>
  <c r="L234" i="1"/>
  <c r="N234" i="1" s="1"/>
  <c r="L235" i="1"/>
  <c r="N235" i="1" s="1"/>
  <c r="L236" i="1"/>
  <c r="N236" i="1" s="1"/>
  <c r="L237" i="1"/>
  <c r="N237" i="1" s="1"/>
  <c r="L238" i="1"/>
  <c r="N238" i="1" s="1"/>
  <c r="L239" i="1"/>
  <c r="N239" i="1" s="1"/>
  <c r="L240" i="1"/>
  <c r="N240" i="1" s="1"/>
  <c r="L241" i="1"/>
  <c r="N241" i="1" s="1"/>
  <c r="L242" i="1"/>
  <c r="N242" i="1" s="1"/>
  <c r="L243" i="1"/>
  <c r="N243" i="1" s="1"/>
  <c r="L244" i="1"/>
  <c r="N244" i="1" s="1"/>
  <c r="L245" i="1"/>
  <c r="N245" i="1" s="1"/>
  <c r="L246" i="1"/>
  <c r="N246" i="1" s="1"/>
  <c r="L247" i="1"/>
  <c r="N247" i="1" s="1"/>
  <c r="L248" i="1"/>
  <c r="N248" i="1" s="1"/>
  <c r="L249" i="1"/>
  <c r="N249" i="1" s="1"/>
  <c r="L250" i="1"/>
  <c r="N250" i="1" s="1"/>
  <c r="L251" i="1"/>
  <c r="N251" i="1" s="1"/>
  <c r="L252" i="1"/>
  <c r="N252" i="1" s="1"/>
  <c r="L253" i="1"/>
  <c r="N253" i="1" s="1"/>
  <c r="L254" i="1"/>
  <c r="N254" i="1" s="1"/>
  <c r="L255" i="1"/>
  <c r="N255" i="1" s="1"/>
  <c r="L256" i="1"/>
  <c r="N256" i="1" s="1"/>
  <c r="L257" i="1"/>
  <c r="N257" i="1" s="1"/>
  <c r="L258" i="1"/>
  <c r="N258" i="1" s="1"/>
  <c r="L259" i="1"/>
  <c r="N259" i="1" s="1"/>
  <c r="L260" i="1"/>
  <c r="N260" i="1" s="1"/>
  <c r="L261" i="1"/>
  <c r="N261" i="1" s="1"/>
  <c r="L262" i="1"/>
  <c r="N262" i="1" s="1"/>
  <c r="L263" i="1"/>
  <c r="N263" i="1" s="1"/>
  <c r="L264" i="1"/>
  <c r="N264" i="1" s="1"/>
  <c r="L265" i="1"/>
  <c r="N265" i="1" s="1"/>
  <c r="L266" i="1"/>
  <c r="N266" i="1" s="1"/>
  <c r="L267" i="1"/>
  <c r="N267" i="1" s="1"/>
  <c r="L268" i="1"/>
  <c r="N268" i="1" s="1"/>
  <c r="L269" i="1"/>
  <c r="N269" i="1" s="1"/>
  <c r="L270" i="1"/>
  <c r="N270" i="1" s="1"/>
  <c r="L271" i="1"/>
  <c r="N271" i="1" s="1"/>
  <c r="L272" i="1"/>
  <c r="N272" i="1" s="1"/>
  <c r="L273" i="1"/>
  <c r="N273" i="1" s="1"/>
  <c r="L274" i="1"/>
  <c r="N274" i="1" s="1"/>
  <c r="L275" i="1"/>
  <c r="N275" i="1" s="1"/>
  <c r="L276" i="1"/>
  <c r="N276" i="1" s="1"/>
  <c r="L277" i="1"/>
  <c r="N277" i="1" s="1"/>
  <c r="L278" i="1"/>
  <c r="N278" i="1" s="1"/>
  <c r="L279" i="1"/>
  <c r="N279" i="1" s="1"/>
  <c r="L280" i="1"/>
  <c r="N280" i="1" s="1"/>
  <c r="L281" i="1"/>
  <c r="N281" i="1" s="1"/>
  <c r="L282" i="1"/>
  <c r="N282" i="1" s="1"/>
  <c r="L283" i="1"/>
  <c r="N283" i="1" s="1"/>
  <c r="L284" i="1"/>
  <c r="N284" i="1" s="1"/>
  <c r="L285" i="1"/>
  <c r="N285" i="1" s="1"/>
  <c r="L286" i="1"/>
  <c r="N286" i="1" s="1"/>
  <c r="L287" i="1"/>
  <c r="N287" i="1" s="1"/>
  <c r="L288" i="1"/>
  <c r="N288" i="1" s="1"/>
  <c r="L289" i="1"/>
  <c r="N289" i="1" s="1"/>
  <c r="L290" i="1"/>
  <c r="N290" i="1" s="1"/>
  <c r="L291" i="1"/>
  <c r="N291" i="1" s="1"/>
  <c r="L292" i="1"/>
  <c r="N292" i="1" s="1"/>
  <c r="L293" i="1"/>
  <c r="N293" i="1" s="1"/>
  <c r="L294" i="1"/>
  <c r="N294" i="1" s="1"/>
  <c r="L295" i="1"/>
  <c r="N295" i="1" s="1"/>
  <c r="L296" i="1"/>
  <c r="N296" i="1" s="1"/>
  <c r="L297" i="1"/>
  <c r="N297" i="1" s="1"/>
  <c r="L298" i="1"/>
  <c r="N298" i="1" s="1"/>
  <c r="L299" i="1"/>
  <c r="N299" i="1" s="1"/>
  <c r="L300" i="1"/>
  <c r="N300" i="1" s="1"/>
  <c r="L301" i="1"/>
  <c r="N301" i="1" s="1"/>
  <c r="L302" i="1"/>
  <c r="N302" i="1" s="1"/>
  <c r="L303" i="1"/>
  <c r="N303" i="1" s="1"/>
  <c r="L304" i="1"/>
  <c r="N304" i="1" s="1"/>
  <c r="L305" i="1"/>
  <c r="N305" i="1" s="1"/>
  <c r="L306" i="1"/>
  <c r="N306" i="1" s="1"/>
  <c r="L307" i="1"/>
  <c r="N307" i="1" s="1"/>
  <c r="L308" i="1"/>
  <c r="N308" i="1" s="1"/>
  <c r="L309" i="1"/>
  <c r="N309" i="1" s="1"/>
  <c r="L310" i="1"/>
  <c r="N310" i="1" s="1"/>
  <c r="L311" i="1"/>
  <c r="N311" i="1" s="1"/>
  <c r="L312" i="1"/>
  <c r="N312" i="1" s="1"/>
  <c r="L313" i="1"/>
  <c r="N313" i="1" s="1"/>
  <c r="L314" i="1"/>
  <c r="N314" i="1" s="1"/>
  <c r="L315" i="1"/>
  <c r="N315" i="1" s="1"/>
  <c r="L316" i="1"/>
  <c r="N316" i="1" s="1"/>
  <c r="L317" i="1"/>
  <c r="N317" i="1" s="1"/>
  <c r="L318" i="1"/>
  <c r="N318" i="1" s="1"/>
  <c r="L319" i="1"/>
  <c r="N319" i="1" s="1"/>
  <c r="L320" i="1"/>
  <c r="N320" i="1" s="1"/>
  <c r="L321" i="1"/>
  <c r="N321" i="1" s="1"/>
  <c r="L322" i="1"/>
  <c r="N322" i="1" s="1"/>
  <c r="L323" i="1"/>
  <c r="N323" i="1" s="1"/>
  <c r="L324" i="1"/>
  <c r="N324" i="1" s="1"/>
  <c r="L325" i="1"/>
  <c r="N325" i="1" s="1"/>
  <c r="L326" i="1"/>
  <c r="N326" i="1" s="1"/>
  <c r="L327" i="1"/>
  <c r="N327" i="1" s="1"/>
  <c r="L328" i="1"/>
  <c r="N328" i="1" s="1"/>
  <c r="L329" i="1"/>
  <c r="N329" i="1" s="1"/>
  <c r="L330" i="1"/>
  <c r="N330" i="1" s="1"/>
  <c r="L331" i="1"/>
  <c r="N331" i="1" s="1"/>
  <c r="L332" i="1"/>
  <c r="N332" i="1" s="1"/>
  <c r="L333" i="1"/>
  <c r="N333" i="1" s="1"/>
  <c r="L334" i="1"/>
  <c r="N334" i="1" s="1"/>
  <c r="L335" i="1"/>
  <c r="N335" i="1" s="1"/>
  <c r="L336" i="1"/>
  <c r="N336" i="1" s="1"/>
  <c r="L337" i="1"/>
  <c r="N337" i="1" s="1"/>
  <c r="L338" i="1"/>
  <c r="N338" i="1" s="1"/>
  <c r="L339" i="1"/>
  <c r="N339" i="1" s="1"/>
  <c r="L340" i="1"/>
  <c r="N340" i="1" s="1"/>
  <c r="L341" i="1"/>
  <c r="N341" i="1" s="1"/>
  <c r="L342" i="1"/>
  <c r="N342" i="1" s="1"/>
  <c r="L343" i="1"/>
  <c r="N343" i="1" s="1"/>
  <c r="L344" i="1"/>
  <c r="N344" i="1" s="1"/>
  <c r="L345" i="1"/>
  <c r="N345" i="1" s="1"/>
  <c r="L346" i="1"/>
  <c r="N346" i="1" s="1"/>
  <c r="L347" i="1"/>
  <c r="N347" i="1" s="1"/>
  <c r="L348" i="1"/>
  <c r="N348" i="1" s="1"/>
  <c r="L349" i="1"/>
  <c r="N349" i="1" s="1"/>
  <c r="L350" i="1"/>
  <c r="N350" i="1" s="1"/>
  <c r="L351" i="1"/>
  <c r="N351" i="1" s="1"/>
  <c r="L352" i="1"/>
  <c r="N352" i="1" s="1"/>
  <c r="L353" i="1"/>
  <c r="N353" i="1" s="1"/>
  <c r="L354" i="1"/>
  <c r="N354" i="1" s="1"/>
  <c r="L355" i="1"/>
  <c r="N355" i="1" s="1"/>
  <c r="L356" i="1"/>
  <c r="N356" i="1" s="1"/>
  <c r="L357" i="1"/>
  <c r="N357" i="1" s="1"/>
  <c r="L358" i="1"/>
  <c r="N358" i="1" s="1"/>
  <c r="L359" i="1"/>
  <c r="N359" i="1" s="1"/>
  <c r="L360" i="1"/>
  <c r="N360" i="1" s="1"/>
  <c r="L361" i="1"/>
  <c r="N361" i="1" s="1"/>
  <c r="L362" i="1"/>
  <c r="N362" i="1" s="1"/>
  <c r="L363" i="1"/>
  <c r="N363" i="1" s="1"/>
  <c r="L364" i="1"/>
  <c r="N364" i="1" s="1"/>
  <c r="L365" i="1"/>
  <c r="N365" i="1" s="1"/>
  <c r="L366" i="1"/>
  <c r="N366" i="1" s="1"/>
  <c r="L367" i="1"/>
  <c r="N367" i="1" s="1"/>
  <c r="L368" i="1"/>
  <c r="N368" i="1" s="1"/>
  <c r="L369" i="1"/>
  <c r="N369" i="1" s="1"/>
  <c r="L370" i="1"/>
  <c r="N370" i="1" s="1"/>
  <c r="L371" i="1"/>
  <c r="N371" i="1" s="1"/>
  <c r="L372" i="1"/>
  <c r="N372" i="1" s="1"/>
  <c r="L373" i="1"/>
  <c r="N373" i="1" s="1"/>
  <c r="L374" i="1"/>
  <c r="N374" i="1" s="1"/>
  <c r="L375" i="1"/>
  <c r="N375" i="1" s="1"/>
  <c r="L376" i="1"/>
  <c r="N376" i="1" s="1"/>
  <c r="L377" i="1"/>
  <c r="N377" i="1" s="1"/>
  <c r="L378" i="1"/>
  <c r="N378" i="1" s="1"/>
  <c r="L379" i="1"/>
  <c r="N379" i="1" s="1"/>
  <c r="L380" i="1"/>
  <c r="N380" i="1" s="1"/>
  <c r="L381" i="1"/>
  <c r="N381" i="1" s="1"/>
  <c r="L382" i="1"/>
  <c r="N382" i="1" s="1"/>
  <c r="L383" i="1"/>
  <c r="N383" i="1" s="1"/>
  <c r="L384" i="1"/>
  <c r="N384" i="1" s="1"/>
  <c r="L385" i="1"/>
  <c r="N385" i="1" s="1"/>
  <c r="L386" i="1"/>
  <c r="N386" i="1" s="1"/>
  <c r="L387" i="1"/>
  <c r="N387" i="1" s="1"/>
  <c r="L388" i="1"/>
  <c r="N388" i="1" s="1"/>
  <c r="L389" i="1"/>
  <c r="N389" i="1" s="1"/>
  <c r="L390" i="1"/>
  <c r="N390" i="1" s="1"/>
  <c r="L391" i="1"/>
  <c r="N391" i="1" s="1"/>
  <c r="L392" i="1"/>
  <c r="N392" i="1" s="1"/>
  <c r="L393" i="1"/>
  <c r="N393" i="1" s="1"/>
  <c r="L394" i="1"/>
  <c r="N394" i="1" s="1"/>
  <c r="L395" i="1"/>
  <c r="N395" i="1" s="1"/>
  <c r="L396" i="1"/>
  <c r="N396" i="1" s="1"/>
  <c r="L397" i="1"/>
  <c r="N397" i="1" s="1"/>
  <c r="L398" i="1"/>
  <c r="N398" i="1" s="1"/>
  <c r="L399" i="1"/>
  <c r="N399" i="1" s="1"/>
  <c r="L400" i="1"/>
  <c r="N400" i="1" s="1"/>
  <c r="L401" i="1"/>
  <c r="N401" i="1" s="1"/>
  <c r="L402" i="1"/>
  <c r="N402" i="1" s="1"/>
  <c r="L403" i="1"/>
  <c r="N403" i="1" s="1"/>
  <c r="L404" i="1"/>
  <c r="N404" i="1" s="1"/>
  <c r="L405" i="1"/>
  <c r="N405" i="1" s="1"/>
  <c r="L406" i="1"/>
  <c r="N406" i="1" s="1"/>
  <c r="L407" i="1"/>
  <c r="N407" i="1" s="1"/>
  <c r="L408" i="1"/>
  <c r="N408" i="1" s="1"/>
  <c r="L409" i="1"/>
  <c r="N409" i="1" s="1"/>
  <c r="L410" i="1"/>
  <c r="N410" i="1" s="1"/>
  <c r="L411" i="1"/>
  <c r="N411" i="1" s="1"/>
  <c r="L412" i="1"/>
  <c r="N412" i="1" s="1"/>
  <c r="L413" i="1"/>
  <c r="N413" i="1" s="1"/>
  <c r="L414" i="1"/>
  <c r="N414" i="1" s="1"/>
  <c r="L415" i="1"/>
  <c r="N415" i="1" s="1"/>
  <c r="L416" i="1"/>
  <c r="N416" i="1" s="1"/>
  <c r="L417" i="1"/>
  <c r="N417" i="1" s="1"/>
  <c r="L418" i="1"/>
  <c r="N418" i="1" s="1"/>
  <c r="L419" i="1"/>
  <c r="N419" i="1" s="1"/>
  <c r="L420" i="1"/>
  <c r="N420" i="1" s="1"/>
  <c r="L421" i="1"/>
  <c r="N421" i="1" s="1"/>
  <c r="L422" i="1"/>
  <c r="N422" i="1" s="1"/>
  <c r="L423" i="1"/>
  <c r="N423" i="1" s="1"/>
  <c r="L424" i="1"/>
  <c r="N424" i="1" s="1"/>
  <c r="L425" i="1"/>
  <c r="N425" i="1" s="1"/>
  <c r="L426" i="1"/>
  <c r="N426" i="1" s="1"/>
  <c r="L427" i="1"/>
  <c r="N427" i="1" s="1"/>
  <c r="L428" i="1"/>
  <c r="N428" i="1" s="1"/>
  <c r="L429" i="1"/>
  <c r="N429" i="1" s="1"/>
  <c r="L430" i="1"/>
  <c r="N430" i="1" s="1"/>
  <c r="L431" i="1"/>
  <c r="N431" i="1" s="1"/>
  <c r="L432" i="1"/>
  <c r="N432" i="1" s="1"/>
  <c r="L433" i="1"/>
  <c r="N433" i="1" s="1"/>
  <c r="L434" i="1"/>
  <c r="N434" i="1" s="1"/>
  <c r="L435" i="1"/>
  <c r="N435" i="1" s="1"/>
  <c r="L436" i="1"/>
  <c r="N436" i="1" s="1"/>
  <c r="L437" i="1"/>
  <c r="N437" i="1" s="1"/>
  <c r="L438" i="1"/>
  <c r="N438" i="1" s="1"/>
  <c r="L439" i="1"/>
  <c r="N439" i="1" s="1"/>
  <c r="L440" i="1"/>
  <c r="N440" i="1" s="1"/>
  <c r="L441" i="1"/>
  <c r="N441" i="1" s="1"/>
  <c r="L442" i="1"/>
  <c r="N442" i="1" s="1"/>
  <c r="L443" i="1"/>
  <c r="N443" i="1" s="1"/>
  <c r="L444" i="1"/>
  <c r="N444" i="1" s="1"/>
  <c r="L445" i="1"/>
  <c r="N445" i="1" s="1"/>
  <c r="L446" i="1"/>
  <c r="N446" i="1" s="1"/>
  <c r="L447" i="1"/>
  <c r="N447" i="1" s="1"/>
  <c r="L448" i="1"/>
  <c r="N448" i="1" s="1"/>
  <c r="L449" i="1"/>
  <c r="N449" i="1" s="1"/>
  <c r="L450" i="1"/>
  <c r="N450" i="1" s="1"/>
  <c r="L451" i="1"/>
  <c r="N451" i="1" s="1"/>
  <c r="L452" i="1"/>
  <c r="N452" i="1" s="1"/>
  <c r="L453" i="1"/>
  <c r="N453" i="1" s="1"/>
  <c r="L454" i="1"/>
  <c r="N454" i="1" s="1"/>
  <c r="L455" i="1"/>
  <c r="N455" i="1" s="1"/>
  <c r="L456" i="1"/>
  <c r="N456" i="1" s="1"/>
  <c r="L457" i="1"/>
  <c r="N457" i="1" s="1"/>
  <c r="L458" i="1"/>
  <c r="N458" i="1" s="1"/>
  <c r="L459" i="1"/>
  <c r="N459" i="1" s="1"/>
  <c r="L460" i="1"/>
  <c r="N460" i="1" s="1"/>
  <c r="L461" i="1"/>
  <c r="N461" i="1" s="1"/>
  <c r="L462" i="1"/>
  <c r="N462" i="1" s="1"/>
  <c r="L463" i="1"/>
  <c r="N463" i="1" s="1"/>
  <c r="L464" i="1"/>
  <c r="N464" i="1" s="1"/>
  <c r="L465" i="1"/>
  <c r="N465" i="1" s="1"/>
  <c r="L466" i="1"/>
  <c r="N466" i="1" s="1"/>
  <c r="L467" i="1"/>
  <c r="N467" i="1" s="1"/>
  <c r="L468" i="1"/>
  <c r="N468" i="1" s="1"/>
  <c r="L469" i="1"/>
  <c r="N469" i="1" s="1"/>
  <c r="L470" i="1"/>
  <c r="N470" i="1" s="1"/>
  <c r="L471" i="1"/>
  <c r="N471" i="1" s="1"/>
  <c r="L472" i="1"/>
  <c r="N472" i="1" s="1"/>
  <c r="L473" i="1"/>
  <c r="N473" i="1" s="1"/>
  <c r="L474" i="1"/>
  <c r="N474" i="1" s="1"/>
  <c r="L475" i="1"/>
  <c r="N475" i="1" s="1"/>
  <c r="L476" i="1"/>
  <c r="N476" i="1" s="1"/>
  <c r="L477" i="1"/>
  <c r="N477" i="1" s="1"/>
  <c r="L478" i="1"/>
  <c r="N478" i="1" s="1"/>
  <c r="L479" i="1"/>
  <c r="N479" i="1" s="1"/>
  <c r="L480" i="1"/>
  <c r="N480" i="1" s="1"/>
  <c r="L481" i="1"/>
  <c r="N481" i="1" s="1"/>
  <c r="L482" i="1"/>
  <c r="N482" i="1" s="1"/>
  <c r="L483" i="1"/>
  <c r="N483" i="1" s="1"/>
  <c r="L484" i="1"/>
  <c r="N484" i="1" s="1"/>
  <c r="L485" i="1"/>
  <c r="N485" i="1" s="1"/>
  <c r="L486" i="1"/>
  <c r="N486" i="1" s="1"/>
  <c r="L487" i="1"/>
  <c r="N487" i="1" s="1"/>
  <c r="L488" i="1"/>
  <c r="N488" i="1" s="1"/>
  <c r="L489" i="1"/>
  <c r="N489" i="1" s="1"/>
  <c r="L490" i="1"/>
  <c r="N490" i="1" s="1"/>
  <c r="L491" i="1"/>
  <c r="N491" i="1" s="1"/>
  <c r="L492" i="1"/>
  <c r="N492" i="1" s="1"/>
  <c r="L493" i="1"/>
  <c r="N493" i="1" s="1"/>
  <c r="L494" i="1"/>
  <c r="N494" i="1" s="1"/>
  <c r="L495" i="1"/>
  <c r="N495" i="1" s="1"/>
  <c r="L496" i="1"/>
  <c r="N496" i="1" s="1"/>
  <c r="L497" i="1"/>
  <c r="N497" i="1" s="1"/>
  <c r="L498" i="1"/>
  <c r="N498" i="1" s="1"/>
  <c r="L499" i="1"/>
  <c r="N499" i="1" s="1"/>
  <c r="L500" i="1"/>
  <c r="N500" i="1" s="1"/>
  <c r="L501" i="1"/>
  <c r="N501" i="1" s="1"/>
  <c r="L502" i="1"/>
  <c r="N502" i="1" s="1"/>
  <c r="L503" i="1"/>
  <c r="N503" i="1" s="1"/>
  <c r="L504" i="1"/>
  <c r="N504" i="1" s="1"/>
  <c r="L505" i="1"/>
  <c r="N505" i="1" s="1"/>
  <c r="L506" i="1"/>
  <c r="N506" i="1" s="1"/>
  <c r="L507" i="1"/>
  <c r="N507" i="1" s="1"/>
  <c r="L508" i="1"/>
  <c r="N508" i="1" s="1"/>
  <c r="L509" i="1"/>
  <c r="N509" i="1" s="1"/>
  <c r="L510" i="1"/>
  <c r="N510" i="1" s="1"/>
  <c r="L511" i="1"/>
  <c r="N511" i="1" s="1"/>
  <c r="L512" i="1"/>
  <c r="N512" i="1" s="1"/>
  <c r="L513" i="1"/>
  <c r="N513" i="1" s="1"/>
  <c r="L514" i="1"/>
  <c r="N514" i="1" s="1"/>
  <c r="L515" i="1"/>
  <c r="N515" i="1" s="1"/>
  <c r="L516" i="1"/>
  <c r="N516" i="1" s="1"/>
  <c r="L517" i="1"/>
  <c r="N517" i="1" s="1"/>
  <c r="L518" i="1"/>
  <c r="N518" i="1" s="1"/>
  <c r="L519" i="1"/>
  <c r="N519" i="1" s="1"/>
  <c r="L520" i="1"/>
  <c r="N520" i="1" s="1"/>
  <c r="L521" i="1"/>
  <c r="N521" i="1" s="1"/>
  <c r="L522" i="1"/>
  <c r="N522" i="1" s="1"/>
  <c r="L523" i="1"/>
  <c r="N523" i="1" s="1"/>
  <c r="L524" i="1"/>
  <c r="N524" i="1" s="1"/>
  <c r="L525" i="1"/>
  <c r="N525" i="1" s="1"/>
  <c r="L526" i="1"/>
  <c r="N526" i="1" s="1"/>
  <c r="L527" i="1"/>
  <c r="N527" i="1" s="1"/>
  <c r="L528" i="1"/>
  <c r="N528" i="1" s="1"/>
  <c r="L529" i="1"/>
  <c r="N529" i="1" s="1"/>
  <c r="L530" i="1"/>
  <c r="N530" i="1" s="1"/>
  <c r="L531" i="1"/>
  <c r="N531" i="1" s="1"/>
  <c r="L532" i="1"/>
  <c r="N532" i="1" s="1"/>
  <c r="L533" i="1"/>
  <c r="N533" i="1" s="1"/>
  <c r="L534" i="1"/>
  <c r="N534" i="1" s="1"/>
  <c r="L535" i="1"/>
  <c r="N535" i="1" s="1"/>
  <c r="L536" i="1"/>
  <c r="N536" i="1" s="1"/>
  <c r="L537" i="1"/>
  <c r="N537" i="1" s="1"/>
  <c r="L538" i="1"/>
  <c r="N538" i="1" s="1"/>
  <c r="L539" i="1"/>
  <c r="N539" i="1" s="1"/>
  <c r="L540" i="1"/>
  <c r="N540" i="1" s="1"/>
  <c r="L541" i="1"/>
  <c r="N541" i="1" s="1"/>
  <c r="L542" i="1"/>
  <c r="N542" i="1" s="1"/>
  <c r="L543" i="1"/>
  <c r="N543" i="1" s="1"/>
  <c r="L544" i="1"/>
  <c r="N544" i="1" s="1"/>
  <c r="L545" i="1"/>
  <c r="N545" i="1" s="1"/>
  <c r="L546" i="1"/>
  <c r="N546" i="1" s="1"/>
  <c r="L547" i="1"/>
  <c r="N547" i="1" s="1"/>
  <c r="L548" i="1"/>
  <c r="N548" i="1" s="1"/>
  <c r="L549" i="1"/>
  <c r="N549" i="1" s="1"/>
  <c r="L550" i="1"/>
  <c r="N550" i="1" s="1"/>
  <c r="L551" i="1"/>
  <c r="N551" i="1" s="1"/>
  <c r="L552" i="1"/>
  <c r="N552" i="1" s="1"/>
  <c r="L553" i="1"/>
  <c r="N553" i="1" s="1"/>
  <c r="L554" i="1"/>
  <c r="N554" i="1" s="1"/>
  <c r="L555" i="1"/>
  <c r="N555" i="1" s="1"/>
  <c r="L556" i="1"/>
  <c r="N556" i="1" s="1"/>
  <c r="L557" i="1"/>
  <c r="N557" i="1" s="1"/>
  <c r="L558" i="1"/>
  <c r="N558" i="1" s="1"/>
  <c r="L559" i="1"/>
  <c r="N559" i="1" s="1"/>
  <c r="L560" i="1"/>
  <c r="N560" i="1" s="1"/>
  <c r="L561" i="1"/>
  <c r="N561" i="1" s="1"/>
  <c r="L562" i="1"/>
  <c r="N562" i="1" s="1"/>
  <c r="L563" i="1"/>
  <c r="N563" i="1" s="1"/>
  <c r="L564" i="1"/>
  <c r="N564" i="1" s="1"/>
  <c r="L565" i="1"/>
  <c r="N565" i="1" s="1"/>
  <c r="L566" i="1"/>
  <c r="N566" i="1" s="1"/>
  <c r="L567" i="1"/>
  <c r="N567" i="1" s="1"/>
  <c r="L568" i="1"/>
  <c r="N568" i="1" s="1"/>
  <c r="L569" i="1"/>
  <c r="N569" i="1" s="1"/>
  <c r="L570" i="1"/>
  <c r="N570" i="1" s="1"/>
  <c r="L571" i="1"/>
  <c r="N571" i="1" s="1"/>
  <c r="L572" i="1"/>
  <c r="N572" i="1" s="1"/>
  <c r="L573" i="1"/>
  <c r="N573" i="1" s="1"/>
  <c r="L574" i="1"/>
  <c r="N574" i="1" s="1"/>
  <c r="L575" i="1"/>
  <c r="N575" i="1" s="1"/>
  <c r="L576" i="1"/>
  <c r="N576" i="1" s="1"/>
  <c r="L577" i="1"/>
  <c r="N577" i="1" s="1"/>
  <c r="L578" i="1"/>
  <c r="N578" i="1" s="1"/>
  <c r="L579" i="1"/>
  <c r="N579" i="1" s="1"/>
  <c r="L580" i="1"/>
  <c r="N580" i="1" s="1"/>
  <c r="L581" i="1"/>
  <c r="N581" i="1" s="1"/>
  <c r="L582" i="1"/>
  <c r="N582" i="1" s="1"/>
  <c r="L583" i="1"/>
  <c r="N583" i="1" s="1"/>
  <c r="L584" i="1"/>
  <c r="N584" i="1" s="1"/>
  <c r="L585" i="1"/>
  <c r="N585" i="1" s="1"/>
  <c r="L586" i="1"/>
  <c r="N586" i="1" s="1"/>
  <c r="L587" i="1"/>
  <c r="N587" i="1" s="1"/>
  <c r="L588" i="1"/>
  <c r="N588" i="1" s="1"/>
  <c r="L589" i="1"/>
  <c r="N589" i="1" s="1"/>
  <c r="L590" i="1"/>
  <c r="N590" i="1" s="1"/>
  <c r="L591" i="1"/>
  <c r="N591" i="1" s="1"/>
  <c r="L592" i="1"/>
  <c r="N592" i="1" s="1"/>
  <c r="L593" i="1"/>
  <c r="N593" i="1" s="1"/>
  <c r="L594" i="1"/>
  <c r="N594" i="1" s="1"/>
  <c r="L595" i="1"/>
  <c r="N595" i="1" s="1"/>
  <c r="L596" i="1"/>
  <c r="N596" i="1" s="1"/>
  <c r="L597" i="1"/>
  <c r="N597" i="1" s="1"/>
  <c r="L598" i="1"/>
  <c r="N598" i="1" s="1"/>
  <c r="L599" i="1"/>
  <c r="N599" i="1" s="1"/>
  <c r="L600" i="1"/>
  <c r="N600" i="1" s="1"/>
  <c r="L601" i="1"/>
  <c r="N601" i="1" s="1"/>
  <c r="L602" i="1"/>
  <c r="N602" i="1" s="1"/>
  <c r="L603" i="1"/>
  <c r="N603" i="1" s="1"/>
  <c r="L604" i="1"/>
  <c r="N604" i="1" s="1"/>
  <c r="L605" i="1"/>
  <c r="N605" i="1" s="1"/>
  <c r="L606" i="1"/>
  <c r="N606" i="1" s="1"/>
  <c r="L607" i="1"/>
  <c r="N607" i="1" s="1"/>
  <c r="L608" i="1"/>
  <c r="N608" i="1" s="1"/>
  <c r="L609" i="1"/>
  <c r="N609" i="1" s="1"/>
  <c r="L610" i="1"/>
  <c r="N610" i="1" s="1"/>
  <c r="L611" i="1"/>
  <c r="N611" i="1" s="1"/>
  <c r="L612" i="1"/>
  <c r="N612" i="1" s="1"/>
  <c r="L613" i="1"/>
  <c r="N613" i="1" s="1"/>
  <c r="L614" i="1"/>
  <c r="N614" i="1" s="1"/>
  <c r="L615" i="1"/>
  <c r="N615" i="1" s="1"/>
  <c r="L616" i="1"/>
  <c r="N616" i="1" s="1"/>
  <c r="L617" i="1"/>
  <c r="N617" i="1" s="1"/>
  <c r="L618" i="1"/>
  <c r="N618" i="1" s="1"/>
  <c r="L619" i="1"/>
  <c r="N619" i="1" s="1"/>
  <c r="L620" i="1"/>
  <c r="N620" i="1" s="1"/>
  <c r="L621" i="1"/>
  <c r="N621" i="1" s="1"/>
  <c r="L622" i="1"/>
  <c r="N622" i="1" s="1"/>
  <c r="L623" i="1"/>
  <c r="N623" i="1" s="1"/>
  <c r="L624" i="1"/>
  <c r="N624" i="1" s="1"/>
  <c r="L625" i="1"/>
  <c r="N625" i="1" s="1"/>
  <c r="L626" i="1"/>
  <c r="N626" i="1" s="1"/>
  <c r="L627" i="1"/>
  <c r="N627" i="1" s="1"/>
  <c r="L628" i="1"/>
  <c r="N628" i="1" s="1"/>
  <c r="L629" i="1"/>
  <c r="N629" i="1" s="1"/>
  <c r="L630" i="1"/>
  <c r="N630" i="1" s="1"/>
  <c r="L631" i="1"/>
  <c r="N631" i="1" s="1"/>
  <c r="L632" i="1"/>
  <c r="N632" i="1" s="1"/>
  <c r="L633" i="1"/>
  <c r="N633" i="1" s="1"/>
  <c r="L634" i="1"/>
  <c r="N634" i="1" s="1"/>
  <c r="L635" i="1"/>
  <c r="N635" i="1" s="1"/>
  <c r="L636" i="1"/>
  <c r="N636" i="1" s="1"/>
  <c r="L637" i="1"/>
  <c r="N637" i="1" s="1"/>
  <c r="L638" i="1"/>
  <c r="N638" i="1" s="1"/>
  <c r="L639" i="1"/>
  <c r="N639" i="1" s="1"/>
  <c r="L640" i="1"/>
  <c r="N640" i="1" s="1"/>
  <c r="L641" i="1"/>
  <c r="N641" i="1" s="1"/>
  <c r="L642" i="1"/>
  <c r="N642" i="1" s="1"/>
  <c r="L643" i="1"/>
  <c r="N643" i="1" s="1"/>
  <c r="L644" i="1"/>
  <c r="N644" i="1" s="1"/>
  <c r="L645" i="1"/>
  <c r="N645" i="1" s="1"/>
  <c r="L646" i="1"/>
  <c r="N646" i="1" s="1"/>
  <c r="L647" i="1"/>
  <c r="N647" i="1" s="1"/>
  <c r="L648" i="1"/>
  <c r="N648" i="1" s="1"/>
  <c r="L649" i="1"/>
  <c r="N649" i="1" s="1"/>
  <c r="L650" i="1"/>
  <c r="N650" i="1" s="1"/>
  <c r="L651" i="1"/>
  <c r="N651" i="1" s="1"/>
  <c r="L652" i="1"/>
  <c r="N652" i="1" s="1"/>
  <c r="L653" i="1"/>
  <c r="N653" i="1" s="1"/>
  <c r="L654" i="1"/>
  <c r="N654" i="1" s="1"/>
  <c r="L655" i="1"/>
  <c r="N655" i="1" s="1"/>
  <c r="L656" i="1"/>
  <c r="N656" i="1" s="1"/>
  <c r="L657" i="1"/>
  <c r="N657" i="1" s="1"/>
  <c r="L658" i="1"/>
  <c r="N658" i="1" s="1"/>
  <c r="L659" i="1"/>
  <c r="N659" i="1" s="1"/>
  <c r="L660" i="1"/>
  <c r="N660" i="1" s="1"/>
  <c r="L661" i="1"/>
  <c r="N661" i="1" s="1"/>
  <c r="L662" i="1"/>
  <c r="N662" i="1" s="1"/>
  <c r="L663" i="1"/>
  <c r="N663" i="1" s="1"/>
  <c r="L664" i="1"/>
  <c r="N664" i="1" s="1"/>
  <c r="L665" i="1"/>
  <c r="N665" i="1" s="1"/>
  <c r="L666" i="1"/>
  <c r="N666" i="1" s="1"/>
  <c r="L667" i="1"/>
  <c r="N667" i="1" s="1"/>
  <c r="L668" i="1"/>
  <c r="N668" i="1" s="1"/>
  <c r="L669" i="1"/>
  <c r="N669" i="1" s="1"/>
  <c r="L670" i="1"/>
  <c r="N670" i="1" s="1"/>
  <c r="L671" i="1"/>
  <c r="N671" i="1" s="1"/>
  <c r="L672" i="1"/>
  <c r="N672" i="1" s="1"/>
  <c r="L673" i="1"/>
  <c r="N673" i="1" s="1"/>
  <c r="L674" i="1"/>
  <c r="N674" i="1" s="1"/>
  <c r="L675" i="1"/>
  <c r="N675" i="1" s="1"/>
  <c r="L676" i="1"/>
  <c r="N676" i="1" s="1"/>
  <c r="L677" i="1"/>
  <c r="N677" i="1" s="1"/>
  <c r="L678" i="1"/>
  <c r="N678" i="1" s="1"/>
  <c r="L679" i="1"/>
  <c r="N679" i="1" s="1"/>
  <c r="L680" i="1"/>
  <c r="N680" i="1" s="1"/>
  <c r="L681" i="1"/>
  <c r="N681" i="1" s="1"/>
  <c r="L682" i="1"/>
  <c r="N682" i="1" s="1"/>
  <c r="L683" i="1"/>
  <c r="N683" i="1" s="1"/>
  <c r="L684" i="1"/>
  <c r="N684" i="1" s="1"/>
  <c r="L685" i="1"/>
  <c r="N685" i="1" s="1"/>
  <c r="L686" i="1"/>
  <c r="N686" i="1" s="1"/>
  <c r="L687" i="1"/>
  <c r="N687" i="1" s="1"/>
  <c r="L688" i="1"/>
  <c r="N688" i="1" s="1"/>
  <c r="L689" i="1"/>
  <c r="N689" i="1" s="1"/>
  <c r="L690" i="1"/>
  <c r="N690" i="1" s="1"/>
  <c r="L691" i="1"/>
  <c r="N691" i="1" s="1"/>
  <c r="L692" i="1"/>
  <c r="N692" i="1" s="1"/>
  <c r="L693" i="1"/>
  <c r="N693" i="1" s="1"/>
  <c r="L694" i="1"/>
  <c r="N694" i="1" s="1"/>
  <c r="L695" i="1"/>
  <c r="N695" i="1" s="1"/>
  <c r="L696" i="1"/>
  <c r="N696" i="1" s="1"/>
  <c r="L697" i="1"/>
  <c r="N697" i="1" s="1"/>
  <c r="L698" i="1"/>
  <c r="N698" i="1" s="1"/>
  <c r="L699" i="1"/>
  <c r="N699" i="1" s="1"/>
  <c r="L700" i="1"/>
  <c r="N700" i="1" s="1"/>
  <c r="L701" i="1"/>
  <c r="N701" i="1" s="1"/>
  <c r="L702" i="1"/>
  <c r="N702" i="1" s="1"/>
  <c r="L703" i="1"/>
  <c r="N703" i="1" s="1"/>
  <c r="L704" i="1"/>
  <c r="N704" i="1" s="1"/>
  <c r="L705" i="1"/>
  <c r="N705" i="1" s="1"/>
  <c r="L706" i="1"/>
  <c r="N706" i="1" s="1"/>
  <c r="L707" i="1"/>
  <c r="N707" i="1" s="1"/>
  <c r="L708" i="1"/>
  <c r="N708" i="1" s="1"/>
  <c r="L709" i="1"/>
  <c r="N709" i="1" s="1"/>
  <c r="L710" i="1"/>
  <c r="N710" i="1" s="1"/>
  <c r="L711" i="1"/>
  <c r="N711" i="1" s="1"/>
  <c r="L712" i="1"/>
  <c r="N712" i="1" s="1"/>
  <c r="L713" i="1"/>
  <c r="N713" i="1" s="1"/>
  <c r="L714" i="1"/>
  <c r="N714" i="1" s="1"/>
  <c r="L715" i="1"/>
  <c r="N715" i="1" s="1"/>
  <c r="L716" i="1"/>
  <c r="N716" i="1" s="1"/>
  <c r="L717" i="1"/>
  <c r="N717" i="1" s="1"/>
  <c r="L718" i="1"/>
  <c r="N718" i="1" s="1"/>
  <c r="L719" i="1"/>
  <c r="N719" i="1" s="1"/>
  <c r="L720" i="1"/>
  <c r="N720" i="1" s="1"/>
  <c r="L721" i="1"/>
  <c r="N721" i="1" s="1"/>
  <c r="L722" i="1"/>
  <c r="N722" i="1" s="1"/>
  <c r="L723" i="1"/>
  <c r="N723" i="1" s="1"/>
  <c r="L724" i="1"/>
  <c r="N724" i="1" s="1"/>
  <c r="L725" i="1"/>
  <c r="N725" i="1" s="1"/>
  <c r="L726" i="1"/>
  <c r="N726" i="1" s="1"/>
  <c r="L727" i="1"/>
  <c r="N727" i="1" s="1"/>
  <c r="L728" i="1"/>
  <c r="N728" i="1" s="1"/>
  <c r="L729" i="1"/>
  <c r="N729" i="1" s="1"/>
  <c r="L730" i="1"/>
  <c r="N730" i="1" s="1"/>
  <c r="L731" i="1"/>
  <c r="N731" i="1" s="1"/>
  <c r="L732" i="1"/>
  <c r="N732" i="1" s="1"/>
  <c r="L733" i="1"/>
  <c r="N733" i="1" s="1"/>
  <c r="L734" i="1"/>
  <c r="N734" i="1" s="1"/>
  <c r="L735" i="1"/>
  <c r="N735" i="1" s="1"/>
  <c r="L736" i="1"/>
  <c r="N736" i="1" s="1"/>
  <c r="L737" i="1"/>
  <c r="N737" i="1" s="1"/>
  <c r="L738" i="1"/>
  <c r="N738" i="1" s="1"/>
  <c r="L739" i="1"/>
  <c r="N739" i="1" s="1"/>
  <c r="L740" i="1"/>
  <c r="N740" i="1" s="1"/>
  <c r="L741" i="1"/>
  <c r="N741" i="1" s="1"/>
  <c r="L742" i="1"/>
  <c r="N742" i="1" s="1"/>
  <c r="L743" i="1"/>
  <c r="N743" i="1" s="1"/>
  <c r="L744" i="1"/>
  <c r="N744" i="1" s="1"/>
  <c r="L745" i="1"/>
  <c r="N745" i="1" s="1"/>
  <c r="L746" i="1"/>
  <c r="N746" i="1" s="1"/>
  <c r="L747" i="1"/>
  <c r="N747" i="1" s="1"/>
  <c r="L748" i="1"/>
  <c r="N748" i="1" s="1"/>
  <c r="L749" i="1"/>
  <c r="N749" i="1" s="1"/>
  <c r="L750" i="1"/>
  <c r="N750" i="1" s="1"/>
  <c r="L751" i="1"/>
  <c r="N751" i="1" s="1"/>
  <c r="L752" i="1"/>
  <c r="N752" i="1" s="1"/>
  <c r="L753" i="1"/>
  <c r="N753" i="1" s="1"/>
  <c r="L754" i="1"/>
  <c r="N754" i="1" s="1"/>
  <c r="L755" i="1"/>
  <c r="N755" i="1" s="1"/>
  <c r="L756" i="1"/>
  <c r="N756" i="1" s="1"/>
  <c r="L757" i="1"/>
  <c r="N757" i="1" s="1"/>
  <c r="L758" i="1"/>
  <c r="N758" i="1" s="1"/>
  <c r="L759" i="1"/>
  <c r="N759" i="1" s="1"/>
  <c r="L760" i="1"/>
  <c r="N760" i="1" s="1"/>
  <c r="L761" i="1"/>
  <c r="N761" i="1" s="1"/>
  <c r="L762" i="1"/>
  <c r="N762" i="1" s="1"/>
  <c r="L763" i="1"/>
  <c r="N763" i="1" s="1"/>
  <c r="L764" i="1"/>
  <c r="N764" i="1" s="1"/>
  <c r="L765" i="1"/>
  <c r="N765" i="1" s="1"/>
  <c r="L766" i="1"/>
  <c r="N766" i="1" s="1"/>
  <c r="L767" i="1"/>
  <c r="N767" i="1" s="1"/>
  <c r="L768" i="1"/>
  <c r="N768" i="1" s="1"/>
  <c r="L769" i="1"/>
  <c r="N769" i="1" s="1"/>
  <c r="L770" i="1"/>
  <c r="N770" i="1" s="1"/>
  <c r="L771" i="1"/>
  <c r="N771" i="1" s="1"/>
  <c r="L772" i="1"/>
  <c r="N772" i="1" s="1"/>
  <c r="L773" i="1"/>
  <c r="N773" i="1" s="1"/>
  <c r="L774" i="1"/>
  <c r="N774" i="1" s="1"/>
  <c r="L775" i="1"/>
  <c r="N775" i="1" s="1"/>
  <c r="L776" i="1"/>
  <c r="N776" i="1" s="1"/>
  <c r="L777" i="1"/>
  <c r="N777" i="1" s="1"/>
  <c r="L778" i="1"/>
  <c r="N778" i="1" s="1"/>
  <c r="L779" i="1"/>
  <c r="N779" i="1" s="1"/>
  <c r="L780" i="1"/>
  <c r="N780" i="1" s="1"/>
  <c r="L781" i="1"/>
  <c r="N781" i="1" s="1"/>
  <c r="L782" i="1"/>
  <c r="N782" i="1" s="1"/>
  <c r="L783" i="1"/>
  <c r="N783" i="1" s="1"/>
  <c r="L784" i="1"/>
  <c r="N784" i="1" s="1"/>
  <c r="L785" i="1"/>
  <c r="N785" i="1" s="1"/>
  <c r="L786" i="1"/>
  <c r="N786" i="1" s="1"/>
  <c r="L787" i="1"/>
  <c r="N787" i="1" s="1"/>
  <c r="L788" i="1"/>
  <c r="N788" i="1" s="1"/>
  <c r="L789" i="1"/>
  <c r="N789" i="1" s="1"/>
  <c r="L790" i="1"/>
  <c r="N790" i="1" s="1"/>
  <c r="L791" i="1"/>
  <c r="N791" i="1" s="1"/>
  <c r="L792" i="1"/>
  <c r="N792" i="1" s="1"/>
  <c r="L793" i="1"/>
  <c r="N793" i="1" s="1"/>
  <c r="L794" i="1"/>
  <c r="N794" i="1" s="1"/>
  <c r="L795" i="1"/>
  <c r="N795" i="1" s="1"/>
  <c r="L796" i="1"/>
  <c r="N796" i="1" s="1"/>
  <c r="L797" i="1"/>
  <c r="N797" i="1" s="1"/>
  <c r="L798" i="1"/>
  <c r="N798" i="1" s="1"/>
  <c r="L799" i="1"/>
  <c r="N799" i="1" s="1"/>
  <c r="L800" i="1"/>
  <c r="N800" i="1" s="1"/>
  <c r="L801" i="1"/>
  <c r="N801" i="1" s="1"/>
  <c r="L802" i="1"/>
  <c r="N802" i="1" s="1"/>
  <c r="L803" i="1"/>
  <c r="N803" i="1" s="1"/>
  <c r="L804" i="1"/>
  <c r="N804" i="1" s="1"/>
  <c r="L805" i="1"/>
  <c r="N805" i="1" s="1"/>
  <c r="L806" i="1"/>
  <c r="N806" i="1" s="1"/>
  <c r="L807" i="1"/>
  <c r="N807" i="1" s="1"/>
  <c r="L808" i="1"/>
  <c r="N808" i="1" s="1"/>
  <c r="L809" i="1"/>
  <c r="N809" i="1" s="1"/>
  <c r="L810" i="1"/>
  <c r="N810" i="1" s="1"/>
  <c r="L811" i="1"/>
  <c r="N811" i="1" s="1"/>
  <c r="L812" i="1"/>
  <c r="N812" i="1" s="1"/>
  <c r="L813" i="1"/>
  <c r="N813" i="1" s="1"/>
  <c r="L814" i="1"/>
  <c r="N814" i="1" s="1"/>
  <c r="L815" i="1"/>
  <c r="N815" i="1" s="1"/>
  <c r="L816" i="1"/>
  <c r="N816" i="1" s="1"/>
  <c r="L817" i="1"/>
  <c r="N817" i="1" s="1"/>
  <c r="L818" i="1"/>
  <c r="N818" i="1" s="1"/>
  <c r="L819" i="1"/>
  <c r="N819" i="1" s="1"/>
  <c r="L820" i="1"/>
  <c r="N820" i="1" s="1"/>
  <c r="L821" i="1"/>
  <c r="N821" i="1" s="1"/>
  <c r="L822" i="1"/>
  <c r="N822" i="1" s="1"/>
  <c r="L823" i="1"/>
  <c r="N823" i="1" s="1"/>
  <c r="L824" i="1"/>
  <c r="N824" i="1" s="1"/>
  <c r="L825" i="1"/>
  <c r="N825" i="1" s="1"/>
  <c r="L826" i="1"/>
  <c r="N826" i="1" s="1"/>
  <c r="L827" i="1"/>
  <c r="N827" i="1" s="1"/>
  <c r="L828" i="1"/>
  <c r="N828" i="1" s="1"/>
  <c r="L829" i="1"/>
  <c r="N829" i="1" s="1"/>
  <c r="L830" i="1"/>
  <c r="N830" i="1" s="1"/>
  <c r="L831" i="1"/>
  <c r="N831" i="1" s="1"/>
  <c r="L832" i="1"/>
  <c r="N832" i="1" s="1"/>
  <c r="L833" i="1"/>
  <c r="N833" i="1" s="1"/>
  <c r="L834" i="1"/>
  <c r="N834" i="1" s="1"/>
  <c r="L835" i="1"/>
  <c r="N835" i="1" s="1"/>
  <c r="L836" i="1"/>
  <c r="N836" i="1" s="1"/>
  <c r="L837" i="1"/>
  <c r="N837" i="1" s="1"/>
  <c r="L838" i="1"/>
  <c r="N838" i="1" s="1"/>
  <c r="L839" i="1"/>
  <c r="N839" i="1" s="1"/>
  <c r="L840" i="1"/>
  <c r="N840" i="1" s="1"/>
  <c r="L841" i="1"/>
  <c r="N841" i="1" s="1"/>
  <c r="L842" i="1"/>
  <c r="N842" i="1" s="1"/>
  <c r="L843" i="1"/>
  <c r="N843" i="1" s="1"/>
  <c r="L844" i="1"/>
  <c r="N844" i="1" s="1"/>
  <c r="L845" i="1"/>
  <c r="N845" i="1" s="1"/>
  <c r="L846" i="1"/>
  <c r="N846" i="1" s="1"/>
  <c r="L847" i="1"/>
  <c r="N847" i="1" s="1"/>
  <c r="L848" i="1"/>
  <c r="N848" i="1" s="1"/>
  <c r="L849" i="1"/>
  <c r="N849" i="1" s="1"/>
  <c r="L850" i="1"/>
  <c r="N850" i="1" s="1"/>
  <c r="L851" i="1"/>
  <c r="N851" i="1" s="1"/>
  <c r="L852" i="1"/>
  <c r="N852" i="1" s="1"/>
  <c r="L853" i="1"/>
  <c r="N853" i="1" s="1"/>
  <c r="L854" i="1"/>
  <c r="N854" i="1" s="1"/>
  <c r="L855" i="1"/>
  <c r="N855" i="1" s="1"/>
  <c r="L856" i="1"/>
  <c r="N856" i="1" s="1"/>
  <c r="L857" i="1"/>
  <c r="N857" i="1" s="1"/>
  <c r="L858" i="1"/>
  <c r="N858" i="1" s="1"/>
  <c r="L859" i="1"/>
  <c r="N859" i="1" s="1"/>
  <c r="L860" i="1"/>
  <c r="N860" i="1" s="1"/>
  <c r="L861" i="1"/>
  <c r="N861" i="1" s="1"/>
  <c r="L862" i="1"/>
  <c r="N862" i="1" s="1"/>
  <c r="L863" i="1"/>
  <c r="N863" i="1" s="1"/>
  <c r="L864" i="1"/>
  <c r="N864" i="1" s="1"/>
  <c r="L865" i="1"/>
  <c r="N865" i="1" s="1"/>
  <c r="L866" i="1"/>
  <c r="N866" i="1" s="1"/>
  <c r="L867" i="1"/>
  <c r="N867" i="1" s="1"/>
  <c r="L868" i="1"/>
  <c r="N868" i="1" s="1"/>
  <c r="L869" i="1"/>
  <c r="N869" i="1" s="1"/>
  <c r="L870" i="1"/>
  <c r="N870" i="1" s="1"/>
  <c r="L871" i="1"/>
  <c r="N871" i="1" s="1"/>
  <c r="L872" i="1"/>
  <c r="N872" i="1" s="1"/>
  <c r="L873" i="1"/>
  <c r="N873" i="1" s="1"/>
  <c r="L874" i="1"/>
  <c r="N874" i="1" s="1"/>
  <c r="L875" i="1"/>
  <c r="N875" i="1" s="1"/>
  <c r="L876" i="1"/>
  <c r="N876" i="1" s="1"/>
  <c r="L877" i="1"/>
  <c r="N877" i="1" s="1"/>
  <c r="L878" i="1"/>
  <c r="N878" i="1" s="1"/>
  <c r="L879" i="1"/>
  <c r="N879" i="1" s="1"/>
  <c r="L880" i="1"/>
  <c r="N880" i="1" s="1"/>
  <c r="L881" i="1"/>
  <c r="N881" i="1" s="1"/>
  <c r="L882" i="1"/>
  <c r="N882" i="1" s="1"/>
  <c r="L883" i="1"/>
  <c r="N883" i="1" s="1"/>
  <c r="L884" i="1"/>
  <c r="N884" i="1" s="1"/>
  <c r="L885" i="1"/>
  <c r="N885" i="1" s="1"/>
  <c r="L886" i="1"/>
  <c r="N886" i="1" s="1"/>
  <c r="L887" i="1"/>
  <c r="N887" i="1" s="1"/>
  <c r="L888" i="1"/>
  <c r="N888" i="1" s="1"/>
  <c r="L889" i="1"/>
  <c r="N889" i="1" s="1"/>
  <c r="L890" i="1"/>
  <c r="N890" i="1" s="1"/>
  <c r="L891" i="1"/>
  <c r="N891" i="1" s="1"/>
  <c r="L892" i="1"/>
  <c r="N892" i="1" s="1"/>
  <c r="L893" i="1"/>
  <c r="N893" i="1" s="1"/>
  <c r="L894" i="1"/>
  <c r="N894" i="1" s="1"/>
  <c r="L895" i="1"/>
  <c r="N895" i="1" s="1"/>
  <c r="L896" i="1"/>
  <c r="N896" i="1" s="1"/>
  <c r="L897" i="1"/>
  <c r="N897" i="1" s="1"/>
  <c r="L898" i="1"/>
  <c r="N898" i="1" s="1"/>
  <c r="L899" i="1"/>
  <c r="N899" i="1" s="1"/>
  <c r="L900" i="1"/>
  <c r="N900" i="1" s="1"/>
  <c r="L901" i="1"/>
  <c r="N901" i="1" s="1"/>
  <c r="L902" i="1"/>
  <c r="N902" i="1" s="1"/>
  <c r="L903" i="1"/>
  <c r="N903" i="1" s="1"/>
  <c r="L904" i="1"/>
  <c r="N904" i="1" s="1"/>
  <c r="L905" i="1"/>
  <c r="N905" i="1" s="1"/>
  <c r="L906" i="1"/>
  <c r="N906" i="1" s="1"/>
  <c r="L907" i="1"/>
  <c r="N907" i="1" s="1"/>
  <c r="L908" i="1"/>
  <c r="N908" i="1" s="1"/>
  <c r="L909" i="1"/>
  <c r="N909" i="1" s="1"/>
  <c r="L910" i="1"/>
  <c r="N910" i="1" s="1"/>
  <c r="L911" i="1"/>
  <c r="N911" i="1" s="1"/>
  <c r="L912" i="1"/>
  <c r="N912" i="1" s="1"/>
  <c r="L913" i="1"/>
  <c r="N913" i="1" s="1"/>
  <c r="L914" i="1"/>
  <c r="N914" i="1" s="1"/>
  <c r="L915" i="1"/>
  <c r="N915" i="1" s="1"/>
  <c r="L916" i="1"/>
  <c r="N916" i="1" s="1"/>
  <c r="L917" i="1"/>
  <c r="N917" i="1" s="1"/>
  <c r="L918" i="1"/>
  <c r="N918" i="1" s="1"/>
  <c r="L919" i="1"/>
  <c r="N919" i="1" s="1"/>
  <c r="L920" i="1"/>
  <c r="N920" i="1" s="1"/>
  <c r="L921" i="1"/>
  <c r="N921" i="1" s="1"/>
  <c r="L922" i="1"/>
  <c r="N922" i="1" s="1"/>
  <c r="L923" i="1"/>
  <c r="N923" i="1" s="1"/>
  <c r="L924" i="1"/>
  <c r="N924" i="1" s="1"/>
  <c r="L925" i="1"/>
  <c r="N925" i="1" s="1"/>
  <c r="L926" i="1"/>
  <c r="N926" i="1" s="1"/>
  <c r="L927" i="1"/>
  <c r="N927" i="1" s="1"/>
  <c r="L928" i="1"/>
  <c r="N928" i="1" s="1"/>
  <c r="L929" i="1"/>
  <c r="N929" i="1" s="1"/>
  <c r="L930" i="1"/>
  <c r="N930" i="1" s="1"/>
  <c r="L931" i="1"/>
  <c r="N931" i="1" s="1"/>
  <c r="L932" i="1"/>
  <c r="N932" i="1" s="1"/>
  <c r="L933" i="1"/>
  <c r="N933" i="1" s="1"/>
  <c r="L934" i="1"/>
  <c r="N934" i="1" s="1"/>
  <c r="L935" i="1"/>
  <c r="N935" i="1" s="1"/>
  <c r="L936" i="1"/>
  <c r="N936" i="1" s="1"/>
  <c r="L937" i="1"/>
  <c r="N937" i="1" s="1"/>
  <c r="L938" i="1"/>
  <c r="N938" i="1" s="1"/>
  <c r="L939" i="1"/>
  <c r="N939" i="1" s="1"/>
  <c r="L940" i="1"/>
  <c r="N940" i="1" s="1"/>
  <c r="L941" i="1"/>
  <c r="N941" i="1" s="1"/>
  <c r="L942" i="1"/>
  <c r="N942" i="1" s="1"/>
  <c r="L943" i="1"/>
  <c r="N943" i="1" s="1"/>
  <c r="L944" i="1"/>
  <c r="N944" i="1" s="1"/>
  <c r="L945" i="1"/>
  <c r="N945" i="1" s="1"/>
  <c r="L946" i="1"/>
  <c r="N946" i="1" s="1"/>
  <c r="L947" i="1"/>
  <c r="N947" i="1" s="1"/>
  <c r="L948" i="1"/>
  <c r="N948" i="1" s="1"/>
  <c r="L949" i="1"/>
  <c r="N949" i="1" s="1"/>
  <c r="L950" i="1"/>
  <c r="N950" i="1" s="1"/>
  <c r="L951" i="1"/>
  <c r="N951" i="1" s="1"/>
  <c r="L952" i="1"/>
  <c r="N952" i="1" s="1"/>
  <c r="L953" i="1"/>
  <c r="N953" i="1" s="1"/>
  <c r="L954" i="1"/>
  <c r="N954" i="1" s="1"/>
  <c r="L955" i="1"/>
  <c r="N955" i="1" s="1"/>
  <c r="L956" i="1"/>
  <c r="N956" i="1" s="1"/>
  <c r="L957" i="1"/>
  <c r="N957" i="1" s="1"/>
  <c r="L958" i="1"/>
  <c r="N958" i="1" s="1"/>
  <c r="L959" i="1"/>
  <c r="N959" i="1" s="1"/>
  <c r="L960" i="1"/>
  <c r="N960" i="1" s="1"/>
  <c r="L961" i="1"/>
  <c r="N961" i="1" s="1"/>
  <c r="L962" i="1"/>
  <c r="N962" i="1" s="1"/>
  <c r="L963" i="1"/>
  <c r="N963" i="1" s="1"/>
  <c r="L964" i="1"/>
  <c r="N964" i="1" s="1"/>
  <c r="L965" i="1"/>
  <c r="N965" i="1" s="1"/>
  <c r="L966" i="1"/>
  <c r="N966" i="1" s="1"/>
  <c r="L967" i="1"/>
  <c r="N967" i="1" s="1"/>
  <c r="L968" i="1"/>
  <c r="N968" i="1" s="1"/>
  <c r="L969" i="1"/>
  <c r="N969" i="1" s="1"/>
  <c r="L970" i="1"/>
  <c r="N970" i="1" s="1"/>
  <c r="L971" i="1"/>
  <c r="N971" i="1" s="1"/>
  <c r="L972" i="1"/>
  <c r="N972" i="1" s="1"/>
  <c r="L973" i="1"/>
  <c r="N973" i="1" s="1"/>
  <c r="L974" i="1"/>
  <c r="N974" i="1" s="1"/>
  <c r="L975" i="1"/>
  <c r="N975" i="1" s="1"/>
  <c r="L976" i="1"/>
  <c r="N976" i="1" s="1"/>
  <c r="L977" i="1"/>
  <c r="N977" i="1" s="1"/>
  <c r="L978" i="1"/>
  <c r="N978" i="1" s="1"/>
  <c r="L979" i="1"/>
  <c r="N979" i="1" s="1"/>
  <c r="L980" i="1"/>
  <c r="N980" i="1" s="1"/>
  <c r="L981" i="1"/>
  <c r="N981" i="1" s="1"/>
  <c r="L982" i="1"/>
  <c r="N982" i="1" s="1"/>
  <c r="L983" i="1"/>
  <c r="N983" i="1" s="1"/>
  <c r="L984" i="1"/>
  <c r="N984" i="1" s="1"/>
  <c r="L985" i="1"/>
  <c r="N985" i="1" s="1"/>
  <c r="L986" i="1"/>
  <c r="N986" i="1" s="1"/>
  <c r="L987" i="1"/>
  <c r="N987" i="1" s="1"/>
  <c r="L988" i="1"/>
  <c r="N988" i="1" s="1"/>
  <c r="L989" i="1"/>
  <c r="N989" i="1" s="1"/>
  <c r="L990" i="1"/>
  <c r="N990" i="1" s="1"/>
  <c r="L991" i="1"/>
  <c r="N991" i="1" s="1"/>
  <c r="L992" i="1"/>
  <c r="N992" i="1" s="1"/>
  <c r="L993" i="1"/>
  <c r="N993" i="1" s="1"/>
  <c r="L994" i="1"/>
  <c r="N994" i="1" s="1"/>
  <c r="L995" i="1"/>
  <c r="N995" i="1" s="1"/>
  <c r="L996" i="1"/>
  <c r="N996" i="1" s="1"/>
  <c r="L997" i="1"/>
  <c r="N997" i="1" s="1"/>
  <c r="L998" i="1"/>
  <c r="N998" i="1" s="1"/>
  <c r="L999" i="1"/>
  <c r="N999" i="1" s="1"/>
  <c r="L1000" i="1"/>
  <c r="N1000" i="1" s="1"/>
  <c r="L1001" i="1"/>
  <c r="N1001" i="1" s="1"/>
  <c r="L1002" i="1"/>
  <c r="N1002" i="1" s="1"/>
  <c r="L1003" i="1"/>
  <c r="N1003" i="1" s="1"/>
  <c r="L1004" i="1"/>
  <c r="N1004" i="1" s="1"/>
  <c r="L1005" i="1"/>
  <c r="N1005" i="1" s="1"/>
  <c r="L1006" i="1"/>
  <c r="N1006" i="1" s="1"/>
  <c r="L1007" i="1"/>
  <c r="N1007" i="1" s="1"/>
  <c r="L1008" i="1"/>
  <c r="N1008" i="1" s="1"/>
  <c r="L1009" i="1"/>
  <c r="N1009" i="1" s="1"/>
  <c r="L1010" i="1"/>
  <c r="N1010" i="1" s="1"/>
  <c r="L1011" i="1"/>
  <c r="N1011" i="1" s="1"/>
  <c r="L1012" i="1"/>
  <c r="N1012" i="1" s="1"/>
  <c r="L1013" i="1"/>
  <c r="N1013" i="1" s="1"/>
  <c r="L1014" i="1"/>
  <c r="N1014" i="1" s="1"/>
  <c r="L1015" i="1"/>
  <c r="N1015" i="1" s="1"/>
  <c r="L1016" i="1"/>
  <c r="N1016" i="1" s="1"/>
  <c r="L1017" i="1"/>
  <c r="N1017" i="1" s="1"/>
  <c r="L1018" i="1"/>
  <c r="N1018" i="1" s="1"/>
  <c r="L1019" i="1"/>
  <c r="N1019" i="1" s="1"/>
  <c r="L1020" i="1"/>
  <c r="N1020" i="1" s="1"/>
  <c r="L1021" i="1"/>
  <c r="N1021" i="1" s="1"/>
  <c r="L1022" i="1"/>
  <c r="N1022" i="1" s="1"/>
  <c r="L1023" i="1"/>
  <c r="N1023" i="1" s="1"/>
  <c r="L1024" i="1"/>
  <c r="N1024" i="1" s="1"/>
  <c r="L1025" i="1"/>
  <c r="N1025" i="1" s="1"/>
  <c r="L1026" i="1"/>
  <c r="N1026" i="1" s="1"/>
  <c r="L1027" i="1"/>
  <c r="N1027" i="1" s="1"/>
  <c r="L1028" i="1"/>
  <c r="N1028" i="1" s="1"/>
  <c r="L1029" i="1"/>
  <c r="N1029" i="1" s="1"/>
  <c r="L1030" i="1"/>
  <c r="N1030" i="1" s="1"/>
  <c r="L1031" i="1"/>
  <c r="N1031" i="1" s="1"/>
  <c r="L1032" i="1"/>
  <c r="N1032" i="1" s="1"/>
  <c r="L1033" i="1"/>
  <c r="N1033" i="1" s="1"/>
  <c r="L1034" i="1"/>
  <c r="N1034" i="1" s="1"/>
  <c r="L1035" i="1"/>
  <c r="N1035" i="1" s="1"/>
  <c r="L1036" i="1"/>
  <c r="N1036" i="1" s="1"/>
  <c r="L1037" i="1"/>
  <c r="N1037" i="1" s="1"/>
  <c r="L1038" i="1"/>
  <c r="N1038" i="1" s="1"/>
  <c r="L1039" i="1"/>
  <c r="N1039" i="1" s="1"/>
  <c r="L1040" i="1"/>
  <c r="N1040" i="1" s="1"/>
  <c r="L1041" i="1"/>
  <c r="N1041" i="1" s="1"/>
  <c r="L1042" i="1"/>
  <c r="N1042" i="1" s="1"/>
  <c r="L1043" i="1"/>
  <c r="N1043" i="1" s="1"/>
  <c r="L1044" i="1"/>
  <c r="N1044" i="1" s="1"/>
  <c r="L1045" i="1"/>
  <c r="N1045" i="1" s="1"/>
  <c r="L1046" i="1"/>
  <c r="N1046" i="1" s="1"/>
  <c r="L1047" i="1"/>
  <c r="N1047" i="1" s="1"/>
  <c r="L1048" i="1"/>
  <c r="N1048" i="1" s="1"/>
  <c r="L1049" i="1"/>
  <c r="N1049" i="1" s="1"/>
  <c r="L1050" i="1"/>
  <c r="N1050" i="1" s="1"/>
  <c r="L1051" i="1"/>
  <c r="N1051" i="1" s="1"/>
  <c r="L1052" i="1"/>
  <c r="N1052" i="1" s="1"/>
  <c r="L1053" i="1"/>
  <c r="N1053" i="1" s="1"/>
  <c r="L1054" i="1"/>
  <c r="N1054" i="1" s="1"/>
  <c r="L1055" i="1"/>
  <c r="N1055" i="1" s="1"/>
  <c r="L1056" i="1"/>
  <c r="N1056" i="1" s="1"/>
  <c r="L1057" i="1"/>
  <c r="N1057" i="1" s="1"/>
  <c r="L1058" i="1"/>
  <c r="N1058" i="1" s="1"/>
  <c r="L1059" i="1"/>
  <c r="N1059" i="1" s="1"/>
  <c r="L1060" i="1"/>
  <c r="N1060" i="1" s="1"/>
  <c r="L1061" i="1"/>
  <c r="N1061" i="1" s="1"/>
  <c r="L1062" i="1"/>
  <c r="N1062" i="1" s="1"/>
  <c r="L1063" i="1"/>
  <c r="N1063" i="1" s="1"/>
  <c r="L1064" i="1"/>
  <c r="N1064" i="1" s="1"/>
  <c r="L1065" i="1"/>
  <c r="N1065" i="1" s="1"/>
  <c r="L1066" i="1"/>
  <c r="N1066" i="1" s="1"/>
  <c r="L1067" i="1"/>
  <c r="N1067" i="1" s="1"/>
  <c r="L1068" i="1"/>
  <c r="N1068" i="1" s="1"/>
  <c r="L1069" i="1"/>
  <c r="N1069" i="1" s="1"/>
  <c r="L1070" i="1"/>
  <c r="N1070" i="1" s="1"/>
  <c r="L1071" i="1"/>
  <c r="N1071" i="1" s="1"/>
  <c r="L1072" i="1"/>
  <c r="N1072" i="1" s="1"/>
  <c r="L1073" i="1"/>
  <c r="N1073" i="1" s="1"/>
  <c r="L1074" i="1"/>
  <c r="N1074" i="1" s="1"/>
  <c r="L1075" i="1"/>
  <c r="N1075" i="1" s="1"/>
  <c r="L1076" i="1"/>
  <c r="N1076" i="1" s="1"/>
  <c r="L1077" i="1"/>
  <c r="N1077" i="1" s="1"/>
  <c r="L1078" i="1"/>
  <c r="N1078" i="1" s="1"/>
  <c r="L1079" i="1"/>
  <c r="N1079" i="1" s="1"/>
  <c r="L1080" i="1"/>
  <c r="N1080" i="1" s="1"/>
  <c r="L1081" i="1"/>
  <c r="N1081" i="1" s="1"/>
  <c r="L1082" i="1"/>
  <c r="N1082" i="1" s="1"/>
  <c r="L1083" i="1"/>
  <c r="N1083" i="1" s="1"/>
  <c r="L1084" i="1"/>
  <c r="N1084" i="1" s="1"/>
  <c r="L1085" i="1"/>
  <c r="N1085" i="1" s="1"/>
  <c r="L1086" i="1"/>
  <c r="N1086" i="1" s="1"/>
  <c r="L1087" i="1"/>
  <c r="N1087" i="1" s="1"/>
  <c r="L1088" i="1"/>
  <c r="N1088" i="1" s="1"/>
  <c r="L1089" i="1"/>
  <c r="N1089" i="1" s="1"/>
  <c r="L1090" i="1"/>
  <c r="N1090" i="1" s="1"/>
  <c r="L1091" i="1"/>
  <c r="N1091" i="1" s="1"/>
  <c r="L1092" i="1"/>
  <c r="N1092" i="1" s="1"/>
  <c r="L1093" i="1"/>
  <c r="N1093" i="1" s="1"/>
  <c r="L1094" i="1"/>
  <c r="N1094" i="1" s="1"/>
  <c r="L1095" i="1"/>
  <c r="N1095" i="1" s="1"/>
  <c r="L1096" i="1"/>
  <c r="N1096" i="1" s="1"/>
  <c r="L1097" i="1"/>
  <c r="N1097" i="1" s="1"/>
  <c r="L1098" i="1"/>
  <c r="N1098" i="1" s="1"/>
  <c r="L1099" i="1"/>
  <c r="N1099" i="1" s="1"/>
  <c r="L1100" i="1"/>
  <c r="N1100" i="1" s="1"/>
  <c r="L1101" i="1"/>
  <c r="N1101" i="1" s="1"/>
  <c r="L1102" i="1"/>
  <c r="N1102" i="1" s="1"/>
  <c r="L1103" i="1"/>
  <c r="N1103" i="1" s="1"/>
  <c r="L1104" i="1"/>
  <c r="N1104" i="1" s="1"/>
  <c r="L1105" i="1"/>
  <c r="N1105" i="1" s="1"/>
  <c r="L1106" i="1"/>
  <c r="N1106" i="1" s="1"/>
  <c r="L1107" i="1"/>
  <c r="N1107" i="1" s="1"/>
  <c r="L1108" i="1"/>
  <c r="N1108" i="1" s="1"/>
  <c r="L1109" i="1"/>
  <c r="N1109" i="1" s="1"/>
  <c r="L1110" i="1"/>
  <c r="N1110" i="1" s="1"/>
  <c r="L1111" i="1"/>
  <c r="N1111" i="1" s="1"/>
  <c r="L1112" i="1"/>
  <c r="N1112" i="1" s="1"/>
  <c r="L1113" i="1"/>
  <c r="N1113" i="1" s="1"/>
  <c r="L1114" i="1"/>
  <c r="N1114" i="1" s="1"/>
  <c r="L1115" i="1"/>
  <c r="N1115" i="1" s="1"/>
  <c r="L1116" i="1"/>
  <c r="N1116" i="1" s="1"/>
  <c r="L1117" i="1"/>
  <c r="N1117" i="1" s="1"/>
  <c r="L1118" i="1"/>
  <c r="N1118" i="1" s="1"/>
  <c r="L1119" i="1"/>
  <c r="N1119" i="1" s="1"/>
  <c r="L1120" i="1"/>
  <c r="N1120" i="1" s="1"/>
  <c r="L1121" i="1"/>
  <c r="N1121" i="1" s="1"/>
  <c r="L1122" i="1"/>
  <c r="N1122" i="1" s="1"/>
  <c r="L1123" i="1"/>
  <c r="N1123" i="1" s="1"/>
  <c r="L1124" i="1"/>
  <c r="N1124" i="1" s="1"/>
  <c r="L1125" i="1"/>
  <c r="N1125" i="1" s="1"/>
  <c r="L1126" i="1"/>
  <c r="N1126" i="1" s="1"/>
  <c r="L1127" i="1"/>
  <c r="N1127" i="1" s="1"/>
  <c r="L1128" i="1"/>
  <c r="N1128" i="1" s="1"/>
  <c r="L1129" i="1"/>
  <c r="N1129" i="1" s="1"/>
  <c r="L1130" i="1"/>
  <c r="N1130" i="1" s="1"/>
  <c r="L1131" i="1"/>
  <c r="N1131" i="1" s="1"/>
  <c r="L1132" i="1"/>
  <c r="N1132" i="1" s="1"/>
  <c r="L1133" i="1"/>
  <c r="N1133" i="1" s="1"/>
  <c r="L1134" i="1"/>
  <c r="N1134" i="1" s="1"/>
  <c r="L1135" i="1"/>
  <c r="N1135" i="1" s="1"/>
  <c r="L1136" i="1"/>
  <c r="N1136" i="1" s="1"/>
  <c r="L1137" i="1"/>
  <c r="N1137" i="1" s="1"/>
  <c r="L1138" i="1"/>
  <c r="N1138" i="1" s="1"/>
  <c r="L1139" i="1"/>
  <c r="N1139" i="1" s="1"/>
  <c r="L1140" i="1"/>
  <c r="N1140" i="1" s="1"/>
  <c r="L1141" i="1"/>
  <c r="N1141" i="1" s="1"/>
  <c r="L1142" i="1"/>
  <c r="N1142" i="1" s="1"/>
  <c r="L1143" i="1"/>
  <c r="N1143" i="1" s="1"/>
  <c r="L1144" i="1"/>
  <c r="N1144" i="1" s="1"/>
  <c r="L1145" i="1"/>
  <c r="N1145" i="1" s="1"/>
  <c r="L1146" i="1"/>
  <c r="N1146" i="1" s="1"/>
  <c r="L1147" i="1"/>
  <c r="N1147" i="1" s="1"/>
  <c r="L1148" i="1"/>
  <c r="N1148" i="1" s="1"/>
  <c r="L1149" i="1"/>
  <c r="N1149" i="1" s="1"/>
  <c r="L1150" i="1"/>
  <c r="N1150" i="1" s="1"/>
  <c r="L1151" i="1"/>
  <c r="N1151" i="1" s="1"/>
  <c r="L1152" i="1"/>
  <c r="N1152" i="1" s="1"/>
  <c r="L1153" i="1"/>
  <c r="N1153" i="1" s="1"/>
  <c r="L1154" i="1"/>
  <c r="N1154" i="1" s="1"/>
  <c r="L1155" i="1"/>
  <c r="N1155" i="1" s="1"/>
  <c r="L1156" i="1"/>
  <c r="N1156" i="1" s="1"/>
  <c r="L1157" i="1"/>
  <c r="N1157" i="1" s="1"/>
  <c r="L1158" i="1"/>
  <c r="N1158" i="1" s="1"/>
  <c r="L1159" i="1"/>
  <c r="N1159" i="1" s="1"/>
  <c r="L1160" i="1"/>
  <c r="N1160" i="1" s="1"/>
  <c r="L1161" i="1"/>
  <c r="N1161" i="1" s="1"/>
  <c r="L1162" i="1"/>
  <c r="N1162" i="1" s="1"/>
  <c r="L1163" i="1"/>
  <c r="N1163" i="1" s="1"/>
  <c r="L1164" i="1"/>
  <c r="N1164" i="1" s="1"/>
  <c r="L1165" i="1"/>
  <c r="N1165" i="1" s="1"/>
  <c r="L1166" i="1"/>
  <c r="N1166" i="1" s="1"/>
  <c r="L1167" i="1"/>
  <c r="N1167" i="1" s="1"/>
  <c r="L1168" i="1"/>
  <c r="N1168" i="1" s="1"/>
  <c r="L1169" i="1"/>
  <c r="N1169" i="1" s="1"/>
  <c r="L1170" i="1"/>
  <c r="N1170" i="1" s="1"/>
  <c r="L1171" i="1"/>
  <c r="N1171" i="1" s="1"/>
  <c r="L1172" i="1"/>
  <c r="N1172" i="1" s="1"/>
  <c r="L1173" i="1"/>
  <c r="N1173" i="1" s="1"/>
  <c r="L1174" i="1"/>
  <c r="N1174" i="1" s="1"/>
  <c r="L1175" i="1"/>
  <c r="N1175" i="1" s="1"/>
  <c r="L1176" i="1"/>
  <c r="N1176" i="1" s="1"/>
  <c r="L1177" i="1"/>
  <c r="N1177" i="1" s="1"/>
  <c r="L1178" i="1"/>
  <c r="N1178" i="1" s="1"/>
  <c r="L1179" i="1"/>
  <c r="N1179" i="1" s="1"/>
  <c r="L1180" i="1"/>
  <c r="N1180" i="1" s="1"/>
  <c r="L1181" i="1"/>
  <c r="N1181" i="1" s="1"/>
  <c r="L1182" i="1"/>
  <c r="N1182" i="1" s="1"/>
  <c r="L1183" i="1"/>
  <c r="N1183" i="1" s="1"/>
  <c r="L1184" i="1"/>
  <c r="N1184" i="1" s="1"/>
  <c r="L1185" i="1"/>
  <c r="N1185" i="1" s="1"/>
  <c r="L1186" i="1"/>
  <c r="N1186" i="1" s="1"/>
  <c r="L1187" i="1"/>
  <c r="N1187" i="1" s="1"/>
  <c r="L1188" i="1"/>
  <c r="N1188" i="1" s="1"/>
  <c r="L1189" i="1"/>
  <c r="N1189" i="1" s="1"/>
  <c r="L1190" i="1"/>
  <c r="N1190" i="1" s="1"/>
  <c r="L1191" i="1"/>
  <c r="N1191" i="1" s="1"/>
  <c r="L1192" i="1"/>
  <c r="N1192" i="1" s="1"/>
  <c r="L1193" i="1"/>
  <c r="N1193" i="1" s="1"/>
  <c r="L1194" i="1"/>
  <c r="N1194" i="1" s="1"/>
  <c r="L1195" i="1"/>
  <c r="N1195" i="1" s="1"/>
  <c r="L1196" i="1"/>
  <c r="N1196" i="1" s="1"/>
  <c r="L1197" i="1"/>
  <c r="N1197" i="1" s="1"/>
  <c r="L1198" i="1"/>
  <c r="N1198" i="1" s="1"/>
  <c r="L1199" i="1"/>
  <c r="N1199" i="1" s="1"/>
  <c r="L1200" i="1"/>
  <c r="N1200" i="1" s="1"/>
  <c r="L1201" i="1"/>
  <c r="N1201" i="1" s="1"/>
  <c r="L1202" i="1"/>
  <c r="N1202" i="1" s="1"/>
  <c r="L1203" i="1"/>
  <c r="N1203" i="1" s="1"/>
  <c r="L1204" i="1"/>
  <c r="N1204" i="1" s="1"/>
  <c r="L1205" i="1"/>
  <c r="N1205" i="1" s="1"/>
  <c r="L1206" i="1"/>
  <c r="N1206" i="1" s="1"/>
  <c r="L1207" i="1"/>
  <c r="N1207" i="1" s="1"/>
  <c r="L1208" i="1"/>
  <c r="N1208" i="1" s="1"/>
  <c r="L1209" i="1"/>
  <c r="N1209" i="1" s="1"/>
  <c r="L1210" i="1"/>
  <c r="N1210" i="1" s="1"/>
  <c r="L1211" i="1"/>
  <c r="N1211" i="1" s="1"/>
  <c r="L1212" i="1"/>
  <c r="N1212" i="1" s="1"/>
  <c r="L1213" i="1"/>
  <c r="N1213" i="1" s="1"/>
  <c r="L1214" i="1"/>
  <c r="N1214" i="1" s="1"/>
  <c r="L1215" i="1"/>
  <c r="N1215" i="1" s="1"/>
  <c r="L1216" i="1"/>
  <c r="N1216" i="1" s="1"/>
  <c r="L1217" i="1"/>
  <c r="N1217" i="1" s="1"/>
  <c r="L1218" i="1"/>
  <c r="N1218" i="1" s="1"/>
  <c r="L1219" i="1"/>
  <c r="N1219" i="1" s="1"/>
  <c r="L1220" i="1"/>
  <c r="N1220" i="1" s="1"/>
  <c r="L1221" i="1"/>
  <c r="N1221" i="1" s="1"/>
  <c r="L1222" i="1"/>
  <c r="N1222" i="1" s="1"/>
  <c r="L1223" i="1"/>
  <c r="N1223" i="1" s="1"/>
  <c r="L1224" i="1"/>
  <c r="N1224" i="1" s="1"/>
  <c r="L1225" i="1"/>
  <c r="N1225" i="1" s="1"/>
  <c r="L1226" i="1"/>
  <c r="N1226" i="1" s="1"/>
  <c r="L1227" i="1"/>
  <c r="N1227" i="1" s="1"/>
  <c r="L1228" i="1"/>
  <c r="N1228" i="1" s="1"/>
  <c r="L1229" i="1"/>
  <c r="N1229" i="1" s="1"/>
  <c r="L1230" i="1"/>
  <c r="N1230" i="1" s="1"/>
  <c r="L1231" i="1"/>
  <c r="N1231" i="1" s="1"/>
  <c r="L1232" i="1"/>
  <c r="N1232" i="1" s="1"/>
  <c r="L1233" i="1"/>
  <c r="N1233" i="1" s="1"/>
  <c r="L1234" i="1"/>
  <c r="N1234" i="1" s="1"/>
  <c r="L1235" i="1"/>
  <c r="N1235" i="1" s="1"/>
  <c r="L1236" i="1"/>
  <c r="N1236" i="1" s="1"/>
  <c r="L1237" i="1"/>
  <c r="N1237" i="1" s="1"/>
  <c r="L1238" i="1"/>
  <c r="N1238" i="1" s="1"/>
  <c r="L1239" i="1"/>
  <c r="N1239" i="1" s="1"/>
  <c r="L1240" i="1"/>
  <c r="N1240" i="1" s="1"/>
  <c r="L1241" i="1"/>
  <c r="N1241" i="1" s="1"/>
  <c r="L1242" i="1"/>
  <c r="N1242" i="1" s="1"/>
  <c r="L1243" i="1"/>
  <c r="N1243" i="1" s="1"/>
  <c r="L1244" i="1"/>
  <c r="N1244" i="1" s="1"/>
  <c r="L1245" i="1"/>
  <c r="N1245" i="1" s="1"/>
  <c r="L1246" i="1"/>
  <c r="N1246" i="1" s="1"/>
  <c r="L1247" i="1"/>
  <c r="N1247" i="1" s="1"/>
  <c r="L1248" i="1"/>
  <c r="N1248" i="1" s="1"/>
  <c r="L1249" i="1"/>
  <c r="N1249" i="1" s="1"/>
  <c r="L1250" i="1"/>
  <c r="N1250" i="1" s="1"/>
  <c r="L1251" i="1"/>
  <c r="N1251" i="1" s="1"/>
  <c r="L1252" i="1"/>
  <c r="N1252" i="1" s="1"/>
  <c r="L1253" i="1"/>
  <c r="N1253" i="1" s="1"/>
  <c r="L1254" i="1"/>
  <c r="N1254" i="1" s="1"/>
  <c r="L1255" i="1"/>
  <c r="N1255" i="1" s="1"/>
  <c r="L1256" i="1"/>
  <c r="N1256" i="1" s="1"/>
  <c r="L1257" i="1"/>
  <c r="N1257" i="1" s="1"/>
  <c r="L1258" i="1"/>
  <c r="N1258" i="1" s="1"/>
  <c r="L1259" i="1"/>
  <c r="N1259" i="1" s="1"/>
  <c r="L1260" i="1"/>
  <c r="N1260" i="1" s="1"/>
  <c r="L1261" i="1"/>
  <c r="N1261" i="1" s="1"/>
  <c r="L1262" i="1"/>
  <c r="N1262" i="1" s="1"/>
  <c r="L1263" i="1"/>
  <c r="N1263" i="1" s="1"/>
  <c r="L1264" i="1"/>
  <c r="N1264" i="1" s="1"/>
  <c r="L1265" i="1"/>
  <c r="N1265" i="1" s="1"/>
  <c r="L1266" i="1"/>
  <c r="N1266" i="1" s="1"/>
  <c r="L1267" i="1"/>
  <c r="N1267" i="1" s="1"/>
  <c r="L1268" i="1"/>
  <c r="N1268" i="1" s="1"/>
  <c r="L1269" i="1"/>
  <c r="N1269" i="1" s="1"/>
  <c r="L1270" i="1"/>
  <c r="N1270" i="1" s="1"/>
  <c r="L1271" i="1"/>
  <c r="N1271" i="1" s="1"/>
  <c r="L1272" i="1"/>
  <c r="N1272" i="1" s="1"/>
  <c r="L1273" i="1"/>
  <c r="N1273" i="1" s="1"/>
  <c r="L1274" i="1"/>
  <c r="N1274" i="1" s="1"/>
  <c r="L1275" i="1"/>
  <c r="N1275" i="1" s="1"/>
  <c r="L1276" i="1"/>
  <c r="N1276" i="1" s="1"/>
  <c r="L1277" i="1"/>
  <c r="N1277" i="1" s="1"/>
  <c r="L1278" i="1"/>
  <c r="N1278" i="1" s="1"/>
  <c r="L1279" i="1"/>
  <c r="N1279" i="1" s="1"/>
  <c r="L1280" i="1"/>
  <c r="N1280" i="1" s="1"/>
  <c r="L1281" i="1"/>
  <c r="N1281" i="1" s="1"/>
  <c r="L1282" i="1"/>
  <c r="N1282" i="1" s="1"/>
  <c r="L1283" i="1"/>
  <c r="N1283" i="1" s="1"/>
  <c r="L1284" i="1"/>
  <c r="N1284" i="1" s="1"/>
  <c r="L1285" i="1"/>
  <c r="N1285" i="1" s="1"/>
  <c r="L1286" i="1"/>
  <c r="N1286" i="1" s="1"/>
  <c r="L1287" i="1"/>
  <c r="N1287" i="1" s="1"/>
  <c r="L1288" i="1"/>
  <c r="N1288" i="1" s="1"/>
  <c r="L1289" i="1"/>
  <c r="N1289" i="1" s="1"/>
  <c r="L1290" i="1"/>
  <c r="N1290" i="1" s="1"/>
  <c r="L1291" i="1"/>
  <c r="N1291" i="1" s="1"/>
  <c r="L1292" i="1"/>
  <c r="N1292" i="1" s="1"/>
  <c r="L1293" i="1"/>
  <c r="N1293" i="1" s="1"/>
  <c r="L1294" i="1"/>
  <c r="N1294" i="1" s="1"/>
  <c r="L1295" i="1"/>
  <c r="N1295" i="1" s="1"/>
  <c r="L1296" i="1"/>
  <c r="N1296" i="1" s="1"/>
  <c r="L1297" i="1"/>
  <c r="N1297" i="1" s="1"/>
  <c r="L1298" i="1"/>
  <c r="N1298" i="1" s="1"/>
  <c r="L1299" i="1"/>
  <c r="N1299" i="1" s="1"/>
  <c r="L1300" i="1"/>
  <c r="N1300" i="1" s="1"/>
  <c r="L1301" i="1"/>
  <c r="N1301" i="1" s="1"/>
  <c r="L1302" i="1"/>
  <c r="N1302" i="1" s="1"/>
  <c r="L1303" i="1"/>
  <c r="N1303" i="1" s="1"/>
  <c r="L1304" i="1"/>
  <c r="N1304" i="1" s="1"/>
  <c r="L1305" i="1"/>
  <c r="N1305" i="1" s="1"/>
  <c r="L1306" i="1"/>
  <c r="N1306" i="1" s="1"/>
  <c r="L1307" i="1"/>
  <c r="N1307" i="1" s="1"/>
  <c r="L1308" i="1"/>
  <c r="N1308" i="1" s="1"/>
  <c r="L1309" i="1"/>
  <c r="N1309" i="1" s="1"/>
  <c r="L1310" i="1"/>
  <c r="N1310" i="1" s="1"/>
  <c r="L1311" i="1"/>
  <c r="N1311" i="1" s="1"/>
  <c r="L1312" i="1"/>
  <c r="N1312" i="1" s="1"/>
  <c r="L1313" i="1"/>
  <c r="N1313" i="1" s="1"/>
  <c r="L1314" i="1"/>
  <c r="N1314" i="1" s="1"/>
  <c r="L1315" i="1"/>
  <c r="N1315" i="1" s="1"/>
  <c r="L1316" i="1"/>
  <c r="N1316" i="1" s="1"/>
  <c r="L1317" i="1"/>
  <c r="N1317" i="1" s="1"/>
  <c r="L1318" i="1"/>
  <c r="N1318" i="1" s="1"/>
  <c r="L1319" i="1"/>
  <c r="N1319" i="1" s="1"/>
  <c r="L1320" i="1"/>
  <c r="N1320" i="1" s="1"/>
  <c r="L1321" i="1"/>
  <c r="N1321" i="1" s="1"/>
  <c r="L1322" i="1"/>
  <c r="N1322" i="1" s="1"/>
  <c r="L1323" i="1"/>
  <c r="N1323" i="1" s="1"/>
  <c r="L1324" i="1"/>
  <c r="N1324" i="1" s="1"/>
  <c r="L1325" i="1"/>
  <c r="N1325" i="1" s="1"/>
  <c r="L1326" i="1"/>
  <c r="N1326" i="1" s="1"/>
  <c r="L1327" i="1"/>
  <c r="N1327" i="1" s="1"/>
  <c r="L1328" i="1"/>
  <c r="N1328" i="1" s="1"/>
  <c r="L1329" i="1"/>
  <c r="N1329" i="1" s="1"/>
  <c r="L1330" i="1"/>
  <c r="N1330" i="1" s="1"/>
  <c r="L1331" i="1"/>
  <c r="N1331" i="1" s="1"/>
  <c r="L1332" i="1"/>
  <c r="N1332" i="1" s="1"/>
  <c r="L1333" i="1"/>
  <c r="N1333" i="1" s="1"/>
  <c r="L1334" i="1"/>
  <c r="N1334" i="1" s="1"/>
  <c r="L1335" i="1"/>
  <c r="N1335" i="1" s="1"/>
  <c r="L1336" i="1"/>
  <c r="N1336" i="1" s="1"/>
  <c r="L1337" i="1"/>
  <c r="N1337" i="1" s="1"/>
  <c r="L1338" i="1"/>
  <c r="N1338" i="1" s="1"/>
  <c r="L1339" i="1"/>
  <c r="N1339" i="1" s="1"/>
  <c r="L1340" i="1"/>
  <c r="N1340" i="1" s="1"/>
  <c r="L1341" i="1"/>
  <c r="N1341" i="1" s="1"/>
  <c r="L1342" i="1"/>
  <c r="N1342" i="1" s="1"/>
  <c r="L1343" i="1"/>
  <c r="N1343" i="1" s="1"/>
  <c r="L1344" i="1"/>
  <c r="N1344" i="1" s="1"/>
  <c r="L1345" i="1"/>
  <c r="N1345" i="1" s="1"/>
  <c r="L1346" i="1"/>
  <c r="N1346" i="1" s="1"/>
  <c r="L1347" i="1"/>
  <c r="N1347" i="1" s="1"/>
  <c r="L1348" i="1"/>
  <c r="N1348" i="1" s="1"/>
  <c r="L1349" i="1"/>
  <c r="N1349" i="1" s="1"/>
  <c r="L1350" i="1"/>
  <c r="N1350" i="1" s="1"/>
  <c r="L1351" i="1"/>
  <c r="N1351" i="1" s="1"/>
  <c r="L1352" i="1"/>
  <c r="N1352" i="1" s="1"/>
  <c r="L1353" i="1"/>
  <c r="N1353" i="1" s="1"/>
  <c r="L1354" i="1"/>
  <c r="N1354" i="1" s="1"/>
  <c r="L1355" i="1"/>
  <c r="N1355" i="1" s="1"/>
  <c r="L1356" i="1"/>
  <c r="N1356" i="1" s="1"/>
  <c r="L1357" i="1"/>
  <c r="N1357" i="1" s="1"/>
  <c r="L1358" i="1"/>
  <c r="N1358" i="1" s="1"/>
  <c r="L1359" i="1"/>
  <c r="N1359" i="1" s="1"/>
  <c r="L1360" i="1"/>
  <c r="N1360" i="1" s="1"/>
  <c r="L1361" i="1"/>
  <c r="N1361" i="1" s="1"/>
  <c r="L1362" i="1"/>
  <c r="N1362" i="1" s="1"/>
  <c r="L1363" i="1"/>
  <c r="N1363" i="1" s="1"/>
  <c r="L1364" i="1"/>
  <c r="N1364" i="1" s="1"/>
  <c r="L1365" i="1"/>
  <c r="N1365" i="1" s="1"/>
  <c r="L1366" i="1"/>
  <c r="N1366" i="1" s="1"/>
  <c r="L1367" i="1"/>
  <c r="N1367" i="1" s="1"/>
  <c r="L1368" i="1"/>
  <c r="N1368" i="1" s="1"/>
  <c r="L1369" i="1"/>
  <c r="N1369" i="1" s="1"/>
  <c r="L1370" i="1"/>
  <c r="N1370" i="1" s="1"/>
  <c r="L1371" i="1"/>
  <c r="N1371" i="1" s="1"/>
  <c r="L1372" i="1"/>
  <c r="N1372" i="1" s="1"/>
  <c r="L1373" i="1"/>
  <c r="N1373" i="1" s="1"/>
  <c r="L1374" i="1"/>
  <c r="N1374" i="1" s="1"/>
  <c r="L1375" i="1"/>
  <c r="N1375" i="1" s="1"/>
  <c r="L1376" i="1"/>
  <c r="N1376" i="1" s="1"/>
  <c r="L1377" i="1"/>
  <c r="N1377" i="1" s="1"/>
  <c r="L1378" i="1"/>
  <c r="N1378" i="1" s="1"/>
  <c r="L1379" i="1"/>
  <c r="N1379" i="1" s="1"/>
  <c r="L1380" i="1"/>
  <c r="N1380" i="1" s="1"/>
  <c r="L1381" i="1"/>
  <c r="N1381" i="1" s="1"/>
  <c r="L1382" i="1"/>
  <c r="N1382" i="1" s="1"/>
  <c r="L1383" i="1"/>
  <c r="N1383" i="1" s="1"/>
  <c r="L1384" i="1"/>
  <c r="N1384" i="1" s="1"/>
  <c r="L1385" i="1"/>
  <c r="N1385" i="1" s="1"/>
  <c r="L1386" i="1"/>
  <c r="N1386" i="1" s="1"/>
  <c r="L1387" i="1"/>
  <c r="N1387" i="1" s="1"/>
  <c r="L1388" i="1"/>
  <c r="N1388" i="1" s="1"/>
  <c r="L1389" i="1"/>
  <c r="N1389" i="1" s="1"/>
  <c r="L1390" i="1"/>
  <c r="N1390" i="1" s="1"/>
  <c r="L1391" i="1"/>
  <c r="N1391" i="1" s="1"/>
  <c r="L1392" i="1"/>
  <c r="N1392" i="1" s="1"/>
  <c r="L1393" i="1"/>
  <c r="N1393" i="1" s="1"/>
  <c r="L1394" i="1"/>
  <c r="N1394" i="1" s="1"/>
  <c r="L1395" i="1"/>
  <c r="N1395" i="1" s="1"/>
  <c r="L1396" i="1"/>
  <c r="N1396" i="1" s="1"/>
  <c r="L1397" i="1"/>
  <c r="N1397" i="1" s="1"/>
  <c r="L1398" i="1"/>
  <c r="N1398" i="1" s="1"/>
  <c r="L1399" i="1"/>
  <c r="N1399" i="1" s="1"/>
  <c r="L1400" i="1"/>
  <c r="N1400" i="1" s="1"/>
  <c r="L1401" i="1"/>
  <c r="N1401" i="1" s="1"/>
  <c r="L1402" i="1"/>
  <c r="N1402" i="1" s="1"/>
  <c r="L1403" i="1"/>
  <c r="N1403" i="1" s="1"/>
  <c r="L1404" i="1"/>
  <c r="N1404" i="1" s="1"/>
  <c r="L1405" i="1"/>
  <c r="N1405" i="1" s="1"/>
  <c r="L1406" i="1"/>
  <c r="N1406" i="1" s="1"/>
  <c r="L1407" i="1"/>
  <c r="N1407" i="1" s="1"/>
  <c r="L1408" i="1"/>
  <c r="N1408" i="1" s="1"/>
  <c r="L1409" i="1"/>
  <c r="N1409" i="1" s="1"/>
  <c r="L1410" i="1"/>
  <c r="N1410" i="1" s="1"/>
  <c r="L1411" i="1"/>
  <c r="N1411" i="1" s="1"/>
  <c r="L1412" i="1"/>
  <c r="N1412" i="1" s="1"/>
  <c r="L1413" i="1"/>
  <c r="N1413" i="1" s="1"/>
  <c r="L1414" i="1"/>
  <c r="N1414" i="1" s="1"/>
  <c r="L1415" i="1"/>
  <c r="N1415" i="1" s="1"/>
  <c r="L1416" i="1"/>
  <c r="N1416" i="1" s="1"/>
  <c r="L1417" i="1"/>
  <c r="N1417" i="1" s="1"/>
  <c r="L1418" i="1"/>
  <c r="N1418" i="1" s="1"/>
  <c r="L1419" i="1"/>
  <c r="N1419" i="1" s="1"/>
  <c r="L1420" i="1"/>
  <c r="N1420" i="1" s="1"/>
  <c r="L1421" i="1"/>
  <c r="N1421" i="1" s="1"/>
  <c r="L1422" i="1"/>
  <c r="N1422" i="1" s="1"/>
  <c r="L1423" i="1"/>
  <c r="N1423" i="1" s="1"/>
  <c r="L1424" i="1"/>
  <c r="N1424" i="1" s="1"/>
  <c r="L1425" i="1"/>
  <c r="N1425" i="1" s="1"/>
  <c r="L1426" i="1"/>
  <c r="N1426" i="1" s="1"/>
  <c r="L1427" i="1"/>
  <c r="N1427" i="1" s="1"/>
  <c r="L1428" i="1"/>
  <c r="N1428" i="1" s="1"/>
  <c r="L1429" i="1"/>
  <c r="N1429" i="1" s="1"/>
  <c r="L1430" i="1"/>
  <c r="N1430" i="1" s="1"/>
  <c r="L1431" i="1"/>
  <c r="N1431" i="1" s="1"/>
  <c r="L1432" i="1"/>
  <c r="N1432" i="1" s="1"/>
  <c r="L1433" i="1"/>
  <c r="N1433" i="1" s="1"/>
  <c r="L1434" i="1"/>
  <c r="N1434" i="1" s="1"/>
  <c r="L1435" i="1"/>
  <c r="N1435" i="1" s="1"/>
  <c r="L1436" i="1"/>
  <c r="N1436" i="1" s="1"/>
  <c r="L1437" i="1"/>
  <c r="N1437" i="1" s="1"/>
  <c r="L1438" i="1"/>
  <c r="N1438" i="1" s="1"/>
  <c r="L1439" i="1"/>
  <c r="N1439" i="1" s="1"/>
  <c r="L1440" i="1"/>
  <c r="N1440" i="1" s="1"/>
  <c r="L1441" i="1"/>
  <c r="N1441" i="1" s="1"/>
  <c r="L1442" i="1"/>
  <c r="N1442" i="1" s="1"/>
  <c r="L1443" i="1"/>
  <c r="N1443" i="1" s="1"/>
  <c r="L1444" i="1"/>
  <c r="N1444" i="1" s="1"/>
  <c r="L1445" i="1"/>
  <c r="N1445" i="1" s="1"/>
  <c r="L1446" i="1"/>
  <c r="N1446" i="1" s="1"/>
  <c r="L1447" i="1"/>
  <c r="N1447" i="1" s="1"/>
  <c r="L1448" i="1"/>
  <c r="N1448" i="1" s="1"/>
  <c r="L1449" i="1"/>
  <c r="N1449" i="1" s="1"/>
  <c r="L1450" i="1"/>
  <c r="N1450" i="1" s="1"/>
  <c r="L1451" i="1"/>
  <c r="N1451" i="1" s="1"/>
  <c r="L1452" i="1"/>
  <c r="N1452" i="1" s="1"/>
  <c r="L1453" i="1"/>
  <c r="N1453" i="1" s="1"/>
  <c r="L1454" i="1"/>
  <c r="N1454" i="1" s="1"/>
  <c r="L1455" i="1"/>
  <c r="N1455" i="1" s="1"/>
  <c r="L1456" i="1"/>
  <c r="N1456" i="1" s="1"/>
  <c r="L1457" i="1"/>
  <c r="N1457" i="1" s="1"/>
  <c r="L1458" i="1"/>
  <c r="N1458" i="1" s="1"/>
  <c r="L1459" i="1"/>
  <c r="N1459" i="1" s="1"/>
  <c r="L1460" i="1"/>
  <c r="N1460" i="1" s="1"/>
  <c r="L1461" i="1"/>
  <c r="N1461" i="1" s="1"/>
  <c r="L1462" i="1"/>
  <c r="N1462" i="1" s="1"/>
  <c r="L1463" i="1"/>
  <c r="N1463" i="1" s="1"/>
  <c r="L1464" i="1"/>
  <c r="N1464" i="1" s="1"/>
  <c r="L1465" i="1"/>
  <c r="N1465" i="1" s="1"/>
  <c r="L1466" i="1"/>
  <c r="N1466" i="1" s="1"/>
  <c r="L1467" i="1"/>
  <c r="N1467" i="1" s="1"/>
  <c r="L1468" i="1"/>
  <c r="N1468" i="1" s="1"/>
  <c r="L1469" i="1"/>
  <c r="N1469" i="1" s="1"/>
  <c r="L1470" i="1"/>
  <c r="N1470" i="1" s="1"/>
  <c r="L1471" i="1"/>
  <c r="N1471" i="1" s="1"/>
  <c r="L1472" i="1"/>
  <c r="N1472" i="1" s="1"/>
  <c r="L1473" i="1"/>
  <c r="N1473" i="1" s="1"/>
  <c r="L1474" i="1"/>
  <c r="N1474" i="1" s="1"/>
  <c r="L1475" i="1"/>
  <c r="N1475" i="1" s="1"/>
  <c r="L1476" i="1"/>
  <c r="N1476" i="1" s="1"/>
  <c r="L1477" i="1"/>
  <c r="N1477" i="1" s="1"/>
  <c r="L1478" i="1"/>
  <c r="N1478" i="1" s="1"/>
  <c r="L1479" i="1"/>
  <c r="N1479" i="1" s="1"/>
  <c r="L1480" i="1"/>
  <c r="N1480" i="1" s="1"/>
  <c r="L1481" i="1"/>
  <c r="N1481" i="1" s="1"/>
  <c r="L1482" i="1"/>
  <c r="N1482" i="1" s="1"/>
  <c r="L1483" i="1"/>
  <c r="N1483" i="1" s="1"/>
  <c r="L1484" i="1"/>
  <c r="N1484" i="1" s="1"/>
  <c r="L1485" i="1"/>
  <c r="N1485" i="1" s="1"/>
  <c r="L1486" i="1"/>
  <c r="N1486" i="1" s="1"/>
  <c r="L1487" i="1"/>
  <c r="N1487" i="1" s="1"/>
  <c r="L1488" i="1"/>
  <c r="N1488" i="1" s="1"/>
  <c r="L1489" i="1"/>
  <c r="N1489" i="1" s="1"/>
  <c r="L1490" i="1"/>
  <c r="N1490" i="1" s="1"/>
  <c r="L1491" i="1"/>
  <c r="N1491" i="1" s="1"/>
  <c r="L1492" i="1"/>
  <c r="N1492" i="1" s="1"/>
  <c r="L1493" i="1"/>
  <c r="N1493" i="1" s="1"/>
  <c r="L1494" i="1"/>
  <c r="N1494" i="1" s="1"/>
  <c r="L1495" i="1"/>
  <c r="N1495" i="1" s="1"/>
  <c r="L1496" i="1"/>
  <c r="N1496" i="1" s="1"/>
  <c r="L1497" i="1"/>
  <c r="N1497" i="1" s="1"/>
  <c r="L1498" i="1"/>
  <c r="N1498" i="1" s="1"/>
  <c r="L1499" i="1"/>
  <c r="N1499" i="1" s="1"/>
  <c r="L1500" i="1"/>
  <c r="N1500" i="1" s="1"/>
  <c r="L1501" i="1"/>
  <c r="N1501" i="1" s="1"/>
  <c r="L1502" i="1"/>
  <c r="N1502" i="1" s="1"/>
  <c r="L1503" i="1"/>
  <c r="N1503" i="1" s="1"/>
  <c r="L1504" i="1"/>
  <c r="N1504" i="1" s="1"/>
  <c r="L1505" i="1"/>
  <c r="N1505" i="1" s="1"/>
  <c r="L1506" i="1"/>
  <c r="N1506" i="1" s="1"/>
  <c r="L1507" i="1"/>
  <c r="N1507" i="1" s="1"/>
  <c r="L1508" i="1"/>
  <c r="N1508" i="1" s="1"/>
  <c r="L1509" i="1"/>
  <c r="N1509" i="1" s="1"/>
  <c r="L1510" i="1"/>
  <c r="N1510" i="1" s="1"/>
  <c r="L1511" i="1"/>
  <c r="N1511" i="1" s="1"/>
  <c r="L1512" i="1"/>
  <c r="N1512" i="1" s="1"/>
  <c r="L1513" i="1"/>
  <c r="N1513" i="1" s="1"/>
  <c r="L1514" i="1"/>
  <c r="N1514" i="1" s="1"/>
  <c r="L1515" i="1"/>
  <c r="N1515" i="1" s="1"/>
  <c r="L1516" i="1"/>
  <c r="N1516" i="1" s="1"/>
  <c r="L1517" i="1"/>
  <c r="N1517" i="1" s="1"/>
  <c r="L1518" i="1"/>
  <c r="N1518" i="1" s="1"/>
  <c r="L1519" i="1"/>
  <c r="N1519" i="1" s="1"/>
  <c r="L1520" i="1"/>
  <c r="N1520" i="1" s="1"/>
  <c r="L1521" i="1"/>
  <c r="N1521" i="1" s="1"/>
  <c r="L1522" i="1"/>
  <c r="N1522" i="1" s="1"/>
  <c r="L1523" i="1"/>
  <c r="N1523" i="1" s="1"/>
  <c r="L1524" i="1"/>
  <c r="N1524" i="1" s="1"/>
  <c r="L1525" i="1"/>
  <c r="N1525" i="1" s="1"/>
  <c r="L1526" i="1"/>
  <c r="N1526" i="1" s="1"/>
  <c r="L1527" i="1"/>
  <c r="N1527" i="1" s="1"/>
  <c r="L1528" i="1"/>
  <c r="N1528" i="1" s="1"/>
  <c r="L1529" i="1"/>
  <c r="N1529" i="1" s="1"/>
  <c r="L1530" i="1"/>
  <c r="N1530" i="1" s="1"/>
  <c r="L1531" i="1"/>
  <c r="N1531" i="1" s="1"/>
  <c r="L1532" i="1"/>
  <c r="N1532" i="1" s="1"/>
  <c r="L1533" i="1"/>
  <c r="N1533" i="1" s="1"/>
  <c r="L1534" i="1"/>
  <c r="N1534" i="1" s="1"/>
  <c r="L1535" i="1"/>
  <c r="N1535" i="1" s="1"/>
  <c r="L1536" i="1"/>
  <c r="N1536" i="1" s="1"/>
  <c r="L1537" i="1"/>
  <c r="N1537" i="1" s="1"/>
  <c r="L1538" i="1"/>
  <c r="N1538" i="1" s="1"/>
  <c r="L1539" i="1"/>
  <c r="N1539" i="1" s="1"/>
  <c r="L1540" i="1"/>
  <c r="N1540" i="1" s="1"/>
  <c r="L1541" i="1"/>
  <c r="N1541" i="1" s="1"/>
  <c r="L1542" i="1"/>
  <c r="N1542" i="1" s="1"/>
  <c r="L1543" i="1"/>
  <c r="N1543" i="1" s="1"/>
  <c r="L1544" i="1"/>
  <c r="N1544" i="1" s="1"/>
  <c r="L1545" i="1"/>
  <c r="N1545" i="1" s="1"/>
  <c r="L1546" i="1"/>
  <c r="N1546" i="1" s="1"/>
  <c r="L1547" i="1"/>
  <c r="N1547" i="1" s="1"/>
  <c r="L1548" i="1"/>
  <c r="N1548" i="1" s="1"/>
  <c r="L1549" i="1"/>
  <c r="N1549" i="1" s="1"/>
  <c r="L1550" i="1"/>
  <c r="N1550" i="1" s="1"/>
  <c r="L1551" i="1"/>
  <c r="N1551" i="1" s="1"/>
  <c r="L1552" i="1"/>
  <c r="N1552" i="1" s="1"/>
  <c r="L1553" i="1"/>
  <c r="N1553" i="1" s="1"/>
  <c r="L1554" i="1"/>
  <c r="N1554" i="1" s="1"/>
  <c r="L1555" i="1"/>
  <c r="N1555" i="1" s="1"/>
  <c r="L1556" i="1"/>
  <c r="N1556" i="1" s="1"/>
  <c r="L1557" i="1"/>
  <c r="N1557" i="1" s="1"/>
  <c r="L1558" i="1"/>
  <c r="N1558" i="1" s="1"/>
  <c r="L1559" i="1"/>
  <c r="N1559" i="1" s="1"/>
  <c r="L1560" i="1"/>
  <c r="N1560" i="1" s="1"/>
  <c r="L1561" i="1"/>
  <c r="N1561" i="1" s="1"/>
  <c r="L1562" i="1"/>
  <c r="N1562" i="1" s="1"/>
  <c r="L1563" i="1"/>
  <c r="N1563" i="1" s="1"/>
  <c r="L1564" i="1"/>
  <c r="N1564" i="1" s="1"/>
  <c r="L1565" i="1"/>
  <c r="N1565" i="1" s="1"/>
  <c r="L1566" i="1"/>
  <c r="N1566" i="1" s="1"/>
  <c r="L1567" i="1"/>
  <c r="N1567" i="1" s="1"/>
  <c r="L1568" i="1"/>
  <c r="N1568" i="1" s="1"/>
  <c r="L1569" i="1"/>
  <c r="N1569" i="1" s="1"/>
  <c r="L1570" i="1"/>
  <c r="N1570" i="1" s="1"/>
  <c r="L1571" i="1"/>
  <c r="N1571" i="1" s="1"/>
  <c r="L1572" i="1"/>
  <c r="N1572" i="1" s="1"/>
  <c r="L1573" i="1"/>
  <c r="N1573" i="1" s="1"/>
  <c r="L1574" i="1"/>
  <c r="N1574" i="1" s="1"/>
  <c r="L1575" i="1"/>
  <c r="N1575" i="1" s="1"/>
  <c r="L1576" i="1"/>
  <c r="N1576" i="1" s="1"/>
  <c r="L1577" i="1"/>
  <c r="N1577" i="1" s="1"/>
  <c r="L1578" i="1"/>
  <c r="N1578" i="1" s="1"/>
  <c r="L1579" i="1"/>
  <c r="N1579" i="1" s="1"/>
  <c r="L1580" i="1"/>
  <c r="N1580" i="1" s="1"/>
  <c r="L1581" i="1"/>
  <c r="N1581" i="1" s="1"/>
  <c r="L1582" i="1"/>
  <c r="N1582" i="1" s="1"/>
  <c r="L1583" i="1"/>
  <c r="N1583" i="1" s="1"/>
  <c r="L1584" i="1"/>
  <c r="N1584" i="1" s="1"/>
  <c r="L1585" i="1"/>
  <c r="N1585" i="1" s="1"/>
  <c r="L1586" i="1"/>
  <c r="N1586" i="1" s="1"/>
  <c r="L1587" i="1"/>
  <c r="N1587" i="1" s="1"/>
  <c r="L1588" i="1"/>
  <c r="N1588" i="1" s="1"/>
  <c r="L1589" i="1"/>
  <c r="N1589" i="1" s="1"/>
  <c r="L1590" i="1"/>
  <c r="N1590" i="1" s="1"/>
  <c r="L1591" i="1"/>
  <c r="N1591" i="1" s="1"/>
  <c r="L1592" i="1"/>
  <c r="N1592" i="1" s="1"/>
  <c r="L1593" i="1"/>
  <c r="N1593" i="1" s="1"/>
  <c r="L1594" i="1"/>
  <c r="N1594" i="1" s="1"/>
  <c r="L1595" i="1"/>
  <c r="N1595" i="1" s="1"/>
  <c r="L1596" i="1"/>
  <c r="N1596" i="1" s="1"/>
  <c r="L1597" i="1"/>
  <c r="N1597" i="1" s="1"/>
  <c r="L1598" i="1"/>
  <c r="N1598" i="1" s="1"/>
  <c r="L1599" i="1"/>
  <c r="N1599" i="1" s="1"/>
  <c r="L1600" i="1"/>
  <c r="N1600" i="1" s="1"/>
  <c r="L1601" i="1"/>
  <c r="N1601" i="1" s="1"/>
  <c r="L1602" i="1"/>
  <c r="N1602" i="1" s="1"/>
  <c r="L1603" i="1"/>
  <c r="N1603" i="1" s="1"/>
  <c r="L1604" i="1"/>
  <c r="N1604" i="1" s="1"/>
  <c r="L1605" i="1"/>
  <c r="N1605" i="1" s="1"/>
  <c r="L1606" i="1"/>
  <c r="N1606" i="1" s="1"/>
  <c r="L1607" i="1"/>
  <c r="N1607" i="1" s="1"/>
  <c r="L1608" i="1"/>
  <c r="N1608" i="1" s="1"/>
  <c r="L1609" i="1"/>
  <c r="N1609" i="1" s="1"/>
  <c r="L1610" i="1"/>
  <c r="N1610" i="1" s="1"/>
  <c r="L1611" i="1"/>
  <c r="N1611" i="1" s="1"/>
  <c r="L1612" i="1"/>
  <c r="N1612" i="1" s="1"/>
  <c r="L1613" i="1"/>
  <c r="N1613" i="1" s="1"/>
  <c r="L1614" i="1"/>
  <c r="N1614" i="1" s="1"/>
  <c r="L1615" i="1"/>
  <c r="N1615" i="1" s="1"/>
  <c r="L1616" i="1"/>
  <c r="N1616" i="1" s="1"/>
  <c r="L1617" i="1"/>
  <c r="N1617" i="1" s="1"/>
  <c r="L1618" i="1"/>
  <c r="N1618" i="1" s="1"/>
  <c r="L1619" i="1"/>
  <c r="N1619" i="1" s="1"/>
  <c r="L1620" i="1"/>
  <c r="N1620" i="1" s="1"/>
  <c r="L1621" i="1"/>
  <c r="N1621" i="1" s="1"/>
  <c r="L1622" i="1"/>
  <c r="N1622" i="1" s="1"/>
  <c r="L1623" i="1"/>
  <c r="N1623" i="1" s="1"/>
  <c r="L1624" i="1"/>
  <c r="N1624" i="1" s="1"/>
  <c r="L1625" i="1"/>
  <c r="N1625" i="1" s="1"/>
  <c r="L1626" i="1"/>
  <c r="N1626" i="1" s="1"/>
  <c r="L1627" i="1"/>
  <c r="N1627" i="1" s="1"/>
  <c r="L1628" i="1"/>
  <c r="N1628" i="1" s="1"/>
  <c r="L1629" i="1"/>
  <c r="N1629" i="1" s="1"/>
  <c r="L1630" i="1"/>
  <c r="N1630" i="1" s="1"/>
  <c r="L1631" i="1"/>
  <c r="N1631" i="1" s="1"/>
  <c r="L1632" i="1"/>
  <c r="N1632" i="1" s="1"/>
  <c r="L1633" i="1"/>
  <c r="N1633" i="1" s="1"/>
  <c r="L1634" i="1"/>
  <c r="N1634" i="1" s="1"/>
  <c r="L1635" i="1"/>
  <c r="N1635" i="1" s="1"/>
  <c r="L1636" i="1"/>
  <c r="N1636" i="1" s="1"/>
  <c r="L1637" i="1"/>
  <c r="N1637" i="1" s="1"/>
  <c r="L1638" i="1"/>
  <c r="N1638" i="1" s="1"/>
  <c r="L1639" i="1"/>
  <c r="N1639" i="1" s="1"/>
  <c r="L1640" i="1"/>
  <c r="N1640" i="1" s="1"/>
  <c r="L1641" i="1"/>
  <c r="N1641" i="1" s="1"/>
  <c r="L1642" i="1"/>
  <c r="N1642" i="1" s="1"/>
  <c r="L1643" i="1"/>
  <c r="N1643" i="1" s="1"/>
  <c r="L1644" i="1"/>
  <c r="N1644" i="1" s="1"/>
  <c r="L1645" i="1"/>
  <c r="N1645" i="1" s="1"/>
  <c r="L1646" i="1"/>
  <c r="N1646" i="1" s="1"/>
  <c r="L1647" i="1"/>
  <c r="N1647" i="1" s="1"/>
  <c r="L1648" i="1"/>
  <c r="N1648" i="1" s="1"/>
  <c r="L1649" i="1"/>
  <c r="N1649" i="1" s="1"/>
  <c r="L1650" i="1"/>
  <c r="N1650" i="1" s="1"/>
  <c r="L1651" i="1"/>
  <c r="N1651" i="1" s="1"/>
  <c r="L1652" i="1"/>
  <c r="N1652" i="1" s="1"/>
  <c r="L1653" i="1"/>
  <c r="N1653" i="1" s="1"/>
  <c r="L1654" i="1"/>
  <c r="N1654" i="1" s="1"/>
  <c r="L1655" i="1"/>
  <c r="N1655" i="1" s="1"/>
  <c r="L1656" i="1"/>
  <c r="N1656" i="1" s="1"/>
  <c r="L1657" i="1"/>
  <c r="N1657" i="1" s="1"/>
  <c r="L1658" i="1"/>
  <c r="N1658" i="1" s="1"/>
  <c r="L1659" i="1"/>
  <c r="N1659" i="1" s="1"/>
  <c r="L1660" i="1"/>
  <c r="N1660" i="1" s="1"/>
  <c r="L1661" i="1"/>
  <c r="N1661" i="1" s="1"/>
  <c r="L1662" i="1"/>
  <c r="N1662" i="1" s="1"/>
  <c r="L1663" i="1"/>
  <c r="N1663" i="1" s="1"/>
  <c r="L1664" i="1"/>
  <c r="N1664" i="1" s="1"/>
  <c r="L1665" i="1"/>
  <c r="N1665" i="1" s="1"/>
  <c r="L1666" i="1"/>
  <c r="N1666" i="1" s="1"/>
  <c r="L1667" i="1"/>
  <c r="N1667" i="1" s="1"/>
  <c r="L1668" i="1"/>
  <c r="N1668" i="1" s="1"/>
  <c r="L1669" i="1"/>
  <c r="N1669" i="1" s="1"/>
  <c r="L1670" i="1"/>
  <c r="N1670" i="1" s="1"/>
  <c r="L1671" i="1"/>
  <c r="N1671" i="1" s="1"/>
  <c r="L1672" i="1"/>
  <c r="N1672" i="1" s="1"/>
  <c r="L1673" i="1"/>
  <c r="N1673" i="1" s="1"/>
  <c r="L1674" i="1"/>
  <c r="N1674" i="1" s="1"/>
  <c r="L1675" i="1"/>
  <c r="N1675" i="1" s="1"/>
  <c r="L1676" i="1"/>
  <c r="N1676" i="1" s="1"/>
  <c r="L1677" i="1"/>
  <c r="N1677" i="1" s="1"/>
  <c r="L1678" i="1"/>
  <c r="N1678" i="1" s="1"/>
  <c r="L1679" i="1"/>
  <c r="N1679" i="1" s="1"/>
  <c r="L1680" i="1"/>
  <c r="N1680" i="1" s="1"/>
  <c r="L1681" i="1"/>
  <c r="N1681" i="1" s="1"/>
  <c r="L1682" i="1"/>
  <c r="N1682" i="1" s="1"/>
  <c r="L1683" i="1"/>
  <c r="N1683" i="1" s="1"/>
  <c r="L1684" i="1"/>
  <c r="N1684" i="1" s="1"/>
  <c r="L1685" i="1"/>
  <c r="N1685" i="1" s="1"/>
  <c r="L1686" i="1"/>
  <c r="N1686" i="1" s="1"/>
  <c r="L1687" i="1"/>
  <c r="N1687" i="1" s="1"/>
  <c r="L1688" i="1"/>
  <c r="N1688" i="1" s="1"/>
  <c r="L1689" i="1"/>
  <c r="N1689" i="1" s="1"/>
  <c r="L1690" i="1"/>
  <c r="N1690" i="1" s="1"/>
  <c r="L1691" i="1"/>
  <c r="N1691" i="1" s="1"/>
  <c r="L1692" i="1"/>
  <c r="N1692" i="1" s="1"/>
  <c r="L1693" i="1"/>
  <c r="N1693" i="1" s="1"/>
  <c r="L1694" i="1"/>
  <c r="N1694" i="1" s="1"/>
  <c r="L1695" i="1"/>
  <c r="N1695" i="1" s="1"/>
  <c r="L1696" i="1"/>
  <c r="N1696" i="1" s="1"/>
  <c r="L1697" i="1"/>
  <c r="N1697" i="1" s="1"/>
  <c r="L1698" i="1"/>
  <c r="N1698" i="1" s="1"/>
  <c r="L1699" i="1"/>
  <c r="N1699" i="1" s="1"/>
  <c r="L1700" i="1"/>
  <c r="N1700" i="1" s="1"/>
  <c r="L1701" i="1"/>
  <c r="N1701" i="1" s="1"/>
  <c r="L1702" i="1"/>
  <c r="N1702" i="1" s="1"/>
  <c r="L1703" i="1"/>
  <c r="N1703" i="1" s="1"/>
  <c r="L1704" i="1"/>
  <c r="N1704" i="1" s="1"/>
  <c r="L1705" i="1"/>
  <c r="N1705" i="1" s="1"/>
  <c r="L1706" i="1"/>
  <c r="N1706" i="1" s="1"/>
  <c r="L1707" i="1"/>
  <c r="N1707" i="1" s="1"/>
  <c r="L1708" i="1"/>
  <c r="N1708" i="1" s="1"/>
  <c r="L1709" i="1"/>
  <c r="N1709" i="1" s="1"/>
  <c r="L1710" i="1"/>
  <c r="N1710" i="1" s="1"/>
  <c r="L1711" i="1"/>
  <c r="N1711" i="1" s="1"/>
  <c r="L1712" i="1"/>
  <c r="N1712" i="1" s="1"/>
  <c r="L1713" i="1"/>
  <c r="N1713" i="1" s="1"/>
  <c r="L1714" i="1"/>
  <c r="N1714" i="1" s="1"/>
  <c r="L1715" i="1"/>
  <c r="N1715" i="1" s="1"/>
  <c r="L1716" i="1"/>
  <c r="N1716" i="1" s="1"/>
  <c r="L1717" i="1"/>
  <c r="N1717" i="1" s="1"/>
  <c r="L1718" i="1"/>
  <c r="N1718" i="1" s="1"/>
  <c r="L1719" i="1"/>
  <c r="N1719" i="1" s="1"/>
  <c r="L1720" i="1"/>
  <c r="N1720" i="1" s="1"/>
  <c r="L1721" i="1"/>
  <c r="N1721" i="1" s="1"/>
  <c r="L1722" i="1"/>
  <c r="N1722" i="1" s="1"/>
  <c r="L1723" i="1"/>
  <c r="N1723" i="1" s="1"/>
  <c r="L1724" i="1"/>
  <c r="N1724" i="1" s="1"/>
  <c r="L1725" i="1"/>
  <c r="N1725" i="1" s="1"/>
  <c r="L1726" i="1"/>
  <c r="N1726" i="1" s="1"/>
  <c r="L1727" i="1"/>
  <c r="N1727" i="1" s="1"/>
  <c r="L1728" i="1"/>
  <c r="N1728" i="1" s="1"/>
  <c r="L1729" i="1"/>
  <c r="N1729" i="1" s="1"/>
  <c r="L1730" i="1"/>
  <c r="N1730" i="1" s="1"/>
  <c r="L1731" i="1"/>
  <c r="N1731" i="1" s="1"/>
  <c r="L1732" i="1"/>
  <c r="N1732" i="1" s="1"/>
  <c r="L1733" i="1"/>
  <c r="N1733" i="1" s="1"/>
  <c r="L1734" i="1"/>
  <c r="N1734" i="1" s="1"/>
  <c r="L1735" i="1"/>
  <c r="N1735" i="1" s="1"/>
  <c r="L1736" i="1"/>
  <c r="N1736" i="1" s="1"/>
  <c r="L1737" i="1"/>
  <c r="N1737" i="1" s="1"/>
  <c r="L1738" i="1"/>
  <c r="N1738" i="1" s="1"/>
  <c r="L1739" i="1"/>
  <c r="N1739" i="1" s="1"/>
  <c r="L1740" i="1"/>
  <c r="N1740" i="1" s="1"/>
  <c r="L1741" i="1"/>
  <c r="N1741" i="1" s="1"/>
  <c r="L1742" i="1"/>
  <c r="N1742" i="1" s="1"/>
  <c r="L1743" i="1"/>
  <c r="N1743" i="1" s="1"/>
  <c r="L1744" i="1"/>
  <c r="N1744" i="1" s="1"/>
  <c r="L1745" i="1"/>
  <c r="N1745" i="1" s="1"/>
  <c r="L1746" i="1"/>
  <c r="N1746" i="1" s="1"/>
  <c r="L1747" i="1"/>
  <c r="N1747" i="1" s="1"/>
  <c r="L1748" i="1"/>
  <c r="N1748" i="1" s="1"/>
  <c r="L1749" i="1"/>
  <c r="N1749" i="1" s="1"/>
  <c r="L1750" i="1"/>
  <c r="N1750" i="1" s="1"/>
  <c r="L1751" i="1"/>
  <c r="N1751" i="1" s="1"/>
  <c r="L1752" i="1"/>
  <c r="N1752" i="1" s="1"/>
  <c r="L1753" i="1"/>
  <c r="N1753" i="1" s="1"/>
  <c r="L1754" i="1"/>
  <c r="N1754" i="1" s="1"/>
  <c r="L1755" i="1"/>
  <c r="N1755" i="1" s="1"/>
  <c r="L1756" i="1"/>
  <c r="N1756" i="1" s="1"/>
  <c r="L1757" i="1"/>
  <c r="N1757" i="1" s="1"/>
  <c r="L1758" i="1"/>
  <c r="N1758" i="1" s="1"/>
  <c r="L1759" i="1"/>
  <c r="N1759" i="1" s="1"/>
  <c r="L1760" i="1"/>
  <c r="N1760" i="1" s="1"/>
  <c r="L1761" i="1"/>
  <c r="N1761" i="1" s="1"/>
  <c r="L1762" i="1"/>
  <c r="N1762" i="1" s="1"/>
  <c r="L1763" i="1"/>
  <c r="N1763" i="1" s="1"/>
  <c r="L1764" i="1"/>
  <c r="N1764" i="1" s="1"/>
  <c r="L1765" i="1"/>
  <c r="N1765" i="1" s="1"/>
  <c r="L1766" i="1"/>
  <c r="N1766" i="1" s="1"/>
  <c r="L1767" i="1"/>
  <c r="N1767" i="1" s="1"/>
  <c r="L1768" i="1"/>
  <c r="N1768" i="1" s="1"/>
  <c r="L1769" i="1"/>
  <c r="N1769" i="1" s="1"/>
  <c r="L1770" i="1"/>
  <c r="N1770" i="1" s="1"/>
  <c r="L1771" i="1"/>
  <c r="N1771" i="1" s="1"/>
  <c r="L1772" i="1"/>
  <c r="N1772" i="1" s="1"/>
  <c r="L1773" i="1"/>
  <c r="N1773" i="1" s="1"/>
  <c r="L1774" i="1"/>
  <c r="N1774" i="1" s="1"/>
  <c r="L1775" i="1"/>
  <c r="N1775" i="1" s="1"/>
  <c r="L1776" i="1"/>
  <c r="N1776" i="1" s="1"/>
  <c r="L1777" i="1"/>
  <c r="N1777" i="1" s="1"/>
  <c r="L1778" i="1"/>
  <c r="N1778" i="1" s="1"/>
  <c r="L1779" i="1"/>
  <c r="N1779" i="1" s="1"/>
  <c r="L1780" i="1"/>
  <c r="N1780" i="1" s="1"/>
  <c r="L1781" i="1"/>
  <c r="N1781" i="1" s="1"/>
  <c r="L1782" i="1"/>
  <c r="N1782" i="1" s="1"/>
  <c r="L1783" i="1"/>
  <c r="N1783" i="1" s="1"/>
  <c r="L1784" i="1"/>
  <c r="N1784" i="1" s="1"/>
  <c r="L1785" i="1"/>
  <c r="N1785" i="1" s="1"/>
  <c r="L1786" i="1"/>
  <c r="N1786" i="1" s="1"/>
  <c r="L1787" i="1"/>
  <c r="N1787" i="1" s="1"/>
  <c r="L1788" i="1"/>
  <c r="N1788" i="1" s="1"/>
  <c r="L1789" i="1"/>
  <c r="N1789" i="1" s="1"/>
  <c r="L1790" i="1"/>
  <c r="N1790" i="1" s="1"/>
  <c r="L1791" i="1"/>
  <c r="N1791" i="1" s="1"/>
  <c r="L1792" i="1"/>
  <c r="N1792" i="1" s="1"/>
  <c r="L1793" i="1"/>
  <c r="N1793" i="1" s="1"/>
  <c r="L1794" i="1"/>
  <c r="N1794" i="1" s="1"/>
  <c r="L1795" i="1"/>
  <c r="N1795" i="1" s="1"/>
  <c r="L1796" i="1"/>
  <c r="N1796" i="1" s="1"/>
  <c r="L1797" i="1"/>
  <c r="N1797" i="1" s="1"/>
  <c r="L1798" i="1"/>
  <c r="N1798" i="1" s="1"/>
  <c r="L1799" i="1"/>
  <c r="N1799" i="1" s="1"/>
  <c r="L1800" i="1"/>
  <c r="N1800" i="1" s="1"/>
  <c r="L1801" i="1"/>
  <c r="N1801" i="1" s="1"/>
  <c r="L1802" i="1"/>
  <c r="N1802" i="1" s="1"/>
  <c r="L1803" i="1"/>
  <c r="N1803" i="1" s="1"/>
  <c r="L1804" i="1"/>
  <c r="N1804" i="1" s="1"/>
  <c r="L1805" i="1"/>
  <c r="N1805" i="1" s="1"/>
  <c r="L1806" i="1"/>
  <c r="N1806" i="1" s="1"/>
  <c r="L1807" i="1"/>
  <c r="N1807" i="1" s="1"/>
  <c r="L1808" i="1"/>
  <c r="N1808" i="1" s="1"/>
  <c r="L1809" i="1"/>
  <c r="N1809" i="1" s="1"/>
  <c r="L1810" i="1"/>
  <c r="N1810" i="1" s="1"/>
  <c r="L1811" i="1"/>
  <c r="N1811" i="1" s="1"/>
  <c r="L1812" i="1"/>
  <c r="N1812" i="1" s="1"/>
  <c r="L1813" i="1"/>
  <c r="N1813" i="1" s="1"/>
  <c r="L1814" i="1"/>
  <c r="N1814" i="1" s="1"/>
  <c r="L1815" i="1"/>
  <c r="N1815" i="1" s="1"/>
  <c r="L1816" i="1"/>
  <c r="N1816" i="1" s="1"/>
  <c r="L1817" i="1"/>
  <c r="N1817" i="1" s="1"/>
  <c r="L1818" i="1"/>
  <c r="N1818" i="1" s="1"/>
  <c r="L1819" i="1"/>
  <c r="N1819" i="1" s="1"/>
  <c r="L1820" i="1"/>
  <c r="N1820" i="1" s="1"/>
  <c r="L1821" i="1"/>
  <c r="N1821" i="1" s="1"/>
  <c r="L1822" i="1"/>
  <c r="N1822" i="1" s="1"/>
  <c r="L1823" i="1"/>
  <c r="N1823" i="1" s="1"/>
  <c r="L1824" i="1"/>
  <c r="N1824" i="1" s="1"/>
  <c r="L1825" i="1"/>
  <c r="N1825" i="1" s="1"/>
  <c r="L1826" i="1"/>
  <c r="N1826" i="1" s="1"/>
  <c r="L1827" i="1"/>
  <c r="N1827" i="1" s="1"/>
  <c r="L1828" i="1"/>
  <c r="N1828" i="1" s="1"/>
  <c r="L1829" i="1"/>
  <c r="N1829" i="1" s="1"/>
  <c r="L1830" i="1"/>
  <c r="N1830" i="1" s="1"/>
  <c r="L1831" i="1"/>
  <c r="N1831" i="1" s="1"/>
  <c r="L1832" i="1"/>
  <c r="N1832" i="1" s="1"/>
  <c r="L1833" i="1"/>
  <c r="N1833" i="1" s="1"/>
  <c r="L1834" i="1"/>
  <c r="N1834" i="1" s="1"/>
  <c r="L1835" i="1"/>
  <c r="N1835" i="1" s="1"/>
  <c r="L1836" i="1"/>
  <c r="N1836" i="1" s="1"/>
  <c r="L1837" i="1"/>
  <c r="N1837" i="1" s="1"/>
  <c r="L1838" i="1"/>
  <c r="N1838" i="1" s="1"/>
  <c r="L1839" i="1"/>
  <c r="N1839" i="1" s="1"/>
  <c r="L1840" i="1"/>
  <c r="N1840" i="1" s="1"/>
  <c r="L1841" i="1"/>
  <c r="N1841" i="1" s="1"/>
  <c r="L1842" i="1"/>
  <c r="N1842" i="1" s="1"/>
  <c r="L1843" i="1"/>
  <c r="N1843" i="1" s="1"/>
  <c r="L1844" i="1"/>
  <c r="N1844" i="1" s="1"/>
  <c r="L1845" i="1"/>
  <c r="N1845" i="1" s="1"/>
  <c r="L1846" i="1"/>
  <c r="N1846" i="1" s="1"/>
  <c r="L1847" i="1"/>
  <c r="N1847" i="1" s="1"/>
  <c r="L1848" i="1"/>
  <c r="N1848" i="1" s="1"/>
  <c r="L1849" i="1"/>
  <c r="N1849" i="1" s="1"/>
  <c r="L1850" i="1"/>
  <c r="N1850" i="1" s="1"/>
  <c r="L1851" i="1"/>
  <c r="N1851" i="1" s="1"/>
  <c r="L1852" i="1"/>
  <c r="N1852" i="1" s="1"/>
  <c r="L1853" i="1"/>
  <c r="N1853" i="1" s="1"/>
  <c r="L1854" i="1"/>
  <c r="N1854" i="1" s="1"/>
  <c r="L1855" i="1"/>
  <c r="N1855" i="1" s="1"/>
  <c r="L1856" i="1"/>
  <c r="N1856" i="1" s="1"/>
  <c r="L1857" i="1"/>
  <c r="N1857" i="1" s="1"/>
  <c r="L1858" i="1"/>
  <c r="N1858" i="1" s="1"/>
  <c r="L1859" i="1"/>
  <c r="N1859" i="1" s="1"/>
  <c r="L1860" i="1"/>
  <c r="N1860" i="1" s="1"/>
  <c r="L1861" i="1"/>
  <c r="N1861" i="1" s="1"/>
  <c r="L1862" i="1"/>
  <c r="N1862" i="1" s="1"/>
  <c r="L1863" i="1"/>
  <c r="N1863" i="1" s="1"/>
  <c r="L1864" i="1"/>
  <c r="N1864" i="1" s="1"/>
  <c r="L1865" i="1"/>
  <c r="N1865" i="1" s="1"/>
  <c r="L1866" i="1"/>
  <c r="N1866" i="1" s="1"/>
  <c r="L1867" i="1"/>
  <c r="N1867" i="1" s="1"/>
  <c r="L1868" i="1"/>
  <c r="N1868" i="1" s="1"/>
  <c r="L1869" i="1"/>
  <c r="N1869" i="1" s="1"/>
  <c r="L1870" i="1"/>
  <c r="N1870" i="1" s="1"/>
  <c r="L1871" i="1"/>
  <c r="N1871" i="1" s="1"/>
  <c r="L1872" i="1"/>
  <c r="N1872" i="1" s="1"/>
  <c r="L1873" i="1"/>
  <c r="N1873" i="1" s="1"/>
  <c r="L1874" i="1"/>
  <c r="N1874" i="1" s="1"/>
  <c r="L1875" i="1"/>
  <c r="N1875" i="1" s="1"/>
  <c r="L1876" i="1"/>
  <c r="N1876" i="1" s="1"/>
  <c r="L1877" i="1"/>
  <c r="N1877" i="1" s="1"/>
  <c r="L1878" i="1"/>
  <c r="N1878" i="1" s="1"/>
  <c r="L1879" i="1"/>
  <c r="N1879" i="1" s="1"/>
  <c r="L1880" i="1"/>
  <c r="N1880" i="1" s="1"/>
  <c r="L1881" i="1"/>
  <c r="N1881" i="1" s="1"/>
  <c r="L1882" i="1"/>
  <c r="N1882" i="1" s="1"/>
  <c r="L1883" i="1"/>
  <c r="N1883" i="1" s="1"/>
  <c r="L1884" i="1"/>
  <c r="N1884" i="1" s="1"/>
  <c r="L1885" i="1"/>
  <c r="N1885" i="1" s="1"/>
  <c r="L1886" i="1"/>
  <c r="N1886" i="1" s="1"/>
  <c r="L1887" i="1"/>
  <c r="N1887" i="1" s="1"/>
  <c r="L1888" i="1"/>
  <c r="N1888" i="1" s="1"/>
  <c r="L1889" i="1"/>
  <c r="N1889" i="1" s="1"/>
  <c r="L1890" i="1"/>
  <c r="N1890" i="1" s="1"/>
  <c r="L1891" i="1"/>
  <c r="N1891" i="1" s="1"/>
  <c r="L1892" i="1"/>
  <c r="N1892" i="1" s="1"/>
  <c r="L1893" i="1"/>
  <c r="N1893" i="1" s="1"/>
  <c r="L1894" i="1"/>
  <c r="N1894" i="1" s="1"/>
  <c r="L1895" i="1"/>
  <c r="N1895" i="1" s="1"/>
  <c r="L1896" i="1"/>
  <c r="N1896" i="1" s="1"/>
  <c r="L1897" i="1"/>
  <c r="N1897" i="1" s="1"/>
  <c r="L1898" i="1"/>
  <c r="N1898" i="1" s="1"/>
  <c r="L1899" i="1"/>
  <c r="N1899" i="1" s="1"/>
  <c r="L1900" i="1"/>
  <c r="N1900" i="1" s="1"/>
  <c r="L1901" i="1"/>
  <c r="N1901" i="1" s="1"/>
  <c r="L1902" i="1"/>
  <c r="N1902" i="1" s="1"/>
  <c r="L1903" i="1"/>
  <c r="N1903" i="1" s="1"/>
  <c r="L1904" i="1"/>
  <c r="N1904" i="1" s="1"/>
  <c r="L1905" i="1"/>
  <c r="N1905" i="1" s="1"/>
  <c r="L1906" i="1"/>
  <c r="N1906" i="1" s="1"/>
  <c r="L1907" i="1"/>
  <c r="N1907" i="1" s="1"/>
  <c r="L1908" i="1"/>
  <c r="N1908" i="1" s="1"/>
  <c r="L1909" i="1"/>
  <c r="N1909" i="1" s="1"/>
  <c r="L1910" i="1"/>
  <c r="N1910" i="1" s="1"/>
  <c r="L1911" i="1"/>
  <c r="N1911" i="1" s="1"/>
  <c r="L1912" i="1"/>
  <c r="N1912" i="1" s="1"/>
  <c r="L1913" i="1"/>
  <c r="N1913" i="1" s="1"/>
  <c r="L1914" i="1"/>
  <c r="N1914" i="1" s="1"/>
  <c r="L1915" i="1"/>
  <c r="N1915" i="1" s="1"/>
  <c r="L1916" i="1"/>
  <c r="N1916" i="1" s="1"/>
  <c r="L1917" i="1"/>
  <c r="N1917" i="1" s="1"/>
  <c r="L1918" i="1"/>
  <c r="N1918" i="1" s="1"/>
  <c r="L1919" i="1"/>
  <c r="N1919" i="1" s="1"/>
  <c r="L1920" i="1"/>
  <c r="N1920" i="1" s="1"/>
  <c r="L1921" i="1"/>
  <c r="N1921" i="1" s="1"/>
  <c r="L1922" i="1"/>
  <c r="N1922" i="1" s="1"/>
  <c r="L1923" i="1"/>
  <c r="N1923" i="1" s="1"/>
  <c r="L1924" i="1"/>
  <c r="N1924" i="1" s="1"/>
  <c r="L1925" i="1"/>
  <c r="N1925" i="1" s="1"/>
  <c r="L1926" i="1"/>
  <c r="N1926" i="1" s="1"/>
  <c r="L1927" i="1"/>
  <c r="N1927" i="1" s="1"/>
  <c r="L1928" i="1"/>
  <c r="N1928" i="1" s="1"/>
  <c r="L1929" i="1"/>
  <c r="N1929" i="1" s="1"/>
  <c r="L1930" i="1"/>
  <c r="N1930" i="1" s="1"/>
  <c r="L1931" i="1"/>
  <c r="N1931" i="1" s="1"/>
  <c r="L1932" i="1"/>
  <c r="N1932" i="1" s="1"/>
  <c r="L1933" i="1"/>
  <c r="N1933" i="1" s="1"/>
  <c r="L1934" i="1"/>
  <c r="N1934" i="1" s="1"/>
  <c r="L1935" i="1"/>
  <c r="N1935" i="1" s="1"/>
  <c r="L1936" i="1"/>
  <c r="N1936" i="1" s="1"/>
  <c r="L1937" i="1"/>
  <c r="N1937" i="1" s="1"/>
  <c r="L1938" i="1"/>
  <c r="N1938" i="1" s="1"/>
  <c r="L1939" i="1"/>
  <c r="N1939" i="1" s="1"/>
  <c r="L1940" i="1"/>
  <c r="N1940" i="1" s="1"/>
  <c r="L1941" i="1"/>
  <c r="N1941" i="1" s="1"/>
  <c r="L1942" i="1"/>
  <c r="N1942" i="1" s="1"/>
  <c r="L1943" i="1"/>
  <c r="N1943" i="1" s="1"/>
  <c r="L1944" i="1"/>
  <c r="N1944" i="1" s="1"/>
  <c r="L1945" i="1"/>
  <c r="N1945" i="1" s="1"/>
  <c r="L1946" i="1"/>
  <c r="N1946" i="1" s="1"/>
  <c r="L1947" i="1"/>
  <c r="N1947" i="1" s="1"/>
  <c r="L1948" i="1"/>
  <c r="N1948" i="1" s="1"/>
  <c r="L1949" i="1"/>
  <c r="N1949" i="1" s="1"/>
  <c r="L1950" i="1"/>
  <c r="N1950" i="1" s="1"/>
  <c r="L1951" i="1"/>
  <c r="N1951" i="1" s="1"/>
  <c r="L1952" i="1"/>
  <c r="N1952" i="1" s="1"/>
  <c r="L1953" i="1"/>
  <c r="N1953" i="1" s="1"/>
  <c r="L1954" i="1"/>
  <c r="N1954" i="1" s="1"/>
  <c r="L1955" i="1"/>
  <c r="N1955" i="1" s="1"/>
  <c r="L1956" i="1"/>
  <c r="N1956" i="1" s="1"/>
  <c r="L1957" i="1"/>
  <c r="N1957" i="1" s="1"/>
  <c r="L1958" i="1"/>
  <c r="N1958" i="1" s="1"/>
  <c r="L1959" i="1"/>
  <c r="N1959" i="1" s="1"/>
  <c r="L1960" i="1"/>
  <c r="N1960" i="1" s="1"/>
  <c r="L1961" i="1"/>
  <c r="N1961" i="1" s="1"/>
  <c r="L1962" i="1"/>
  <c r="N1962" i="1" s="1"/>
  <c r="L1963" i="1"/>
  <c r="N1963" i="1" s="1"/>
  <c r="L1964" i="1"/>
  <c r="N1964" i="1" s="1"/>
  <c r="L1965" i="1"/>
  <c r="N1965" i="1" s="1"/>
  <c r="L1966" i="1"/>
  <c r="N1966" i="1" s="1"/>
  <c r="L1967" i="1"/>
  <c r="N1967" i="1" s="1"/>
  <c r="L1968" i="1"/>
  <c r="N1968" i="1" s="1"/>
  <c r="L1969" i="1"/>
  <c r="N1969" i="1" s="1"/>
  <c r="L1970" i="1"/>
  <c r="N1970" i="1" s="1"/>
  <c r="L1971" i="1"/>
  <c r="N1971" i="1" s="1"/>
  <c r="L1972" i="1"/>
  <c r="N1972" i="1" s="1"/>
  <c r="L1973" i="1"/>
  <c r="N1973" i="1" s="1"/>
  <c r="L1974" i="1"/>
  <c r="N1974" i="1" s="1"/>
  <c r="L1975" i="1"/>
  <c r="N1975" i="1" s="1"/>
  <c r="L1976" i="1"/>
  <c r="N1976" i="1" s="1"/>
  <c r="L1977" i="1"/>
  <c r="N1977" i="1" s="1"/>
  <c r="L1978" i="1"/>
  <c r="N1978" i="1" s="1"/>
  <c r="L1979" i="1"/>
  <c r="N1979" i="1" s="1"/>
  <c r="L1980" i="1"/>
  <c r="N1980" i="1" s="1"/>
  <c r="L1981" i="1"/>
  <c r="N1981" i="1" s="1"/>
  <c r="L1982" i="1"/>
  <c r="N1982" i="1" s="1"/>
  <c r="L1983" i="1"/>
  <c r="N1983" i="1" s="1"/>
  <c r="L1984" i="1"/>
  <c r="N1984" i="1" s="1"/>
  <c r="L1985" i="1"/>
  <c r="N1985" i="1" s="1"/>
  <c r="L1986" i="1"/>
  <c r="N1986" i="1" s="1"/>
  <c r="L1987" i="1"/>
  <c r="N1987" i="1" s="1"/>
  <c r="L1988" i="1"/>
  <c r="N1988" i="1" s="1"/>
  <c r="L1989" i="1"/>
  <c r="N1989" i="1" s="1"/>
  <c r="L1990" i="1"/>
  <c r="N1990" i="1" s="1"/>
  <c r="L1991" i="1"/>
  <c r="N1991" i="1" s="1"/>
  <c r="L1992" i="1"/>
  <c r="N1992" i="1" s="1"/>
  <c r="L1993" i="1"/>
  <c r="N1993" i="1" s="1"/>
  <c r="L1994" i="1"/>
  <c r="N1994" i="1" s="1"/>
  <c r="L1995" i="1"/>
  <c r="N1995" i="1" s="1"/>
  <c r="L1996" i="1"/>
  <c r="N1996" i="1" s="1"/>
  <c r="L1997" i="1"/>
  <c r="N1997" i="1" s="1"/>
  <c r="L1998" i="1"/>
  <c r="N1998" i="1" s="1"/>
  <c r="L1999" i="1"/>
  <c r="N1999" i="1" s="1"/>
  <c r="L2000" i="1"/>
  <c r="N2000" i="1" s="1"/>
  <c r="L2001" i="1"/>
  <c r="N2001" i="1" s="1"/>
  <c r="L2002" i="1"/>
  <c r="N2002" i="1" s="1"/>
  <c r="L2003" i="1"/>
  <c r="N2003" i="1" s="1"/>
  <c r="L2004" i="1"/>
  <c r="N2004" i="1" s="1"/>
  <c r="L2005" i="1"/>
  <c r="N2005" i="1" s="1"/>
  <c r="L2006" i="1"/>
  <c r="N2006" i="1" s="1"/>
  <c r="L2007" i="1"/>
  <c r="N2007" i="1" s="1"/>
  <c r="L2008" i="1"/>
  <c r="N2008" i="1" s="1"/>
  <c r="L2009" i="1"/>
  <c r="N2009" i="1" s="1"/>
  <c r="L2010" i="1"/>
  <c r="N2010" i="1" s="1"/>
  <c r="L2011" i="1"/>
  <c r="N2011" i="1" s="1"/>
  <c r="L2012" i="1"/>
  <c r="N2012" i="1" s="1"/>
  <c r="L2013" i="1"/>
  <c r="N2013" i="1" s="1"/>
  <c r="L2014" i="1"/>
  <c r="N2014" i="1" s="1"/>
  <c r="L2015" i="1"/>
  <c r="N2015" i="1" s="1"/>
  <c r="L2016" i="1"/>
  <c r="N2016" i="1" s="1"/>
  <c r="L2017" i="1"/>
  <c r="N2017" i="1" s="1"/>
  <c r="L2018" i="1"/>
  <c r="N2018" i="1" s="1"/>
  <c r="L2019" i="1"/>
  <c r="N2019" i="1" s="1"/>
  <c r="L2020" i="1"/>
  <c r="N2020" i="1" s="1"/>
  <c r="L2021" i="1"/>
  <c r="N2021" i="1" s="1"/>
  <c r="L2022" i="1"/>
  <c r="N2022" i="1" s="1"/>
  <c r="L2023" i="1"/>
  <c r="N2023" i="1" s="1"/>
  <c r="L2024" i="1"/>
  <c r="N2024" i="1" s="1"/>
  <c r="L2025" i="1"/>
  <c r="N2025" i="1" s="1"/>
  <c r="L2026" i="1"/>
  <c r="N2026" i="1" s="1"/>
  <c r="L2027" i="1"/>
  <c r="N2027" i="1" s="1"/>
  <c r="L2028" i="1"/>
  <c r="N2028" i="1" s="1"/>
  <c r="L2029" i="1"/>
  <c r="N2029" i="1" s="1"/>
  <c r="L2030" i="1"/>
  <c r="N2030" i="1" s="1"/>
  <c r="L2031" i="1"/>
  <c r="N2031" i="1" s="1"/>
  <c r="L2032" i="1"/>
  <c r="N2032" i="1" s="1"/>
  <c r="L2033" i="1"/>
  <c r="N2033" i="1" s="1"/>
  <c r="L2034" i="1"/>
  <c r="N2034" i="1" s="1"/>
  <c r="L2035" i="1"/>
  <c r="N2035" i="1" s="1"/>
  <c r="L2036" i="1"/>
  <c r="N2036" i="1" s="1"/>
  <c r="L2037" i="1"/>
  <c r="N2037" i="1" s="1"/>
  <c r="L2038" i="1"/>
  <c r="N2038" i="1" s="1"/>
  <c r="L2039" i="1"/>
  <c r="N2039" i="1" s="1"/>
  <c r="L2040" i="1"/>
  <c r="N2040" i="1" s="1"/>
  <c r="L2041" i="1"/>
  <c r="N2041" i="1" s="1"/>
  <c r="L2042" i="1"/>
  <c r="N2042" i="1" s="1"/>
  <c r="L2043" i="1"/>
  <c r="N2043" i="1" s="1"/>
  <c r="L2044" i="1"/>
  <c r="N2044" i="1" s="1"/>
  <c r="L2045" i="1"/>
  <c r="N2045" i="1" s="1"/>
  <c r="L2046" i="1"/>
  <c r="N2046" i="1" s="1"/>
  <c r="L2047" i="1"/>
  <c r="N2047" i="1" s="1"/>
  <c r="L2048" i="1"/>
  <c r="N2048" i="1" s="1"/>
  <c r="L2049" i="1"/>
  <c r="N2049" i="1" s="1"/>
  <c r="L2050" i="1"/>
  <c r="N2050" i="1" s="1"/>
  <c r="L2051" i="1"/>
  <c r="N2051" i="1" s="1"/>
  <c r="L2052" i="1"/>
  <c r="N2052" i="1" s="1"/>
  <c r="L2053" i="1"/>
  <c r="N2053" i="1" s="1"/>
  <c r="L2054" i="1"/>
  <c r="N2054" i="1" s="1"/>
  <c r="L2055" i="1"/>
  <c r="N2055" i="1" s="1"/>
  <c r="L2056" i="1"/>
  <c r="N2056" i="1" s="1"/>
  <c r="L2057" i="1"/>
  <c r="N2057" i="1" s="1"/>
  <c r="L2058" i="1"/>
  <c r="N2058" i="1" s="1"/>
  <c r="L2059" i="1"/>
  <c r="N2059" i="1" s="1"/>
  <c r="L2060" i="1"/>
  <c r="N2060" i="1" s="1"/>
  <c r="L2061" i="1"/>
  <c r="N2061" i="1" s="1"/>
  <c r="L2062" i="1"/>
  <c r="N2062" i="1" s="1"/>
  <c r="L2063" i="1"/>
  <c r="N2063" i="1" s="1"/>
  <c r="L2064" i="1"/>
  <c r="N2064" i="1" s="1"/>
  <c r="L2065" i="1"/>
  <c r="N2065" i="1" s="1"/>
  <c r="L2066" i="1"/>
  <c r="N2066" i="1" s="1"/>
  <c r="L2067" i="1"/>
  <c r="N2067" i="1" s="1"/>
  <c r="L2068" i="1"/>
  <c r="N2068" i="1" s="1"/>
  <c r="L2069" i="1"/>
  <c r="N2069" i="1" s="1"/>
  <c r="L2070" i="1"/>
  <c r="N2070" i="1" s="1"/>
  <c r="L2071" i="1"/>
  <c r="N2071" i="1" s="1"/>
  <c r="L2072" i="1"/>
  <c r="N2072" i="1" s="1"/>
  <c r="L2073" i="1"/>
  <c r="N2073" i="1" s="1"/>
  <c r="L2074" i="1"/>
  <c r="N2074" i="1" s="1"/>
  <c r="L2075" i="1"/>
  <c r="N2075" i="1" s="1"/>
  <c r="L2076" i="1"/>
  <c r="N2076" i="1" s="1"/>
  <c r="L2077" i="1"/>
  <c r="N2077" i="1" s="1"/>
  <c r="L2078" i="1"/>
  <c r="N2078" i="1" s="1"/>
  <c r="L2079" i="1"/>
  <c r="N2079" i="1" s="1"/>
  <c r="L2080" i="1"/>
  <c r="N2080" i="1" s="1"/>
  <c r="L2081" i="1"/>
  <c r="N2081" i="1" s="1"/>
  <c r="L2082" i="1"/>
  <c r="N2082" i="1" s="1"/>
  <c r="L2083" i="1"/>
  <c r="N2083" i="1" s="1"/>
  <c r="L2084" i="1"/>
  <c r="N2084" i="1" s="1"/>
  <c r="L2085" i="1"/>
  <c r="N2085" i="1" s="1"/>
  <c r="L2086" i="1"/>
  <c r="N2086" i="1" s="1"/>
  <c r="L2087" i="1"/>
  <c r="N2087" i="1" s="1"/>
  <c r="L2088" i="1"/>
  <c r="N2088" i="1" s="1"/>
  <c r="L2089" i="1"/>
  <c r="N2089" i="1" s="1"/>
  <c r="L2090" i="1"/>
  <c r="N2090" i="1" s="1"/>
  <c r="L2091" i="1"/>
  <c r="N2091" i="1" s="1"/>
  <c r="L2092" i="1"/>
  <c r="N2092" i="1" s="1"/>
  <c r="L2093" i="1"/>
  <c r="N2093" i="1" s="1"/>
  <c r="L2094" i="1"/>
  <c r="N2094" i="1" s="1"/>
  <c r="L2095" i="1"/>
  <c r="N2095" i="1" s="1"/>
  <c r="L2096" i="1"/>
  <c r="N2096" i="1" s="1"/>
  <c r="L2097" i="1"/>
  <c r="N2097" i="1" s="1"/>
  <c r="L2098" i="1"/>
  <c r="N2098" i="1" s="1"/>
  <c r="L2099" i="1"/>
  <c r="N2099" i="1" s="1"/>
  <c r="L2100" i="1"/>
  <c r="N2100" i="1" s="1"/>
  <c r="L2101" i="1"/>
  <c r="N2101" i="1" s="1"/>
  <c r="L2102" i="1"/>
  <c r="N2102" i="1" s="1"/>
  <c r="L2103" i="1"/>
  <c r="N2103" i="1" s="1"/>
  <c r="L2104" i="1"/>
  <c r="N2104" i="1" s="1"/>
  <c r="L2105" i="1"/>
  <c r="N2105" i="1" s="1"/>
  <c r="L2106" i="1"/>
  <c r="N2106" i="1" s="1"/>
  <c r="L2107" i="1"/>
  <c r="N2107" i="1" s="1"/>
  <c r="L2108" i="1"/>
  <c r="N2108" i="1" s="1"/>
  <c r="L2109" i="1"/>
  <c r="N2109" i="1" s="1"/>
  <c r="L2110" i="1"/>
  <c r="N2110" i="1" s="1"/>
  <c r="L2111" i="1"/>
  <c r="N2111" i="1" s="1"/>
  <c r="L2112" i="1"/>
  <c r="N2112" i="1" s="1"/>
  <c r="L2113" i="1"/>
  <c r="N2113" i="1" s="1"/>
  <c r="L2114" i="1"/>
  <c r="N2114" i="1" s="1"/>
  <c r="L2115" i="1"/>
  <c r="N2115" i="1" s="1"/>
  <c r="L2116" i="1"/>
  <c r="N2116" i="1" s="1"/>
  <c r="L2117" i="1"/>
  <c r="N2117" i="1" s="1"/>
  <c r="L2118" i="1"/>
  <c r="N2118" i="1" s="1"/>
  <c r="L2119" i="1"/>
  <c r="N2119" i="1" s="1"/>
  <c r="L2120" i="1"/>
  <c r="N2120" i="1" s="1"/>
  <c r="L2121" i="1"/>
  <c r="N2121" i="1" s="1"/>
  <c r="L2122" i="1"/>
  <c r="N2122" i="1" s="1"/>
  <c r="L2123" i="1"/>
  <c r="N2123" i="1" s="1"/>
  <c r="L2124" i="1"/>
  <c r="N2124" i="1" s="1"/>
  <c r="L2125" i="1"/>
  <c r="N2125" i="1" s="1"/>
  <c r="L2126" i="1"/>
  <c r="N2126" i="1" s="1"/>
  <c r="L2127" i="1"/>
  <c r="N2127" i="1" s="1"/>
  <c r="L2128" i="1"/>
  <c r="N2128" i="1" s="1"/>
  <c r="L2129" i="1"/>
  <c r="N2129" i="1" s="1"/>
  <c r="L2130" i="1"/>
  <c r="N2130" i="1" s="1"/>
  <c r="L2131" i="1"/>
  <c r="N2131" i="1" s="1"/>
  <c r="L2132" i="1"/>
  <c r="N2132" i="1" s="1"/>
  <c r="L2133" i="1"/>
  <c r="N2133" i="1" s="1"/>
  <c r="L2134" i="1"/>
  <c r="N2134" i="1" s="1"/>
  <c r="L2135" i="1"/>
  <c r="N2135" i="1" s="1"/>
  <c r="L2136" i="1"/>
  <c r="N2136" i="1" s="1"/>
  <c r="L2137" i="1"/>
  <c r="N2137" i="1" s="1"/>
  <c r="L2138" i="1"/>
  <c r="N2138" i="1" s="1"/>
  <c r="L2139" i="1"/>
  <c r="N2139" i="1" s="1"/>
  <c r="L2140" i="1"/>
  <c r="N2140" i="1" s="1"/>
  <c r="L2141" i="1"/>
  <c r="N2141" i="1" s="1"/>
  <c r="L2142" i="1"/>
  <c r="N2142" i="1" s="1"/>
  <c r="L2143" i="1"/>
  <c r="N2143" i="1" s="1"/>
  <c r="L2144" i="1"/>
  <c r="N2144" i="1" s="1"/>
  <c r="L2145" i="1"/>
  <c r="N2145" i="1" s="1"/>
  <c r="L2146" i="1"/>
  <c r="N2146" i="1" s="1"/>
  <c r="L2147" i="1"/>
  <c r="N2147" i="1" s="1"/>
  <c r="L2148" i="1"/>
  <c r="N2148" i="1" s="1"/>
  <c r="L2149" i="1"/>
  <c r="N2149" i="1" s="1"/>
  <c r="L2150" i="1"/>
  <c r="N2150" i="1" s="1"/>
  <c r="L2151" i="1"/>
  <c r="N2151" i="1" s="1"/>
  <c r="L2152" i="1"/>
  <c r="N2152" i="1" s="1"/>
  <c r="L2153" i="1"/>
  <c r="N2153" i="1" s="1"/>
  <c r="L2154" i="1"/>
  <c r="N2154" i="1" s="1"/>
  <c r="L2155" i="1"/>
  <c r="N2155" i="1" s="1"/>
  <c r="L2156" i="1"/>
  <c r="N2156" i="1" s="1"/>
  <c r="L2157" i="1"/>
  <c r="N2157" i="1" s="1"/>
  <c r="L2158" i="1"/>
  <c r="N2158" i="1" s="1"/>
  <c r="L2159" i="1"/>
  <c r="N2159" i="1" s="1"/>
  <c r="L2160" i="1"/>
  <c r="N2160" i="1" s="1"/>
  <c r="L2161" i="1"/>
  <c r="N2161" i="1" s="1"/>
  <c r="L2162" i="1"/>
  <c r="N2162" i="1" s="1"/>
  <c r="L2163" i="1"/>
  <c r="N2163" i="1" s="1"/>
  <c r="L2164" i="1"/>
  <c r="N2164" i="1" s="1"/>
  <c r="L2165" i="1"/>
  <c r="N2165" i="1" s="1"/>
  <c r="L2166" i="1"/>
  <c r="N2166" i="1" s="1"/>
  <c r="L2167" i="1"/>
  <c r="N2167" i="1" s="1"/>
  <c r="L2168" i="1"/>
  <c r="N2168" i="1" s="1"/>
  <c r="L2169" i="1"/>
  <c r="N2169" i="1" s="1"/>
  <c r="L2170" i="1"/>
  <c r="N2170" i="1" s="1"/>
  <c r="L2171" i="1"/>
  <c r="N2171" i="1" s="1"/>
  <c r="L2172" i="1"/>
  <c r="N2172" i="1" s="1"/>
  <c r="L2173" i="1"/>
  <c r="N2173" i="1" s="1"/>
  <c r="L2174" i="1"/>
  <c r="N2174" i="1" s="1"/>
  <c r="L2175" i="1"/>
  <c r="N2175" i="1" s="1"/>
  <c r="L2176" i="1"/>
  <c r="N2176" i="1" s="1"/>
  <c r="L2177" i="1"/>
  <c r="N2177" i="1" s="1"/>
  <c r="L2178" i="1"/>
  <c r="N2178" i="1" s="1"/>
  <c r="L2179" i="1"/>
  <c r="N2179" i="1" s="1"/>
  <c r="L2180" i="1"/>
  <c r="N2180" i="1" s="1"/>
  <c r="L2181" i="1"/>
  <c r="N2181" i="1" s="1"/>
  <c r="L2182" i="1"/>
  <c r="N2182" i="1" s="1"/>
  <c r="L2183" i="1"/>
  <c r="N2183" i="1" s="1"/>
  <c r="L2184" i="1"/>
  <c r="N2184" i="1" s="1"/>
  <c r="L2185" i="1"/>
  <c r="N2185" i="1" s="1"/>
  <c r="L2186" i="1"/>
  <c r="N2186" i="1" s="1"/>
  <c r="L2187" i="1"/>
  <c r="N2187" i="1" s="1"/>
  <c r="L2188" i="1"/>
  <c r="N2188" i="1" s="1"/>
  <c r="L2189" i="1"/>
  <c r="N2189" i="1" s="1"/>
  <c r="L2190" i="1"/>
  <c r="N2190" i="1" s="1"/>
  <c r="L2191" i="1"/>
  <c r="N2191" i="1" s="1"/>
  <c r="L2192" i="1"/>
  <c r="N2192" i="1" s="1"/>
  <c r="L2193" i="1"/>
  <c r="N2193" i="1" s="1"/>
  <c r="L2194" i="1"/>
  <c r="N2194" i="1" s="1"/>
  <c r="L2195" i="1"/>
  <c r="N2195" i="1" s="1"/>
  <c r="L2196" i="1"/>
  <c r="N2196" i="1" s="1"/>
  <c r="L2197" i="1"/>
  <c r="N2197" i="1" s="1"/>
  <c r="L2198" i="1"/>
  <c r="N2198" i="1" s="1"/>
  <c r="L2199" i="1"/>
  <c r="N2199" i="1" s="1"/>
  <c r="L2200" i="1"/>
  <c r="N2200" i="1" s="1"/>
  <c r="L2201" i="1"/>
  <c r="N2201" i="1" s="1"/>
  <c r="L2202" i="1"/>
  <c r="N2202" i="1" s="1"/>
  <c r="L2203" i="1"/>
  <c r="N2203" i="1" s="1"/>
  <c r="L2204" i="1"/>
  <c r="N2204" i="1" s="1"/>
  <c r="L2205" i="1"/>
  <c r="N2205" i="1" s="1"/>
  <c r="L2206" i="1"/>
  <c r="N2206" i="1" s="1"/>
  <c r="L2207" i="1"/>
  <c r="N2207" i="1" s="1"/>
  <c r="L2208" i="1"/>
  <c r="N2208" i="1" s="1"/>
  <c r="L2209" i="1"/>
  <c r="N2209" i="1" s="1"/>
  <c r="L2210" i="1"/>
  <c r="N2210" i="1" s="1"/>
  <c r="L2211" i="1"/>
  <c r="N2211" i="1" s="1"/>
  <c r="L2212" i="1"/>
  <c r="N2212" i="1" s="1"/>
  <c r="L2213" i="1"/>
  <c r="N2213" i="1" s="1"/>
  <c r="L2214" i="1"/>
  <c r="N2214" i="1" s="1"/>
  <c r="L2215" i="1"/>
  <c r="N2215" i="1" s="1"/>
  <c r="L2216" i="1"/>
  <c r="N2216" i="1" s="1"/>
  <c r="L2217" i="1"/>
  <c r="N2217" i="1" s="1"/>
  <c r="L2218" i="1"/>
  <c r="N2218" i="1" s="1"/>
  <c r="L2219" i="1"/>
  <c r="N2219" i="1" s="1"/>
  <c r="L2220" i="1"/>
  <c r="N2220" i="1" s="1"/>
  <c r="L2221" i="1"/>
  <c r="N2221" i="1" s="1"/>
  <c r="L2222" i="1"/>
  <c r="N2222" i="1" s="1"/>
  <c r="L2223" i="1"/>
  <c r="N2223" i="1" s="1"/>
  <c r="L2224" i="1"/>
  <c r="N2224" i="1" s="1"/>
  <c r="L2225" i="1"/>
  <c r="N2225" i="1" s="1"/>
  <c r="L2226" i="1"/>
  <c r="N2226" i="1" s="1"/>
  <c r="L2227" i="1"/>
  <c r="N2227" i="1" s="1"/>
  <c r="L2228" i="1"/>
  <c r="N2228" i="1" s="1"/>
  <c r="L2229" i="1"/>
  <c r="N2229" i="1" s="1"/>
  <c r="L2230" i="1"/>
  <c r="N2230" i="1" s="1"/>
  <c r="L2231" i="1"/>
  <c r="N2231" i="1" s="1"/>
  <c r="L2232" i="1"/>
  <c r="N2232" i="1" s="1"/>
  <c r="L2233" i="1"/>
  <c r="N2233" i="1" s="1"/>
  <c r="L2234" i="1"/>
  <c r="N2234" i="1" s="1"/>
  <c r="L2235" i="1"/>
  <c r="N2235" i="1" s="1"/>
  <c r="L2236" i="1"/>
  <c r="N2236" i="1" s="1"/>
  <c r="L2237" i="1"/>
  <c r="N2237" i="1" s="1"/>
  <c r="L2238" i="1"/>
  <c r="N2238" i="1" s="1"/>
  <c r="L2239" i="1"/>
  <c r="N2239" i="1" s="1"/>
  <c r="L2240" i="1"/>
  <c r="N2240" i="1" s="1"/>
  <c r="L2241" i="1"/>
  <c r="N2241" i="1" s="1"/>
  <c r="L2242" i="1"/>
  <c r="N2242" i="1" s="1"/>
  <c r="L2243" i="1"/>
  <c r="N2243" i="1" s="1"/>
  <c r="L2244" i="1"/>
  <c r="N2244" i="1" s="1"/>
  <c r="L2245" i="1"/>
  <c r="N2245" i="1" s="1"/>
  <c r="L2246" i="1"/>
  <c r="N2246" i="1" s="1"/>
  <c r="L2247" i="1"/>
  <c r="N2247" i="1" s="1"/>
  <c r="L2248" i="1"/>
  <c r="N2248" i="1" s="1"/>
  <c r="L2249" i="1"/>
  <c r="N2249" i="1" s="1"/>
  <c r="L2250" i="1"/>
  <c r="N2250" i="1" s="1"/>
  <c r="L2251" i="1"/>
  <c r="N2251" i="1" s="1"/>
  <c r="L2252" i="1"/>
  <c r="N2252" i="1" s="1"/>
  <c r="L2253" i="1"/>
  <c r="N2253" i="1" s="1"/>
  <c r="L2254" i="1"/>
  <c r="N2254" i="1" s="1"/>
  <c r="L2255" i="1"/>
  <c r="N2255" i="1" s="1"/>
  <c r="L2256" i="1"/>
  <c r="N2256" i="1" s="1"/>
  <c r="L2257" i="1"/>
  <c r="N2257" i="1" s="1"/>
  <c r="L2258" i="1"/>
  <c r="N2258" i="1" s="1"/>
  <c r="L2259" i="1"/>
  <c r="N2259" i="1" s="1"/>
  <c r="L2260" i="1"/>
  <c r="N2260" i="1" s="1"/>
  <c r="L2261" i="1"/>
  <c r="N2261" i="1" s="1"/>
  <c r="L2262" i="1"/>
  <c r="N2262" i="1" s="1"/>
  <c r="L2263" i="1"/>
  <c r="N2263" i="1" s="1"/>
  <c r="L2264" i="1"/>
  <c r="N2264" i="1" s="1"/>
  <c r="L2265" i="1"/>
  <c r="N2265" i="1" s="1"/>
  <c r="L2266" i="1"/>
  <c r="N2266" i="1" s="1"/>
  <c r="L2267" i="1"/>
  <c r="N2267" i="1" s="1"/>
  <c r="L2268" i="1"/>
  <c r="N2268" i="1" s="1"/>
  <c r="L2269" i="1"/>
  <c r="N2269" i="1" s="1"/>
  <c r="L2270" i="1"/>
  <c r="N2270" i="1" s="1"/>
  <c r="L2271" i="1"/>
  <c r="N2271" i="1" s="1"/>
  <c r="L2272" i="1"/>
  <c r="N2272" i="1" s="1"/>
  <c r="L2273" i="1"/>
  <c r="N2273" i="1" s="1"/>
  <c r="L2274" i="1"/>
  <c r="N2274" i="1" s="1"/>
  <c r="L2275" i="1"/>
  <c r="N2275" i="1" s="1"/>
  <c r="L2276" i="1"/>
  <c r="N2276" i="1" s="1"/>
  <c r="L2277" i="1"/>
  <c r="N2277" i="1" s="1"/>
  <c r="L2278" i="1"/>
  <c r="N2278" i="1" s="1"/>
  <c r="L2279" i="1"/>
  <c r="N2279" i="1" s="1"/>
  <c r="L2280" i="1"/>
  <c r="N2280" i="1" s="1"/>
  <c r="L2281" i="1"/>
  <c r="N2281" i="1" s="1"/>
  <c r="L2282" i="1"/>
  <c r="N2282" i="1" s="1"/>
  <c r="L2283" i="1"/>
  <c r="N2283" i="1" s="1"/>
  <c r="L2284" i="1"/>
  <c r="N2284" i="1" s="1"/>
  <c r="L2285" i="1"/>
  <c r="N2285" i="1" s="1"/>
  <c r="L2286" i="1"/>
  <c r="N2286" i="1" s="1"/>
  <c r="L2287" i="1"/>
  <c r="N2287" i="1" s="1"/>
  <c r="L2288" i="1"/>
  <c r="N2288" i="1" s="1"/>
  <c r="L2289" i="1"/>
  <c r="N2289" i="1" s="1"/>
  <c r="L2290" i="1"/>
  <c r="N2290" i="1" s="1"/>
  <c r="L2291" i="1"/>
  <c r="N2291" i="1" s="1"/>
  <c r="L2292" i="1"/>
  <c r="N2292" i="1" s="1"/>
  <c r="L2293" i="1"/>
  <c r="N2293" i="1" s="1"/>
  <c r="L2294" i="1"/>
  <c r="N2294" i="1" s="1"/>
  <c r="L2295" i="1"/>
  <c r="N2295" i="1" s="1"/>
  <c r="L2296" i="1"/>
  <c r="N2296" i="1" s="1"/>
  <c r="L2297" i="1"/>
  <c r="N2297" i="1" s="1"/>
  <c r="L2298" i="1"/>
  <c r="N2298" i="1" s="1"/>
  <c r="L2299" i="1"/>
  <c r="N2299" i="1" s="1"/>
  <c r="L2300" i="1"/>
  <c r="N2300" i="1" s="1"/>
  <c r="L2301" i="1"/>
  <c r="N2301" i="1" s="1"/>
  <c r="L2302" i="1"/>
  <c r="N2302" i="1" s="1"/>
  <c r="L2303" i="1"/>
  <c r="N2303" i="1" s="1"/>
  <c r="L2304" i="1"/>
  <c r="N2304" i="1" s="1"/>
  <c r="L2305" i="1"/>
  <c r="N2305" i="1" s="1"/>
  <c r="L2306" i="1"/>
  <c r="N2306" i="1" s="1"/>
  <c r="L2307" i="1"/>
  <c r="N2307" i="1" s="1"/>
  <c r="L2308" i="1"/>
  <c r="N2308" i="1" s="1"/>
  <c r="L2309" i="1"/>
  <c r="N2309" i="1" s="1"/>
  <c r="L2310" i="1"/>
  <c r="N2310" i="1" s="1"/>
  <c r="L2311" i="1"/>
  <c r="N2311" i="1" s="1"/>
  <c r="L2312" i="1"/>
  <c r="N2312" i="1" s="1"/>
  <c r="L2313" i="1"/>
  <c r="N2313" i="1" s="1"/>
  <c r="L2314" i="1"/>
  <c r="N2314" i="1" s="1"/>
  <c r="L2315" i="1"/>
  <c r="N2315" i="1" s="1"/>
  <c r="L2316" i="1"/>
  <c r="N2316" i="1" s="1"/>
  <c r="L2317" i="1"/>
  <c r="N2317" i="1" s="1"/>
  <c r="L2318" i="1"/>
  <c r="N2318" i="1" s="1"/>
  <c r="L2319" i="1"/>
  <c r="N2319" i="1" s="1"/>
  <c r="L2320" i="1"/>
  <c r="N2320" i="1" s="1"/>
  <c r="L2321" i="1"/>
  <c r="N2321" i="1" s="1"/>
  <c r="L2322" i="1"/>
  <c r="N2322" i="1" s="1"/>
  <c r="L2323" i="1"/>
  <c r="N2323" i="1" s="1"/>
  <c r="L2324" i="1"/>
  <c r="N2324" i="1" s="1"/>
  <c r="L2325" i="1"/>
  <c r="N2325" i="1" s="1"/>
  <c r="L2326" i="1"/>
  <c r="N2326" i="1" s="1"/>
  <c r="L2327" i="1"/>
  <c r="N2327" i="1" s="1"/>
  <c r="L2328" i="1"/>
  <c r="N2328" i="1" s="1"/>
  <c r="L2329" i="1"/>
  <c r="N2329" i="1" s="1"/>
  <c r="L2330" i="1"/>
  <c r="N2330" i="1" s="1"/>
  <c r="L2331" i="1"/>
  <c r="N2331" i="1" s="1"/>
  <c r="L2332" i="1"/>
  <c r="N2332" i="1" s="1"/>
  <c r="L2333" i="1"/>
  <c r="N2333" i="1" s="1"/>
  <c r="L2334" i="1"/>
  <c r="N2334" i="1" s="1"/>
  <c r="L2335" i="1"/>
  <c r="N2335" i="1" s="1"/>
  <c r="L2336" i="1"/>
  <c r="N2336" i="1" s="1"/>
  <c r="L2337" i="1"/>
  <c r="N2337" i="1" s="1"/>
  <c r="L2338" i="1"/>
  <c r="N2338" i="1" s="1"/>
  <c r="L2339" i="1"/>
  <c r="N2339" i="1" s="1"/>
  <c r="L2340" i="1"/>
  <c r="N2340" i="1" s="1"/>
  <c r="L2341" i="1"/>
  <c r="N2341" i="1" s="1"/>
  <c r="L2342" i="1"/>
  <c r="N2342" i="1" s="1"/>
  <c r="L2343" i="1"/>
  <c r="N2343" i="1" s="1"/>
  <c r="L2344" i="1"/>
  <c r="N2344" i="1" s="1"/>
  <c r="L2345" i="1"/>
  <c r="N2345" i="1" s="1"/>
  <c r="L2346" i="1"/>
  <c r="N2346" i="1" s="1"/>
  <c r="L2347" i="1"/>
  <c r="N2347" i="1" s="1"/>
  <c r="L2348" i="1"/>
  <c r="N2348" i="1" s="1"/>
  <c r="L2349" i="1"/>
  <c r="N2349" i="1" s="1"/>
  <c r="L2350" i="1"/>
  <c r="N2350" i="1" s="1"/>
  <c r="L2351" i="1"/>
  <c r="N2351" i="1" s="1"/>
  <c r="L2352" i="1"/>
  <c r="N2352" i="1" s="1"/>
  <c r="L2353" i="1"/>
  <c r="N2353" i="1" s="1"/>
  <c r="L2354" i="1"/>
  <c r="N2354" i="1" s="1"/>
  <c r="L2355" i="1"/>
  <c r="N2355" i="1" s="1"/>
  <c r="L2356" i="1"/>
  <c r="N2356" i="1" s="1"/>
  <c r="L2357" i="1"/>
  <c r="N2357" i="1" s="1"/>
  <c r="L2358" i="1"/>
  <c r="N2358" i="1" s="1"/>
  <c r="L2359" i="1"/>
  <c r="N2359" i="1" s="1"/>
  <c r="L2360" i="1"/>
  <c r="N2360" i="1" s="1"/>
  <c r="L2361" i="1"/>
  <c r="N2361" i="1" s="1"/>
  <c r="L2362" i="1"/>
  <c r="N2362" i="1" s="1"/>
  <c r="L2363" i="1"/>
  <c r="N2363" i="1" s="1"/>
  <c r="L2364" i="1"/>
  <c r="N2364" i="1" s="1"/>
  <c r="L2365" i="1"/>
  <c r="N2365" i="1" s="1"/>
  <c r="L2366" i="1"/>
  <c r="N2366" i="1" s="1"/>
  <c r="L2367" i="1"/>
  <c r="N2367" i="1" s="1"/>
  <c r="L2368" i="1"/>
  <c r="N2368" i="1" s="1"/>
  <c r="L2369" i="1"/>
  <c r="N2369" i="1" s="1"/>
  <c r="L2370" i="1"/>
  <c r="N2370" i="1" s="1"/>
  <c r="L2371" i="1"/>
  <c r="N2371" i="1" s="1"/>
  <c r="L2372" i="1"/>
  <c r="N2372" i="1" s="1"/>
  <c r="L2373" i="1"/>
  <c r="N2373" i="1" s="1"/>
  <c r="L2374" i="1"/>
  <c r="N2374" i="1" s="1"/>
  <c r="L2375" i="1"/>
  <c r="N2375" i="1" s="1"/>
  <c r="L2376" i="1"/>
  <c r="N2376" i="1" s="1"/>
  <c r="L2377" i="1"/>
  <c r="N2377" i="1" s="1"/>
  <c r="L2378" i="1"/>
  <c r="N2378" i="1" s="1"/>
  <c r="L2379" i="1"/>
  <c r="N2379" i="1" s="1"/>
  <c r="L2380" i="1"/>
  <c r="N2380" i="1" s="1"/>
  <c r="L2381" i="1"/>
  <c r="N2381" i="1" s="1"/>
  <c r="L2382" i="1"/>
  <c r="N2382" i="1" s="1"/>
  <c r="L2383" i="1"/>
  <c r="N2383" i="1" s="1"/>
  <c r="L2384" i="1"/>
  <c r="N2384" i="1" s="1"/>
  <c r="L2385" i="1"/>
  <c r="N2385" i="1" s="1"/>
  <c r="L2386" i="1"/>
  <c r="N2386" i="1" s="1"/>
  <c r="L2387" i="1"/>
  <c r="N2387" i="1" s="1"/>
  <c r="L2388" i="1"/>
  <c r="N2388" i="1" s="1"/>
  <c r="L2389" i="1"/>
  <c r="N2389" i="1" s="1"/>
  <c r="L2390" i="1"/>
  <c r="N2390" i="1" s="1"/>
  <c r="L2391" i="1"/>
  <c r="N2391" i="1" s="1"/>
  <c r="L2392" i="1"/>
  <c r="N2392" i="1" s="1"/>
  <c r="L2393" i="1"/>
  <c r="N2393" i="1" s="1"/>
  <c r="L2394" i="1"/>
  <c r="N2394" i="1" s="1"/>
  <c r="L2395" i="1"/>
  <c r="N2395" i="1" s="1"/>
  <c r="L2396" i="1"/>
  <c r="N2396" i="1" s="1"/>
  <c r="L2397" i="1"/>
  <c r="N2397" i="1" s="1"/>
  <c r="L2398" i="1"/>
  <c r="N2398" i="1" s="1"/>
  <c r="L2399" i="1"/>
  <c r="N2399" i="1" s="1"/>
  <c r="L2400" i="1"/>
  <c r="N2400" i="1" s="1"/>
  <c r="L2401" i="1"/>
  <c r="N2401" i="1" s="1"/>
  <c r="L2402" i="1"/>
  <c r="N2402" i="1" s="1"/>
  <c r="L2403" i="1"/>
  <c r="N2403" i="1" s="1"/>
  <c r="L2404" i="1"/>
  <c r="N2404" i="1" s="1"/>
  <c r="L2405" i="1"/>
  <c r="N2405" i="1" s="1"/>
  <c r="L2406" i="1"/>
  <c r="N2406" i="1" s="1"/>
  <c r="L2407" i="1"/>
  <c r="N2407" i="1" s="1"/>
  <c r="L2408" i="1"/>
  <c r="N2408" i="1" s="1"/>
  <c r="L2409" i="1"/>
  <c r="N2409" i="1" s="1"/>
  <c r="L2410" i="1"/>
  <c r="N2410" i="1" s="1"/>
  <c r="L2411" i="1"/>
  <c r="N2411" i="1" s="1"/>
  <c r="L2412" i="1"/>
  <c r="N2412" i="1" s="1"/>
  <c r="L2413" i="1"/>
  <c r="N2413" i="1" s="1"/>
  <c r="L2414" i="1"/>
  <c r="N2414" i="1" s="1"/>
  <c r="L2415" i="1"/>
  <c r="N2415" i="1" s="1"/>
  <c r="L2416" i="1"/>
  <c r="N2416" i="1" s="1"/>
  <c r="L2417" i="1"/>
  <c r="N2417" i="1" s="1"/>
  <c r="L2418" i="1"/>
  <c r="N2418" i="1" s="1"/>
  <c r="L2419" i="1"/>
  <c r="N2419" i="1" s="1"/>
  <c r="L2420" i="1"/>
  <c r="N2420" i="1" s="1"/>
  <c r="L2421" i="1"/>
  <c r="N2421" i="1" s="1"/>
  <c r="L2422" i="1"/>
  <c r="N2422" i="1" s="1"/>
  <c r="L2423" i="1"/>
  <c r="N2423" i="1" s="1"/>
  <c r="L2424" i="1"/>
  <c r="N2424" i="1" s="1"/>
  <c r="L2425" i="1"/>
  <c r="N2425" i="1" s="1"/>
  <c r="L2426" i="1"/>
  <c r="N2426" i="1" s="1"/>
  <c r="L2427" i="1"/>
  <c r="N2427" i="1" s="1"/>
  <c r="L2428" i="1"/>
  <c r="N2428" i="1" s="1"/>
  <c r="L2429" i="1"/>
  <c r="N2429" i="1" s="1"/>
  <c r="L2430" i="1"/>
  <c r="N2430" i="1" s="1"/>
  <c r="L2431" i="1"/>
  <c r="N2431" i="1" s="1"/>
  <c r="L2432" i="1"/>
  <c r="N2432" i="1" s="1"/>
  <c r="L2433" i="1"/>
  <c r="N2433" i="1" s="1"/>
  <c r="L2434" i="1"/>
  <c r="N2434" i="1" s="1"/>
  <c r="L2435" i="1"/>
  <c r="N2435" i="1" s="1"/>
  <c r="L2436" i="1"/>
  <c r="N2436" i="1" s="1"/>
  <c r="L2437" i="1"/>
  <c r="N2437" i="1" s="1"/>
  <c r="L2438" i="1"/>
  <c r="N2438" i="1" s="1"/>
  <c r="L2439" i="1"/>
  <c r="N2439" i="1" s="1"/>
  <c r="L2440" i="1"/>
  <c r="N2440" i="1" s="1"/>
  <c r="L2441" i="1"/>
  <c r="N2441" i="1" s="1"/>
  <c r="L2442" i="1"/>
  <c r="N2442" i="1" s="1"/>
  <c r="L2443" i="1"/>
  <c r="N2443" i="1" s="1"/>
  <c r="L2444" i="1"/>
  <c r="N2444" i="1" s="1"/>
  <c r="L2445" i="1"/>
  <c r="N2445" i="1" s="1"/>
  <c r="L2446" i="1"/>
  <c r="N2446" i="1" s="1"/>
  <c r="L2447" i="1"/>
  <c r="N2447" i="1" s="1"/>
  <c r="L2448" i="1"/>
  <c r="N2448" i="1" s="1"/>
  <c r="L2449" i="1"/>
  <c r="N2449" i="1" s="1"/>
  <c r="L2450" i="1"/>
  <c r="N2450" i="1" s="1"/>
  <c r="L2451" i="1"/>
  <c r="N2451" i="1" s="1"/>
  <c r="L2452" i="1"/>
  <c r="N2452" i="1" s="1"/>
  <c r="L2453" i="1"/>
  <c r="N2453" i="1" s="1"/>
  <c r="L2454" i="1"/>
  <c r="N2454" i="1" s="1"/>
  <c r="L2455" i="1"/>
  <c r="N2455" i="1" s="1"/>
  <c r="L2456" i="1"/>
  <c r="N2456" i="1" s="1"/>
  <c r="L2457" i="1"/>
  <c r="N2457" i="1" s="1"/>
  <c r="L2458" i="1"/>
  <c r="N2458" i="1" s="1"/>
  <c r="L2459" i="1"/>
  <c r="N2459" i="1" s="1"/>
  <c r="L2460" i="1"/>
  <c r="N2460" i="1" s="1"/>
  <c r="L2461" i="1"/>
  <c r="N2461" i="1" s="1"/>
  <c r="L2462" i="1"/>
  <c r="N2462" i="1" s="1"/>
  <c r="L2463" i="1"/>
  <c r="N2463" i="1" s="1"/>
  <c r="L2464" i="1"/>
  <c r="N2464" i="1" s="1"/>
  <c r="L2465" i="1"/>
  <c r="N2465" i="1" s="1"/>
  <c r="L2466" i="1"/>
  <c r="N2466" i="1" s="1"/>
  <c r="L2467" i="1"/>
  <c r="N2467" i="1" s="1"/>
  <c r="L2468" i="1"/>
  <c r="N2468" i="1" s="1"/>
  <c r="L2469" i="1"/>
  <c r="N2469" i="1" s="1"/>
  <c r="L2470" i="1"/>
  <c r="N2470" i="1" s="1"/>
  <c r="L2471" i="1"/>
  <c r="N2471" i="1" s="1"/>
  <c r="L2472" i="1"/>
  <c r="N2472" i="1" s="1"/>
  <c r="L2473" i="1"/>
  <c r="N2473" i="1" s="1"/>
  <c r="L2474" i="1"/>
  <c r="N2474" i="1" s="1"/>
  <c r="L2475" i="1"/>
  <c r="N2475" i="1" s="1"/>
  <c r="L2476" i="1"/>
  <c r="N2476" i="1" s="1"/>
  <c r="L2477" i="1"/>
  <c r="N2477" i="1" s="1"/>
  <c r="L2478" i="1"/>
  <c r="N2478" i="1" s="1"/>
  <c r="L2479" i="1"/>
  <c r="N2479" i="1" s="1"/>
  <c r="L2480" i="1"/>
  <c r="N2480" i="1" s="1"/>
  <c r="L2481" i="1"/>
  <c r="N2481" i="1" s="1"/>
  <c r="L2482" i="1"/>
  <c r="N2482" i="1" s="1"/>
  <c r="L2483" i="1"/>
  <c r="N2483" i="1" s="1"/>
  <c r="L2484" i="1"/>
  <c r="N2484" i="1" s="1"/>
  <c r="L2485" i="1"/>
  <c r="N2485" i="1" s="1"/>
  <c r="L2486" i="1"/>
  <c r="N2486" i="1" s="1"/>
  <c r="L2487" i="1"/>
  <c r="N2487" i="1" s="1"/>
  <c r="L2488" i="1"/>
  <c r="N2488" i="1" s="1"/>
  <c r="L2489" i="1"/>
  <c r="N2489" i="1" s="1"/>
  <c r="L2490" i="1"/>
  <c r="N2490" i="1" s="1"/>
  <c r="L2491" i="1"/>
  <c r="N2491" i="1" s="1"/>
  <c r="L2492" i="1"/>
  <c r="N2492" i="1" s="1"/>
  <c r="L2493" i="1"/>
  <c r="N2493" i="1" s="1"/>
  <c r="L2494" i="1"/>
  <c r="N2494" i="1" s="1"/>
  <c r="L2495" i="1"/>
  <c r="N2495" i="1" s="1"/>
  <c r="L2496" i="1"/>
  <c r="N2496" i="1" s="1"/>
  <c r="L2497" i="1"/>
  <c r="N2497" i="1" s="1"/>
  <c r="L2498" i="1"/>
  <c r="N2498" i="1" s="1"/>
  <c r="L2499" i="1"/>
  <c r="N2499" i="1" s="1"/>
  <c r="L2500" i="1"/>
  <c r="N2500" i="1" s="1"/>
  <c r="L2501" i="1"/>
  <c r="N2501" i="1" s="1"/>
  <c r="L2502" i="1"/>
  <c r="N2502" i="1" s="1"/>
  <c r="L2503" i="1"/>
  <c r="N2503" i="1" s="1"/>
  <c r="L2504" i="1"/>
  <c r="N2504" i="1" s="1"/>
  <c r="L2505" i="1"/>
  <c r="N2505" i="1" s="1"/>
  <c r="L2506" i="1"/>
  <c r="N2506" i="1" s="1"/>
  <c r="L2507" i="1"/>
  <c r="N2507" i="1" s="1"/>
  <c r="L2508" i="1"/>
  <c r="N2508" i="1" s="1"/>
  <c r="L2509" i="1"/>
  <c r="N2509" i="1" s="1"/>
  <c r="L2510" i="1"/>
  <c r="N2510" i="1" s="1"/>
  <c r="L2511" i="1"/>
  <c r="N2511" i="1" s="1"/>
  <c r="L2512" i="1"/>
  <c r="N2512" i="1" s="1"/>
  <c r="L2513" i="1"/>
  <c r="N2513" i="1" s="1"/>
  <c r="L2514" i="1"/>
  <c r="N2514" i="1" s="1"/>
  <c r="L2515" i="1"/>
  <c r="N2515" i="1" s="1"/>
  <c r="L2516" i="1"/>
  <c r="N2516" i="1" s="1"/>
  <c r="L2517" i="1"/>
  <c r="N2517" i="1" s="1"/>
  <c r="L2518" i="1"/>
  <c r="N2518" i="1" s="1"/>
  <c r="L2519" i="1"/>
  <c r="N2519" i="1" s="1"/>
  <c r="L2520" i="1"/>
  <c r="N2520" i="1" s="1"/>
  <c r="L2521" i="1"/>
  <c r="N2521" i="1" s="1"/>
  <c r="L2522" i="1"/>
  <c r="N2522" i="1" s="1"/>
  <c r="L2523" i="1"/>
  <c r="N2523" i="1" s="1"/>
  <c r="L2524" i="1"/>
  <c r="N2524" i="1" s="1"/>
  <c r="L2525" i="1"/>
  <c r="N2525" i="1" s="1"/>
  <c r="L2526" i="1"/>
  <c r="N2526" i="1" s="1"/>
  <c r="L2527" i="1"/>
  <c r="N2527" i="1" s="1"/>
  <c r="L2528" i="1"/>
  <c r="N2528" i="1" s="1"/>
  <c r="L2529" i="1"/>
  <c r="N2529" i="1" s="1"/>
  <c r="L2530" i="1"/>
  <c r="N2530" i="1" s="1"/>
  <c r="L2531" i="1"/>
  <c r="N2531" i="1" s="1"/>
  <c r="L2532" i="1"/>
  <c r="N2532" i="1" s="1"/>
  <c r="L2533" i="1"/>
  <c r="N2533" i="1" s="1"/>
  <c r="L2534" i="1"/>
  <c r="N2534" i="1" s="1"/>
  <c r="L2535" i="1"/>
  <c r="N2535" i="1" s="1"/>
  <c r="L2536" i="1"/>
  <c r="N2536" i="1" s="1"/>
  <c r="L2537" i="1"/>
  <c r="N2537" i="1" s="1"/>
  <c r="L2538" i="1"/>
  <c r="N2538" i="1" s="1"/>
  <c r="L2539" i="1"/>
  <c r="N2539" i="1" s="1"/>
  <c r="L2540" i="1"/>
  <c r="N2540" i="1" s="1"/>
  <c r="L2541" i="1"/>
  <c r="N2541" i="1" s="1"/>
  <c r="L2542" i="1"/>
  <c r="N2542" i="1" s="1"/>
  <c r="L2543" i="1"/>
  <c r="N2543" i="1" s="1"/>
  <c r="L2544" i="1"/>
  <c r="N2544" i="1" s="1"/>
  <c r="L2545" i="1"/>
  <c r="N2545" i="1" s="1"/>
  <c r="L2546" i="1"/>
  <c r="N2546" i="1" s="1"/>
  <c r="L2547" i="1"/>
  <c r="N2547" i="1" s="1"/>
  <c r="L2548" i="1"/>
  <c r="N2548" i="1" s="1"/>
  <c r="L2549" i="1"/>
  <c r="N2549" i="1" s="1"/>
  <c r="L2550" i="1"/>
  <c r="N2550" i="1" s="1"/>
  <c r="L2551" i="1"/>
  <c r="N2551" i="1" s="1"/>
  <c r="L2552" i="1"/>
  <c r="N2552" i="1" s="1"/>
  <c r="L2553" i="1"/>
  <c r="N2553" i="1" s="1"/>
  <c r="L2554" i="1"/>
  <c r="N2554" i="1" s="1"/>
  <c r="L2555" i="1"/>
  <c r="N2555" i="1" s="1"/>
  <c r="L2556" i="1"/>
  <c r="N2556" i="1" s="1"/>
  <c r="L2557" i="1"/>
  <c r="N2557" i="1" s="1"/>
  <c r="L2558" i="1"/>
  <c r="N2558" i="1" s="1"/>
  <c r="L2559" i="1"/>
  <c r="N2559" i="1" s="1"/>
  <c r="L2560" i="1"/>
  <c r="N2560" i="1" s="1"/>
  <c r="L2561" i="1"/>
  <c r="N2561" i="1" s="1"/>
  <c r="L2562" i="1"/>
  <c r="N2562" i="1" s="1"/>
  <c r="L2563" i="1"/>
  <c r="N2563" i="1" s="1"/>
  <c r="L2564" i="1"/>
  <c r="N2564" i="1" s="1"/>
  <c r="L2565" i="1"/>
  <c r="N2565" i="1" s="1"/>
  <c r="L2566" i="1"/>
  <c r="N2566" i="1" s="1"/>
  <c r="L2567" i="1"/>
  <c r="N2567" i="1" s="1"/>
  <c r="L2568" i="1"/>
  <c r="N2568" i="1" s="1"/>
  <c r="L2569" i="1"/>
  <c r="N2569" i="1" s="1"/>
  <c r="L2570" i="1"/>
  <c r="N2570" i="1" s="1"/>
  <c r="L2571" i="1"/>
  <c r="N2571" i="1" s="1"/>
  <c r="L2572" i="1"/>
  <c r="N2572" i="1" s="1"/>
  <c r="L2573" i="1"/>
  <c r="N2573" i="1" s="1"/>
  <c r="L2574" i="1"/>
  <c r="N2574" i="1" s="1"/>
  <c r="L2575" i="1"/>
  <c r="N2575" i="1" s="1"/>
  <c r="L2576" i="1"/>
  <c r="N2576" i="1" s="1"/>
  <c r="L2577" i="1"/>
  <c r="N2577" i="1" s="1"/>
  <c r="L2578" i="1"/>
  <c r="N2578" i="1" s="1"/>
  <c r="L2579" i="1"/>
  <c r="N2579" i="1" s="1"/>
  <c r="L2580" i="1"/>
  <c r="N2580" i="1" s="1"/>
  <c r="L2581" i="1"/>
  <c r="N2581" i="1" s="1"/>
  <c r="L2582" i="1"/>
  <c r="N2582" i="1" s="1"/>
  <c r="L2583" i="1"/>
  <c r="N2583" i="1" s="1"/>
  <c r="L2584" i="1"/>
  <c r="N2584" i="1" s="1"/>
  <c r="L2585" i="1"/>
  <c r="N2585" i="1" s="1"/>
  <c r="L2586" i="1"/>
  <c r="N2586" i="1" s="1"/>
  <c r="L2587" i="1"/>
  <c r="N2587" i="1" s="1"/>
  <c r="L2588" i="1"/>
  <c r="N2588" i="1" s="1"/>
  <c r="L2589" i="1"/>
  <c r="N2589" i="1" s="1"/>
  <c r="L2590" i="1"/>
  <c r="N2590" i="1" s="1"/>
  <c r="L2591" i="1"/>
  <c r="N2591" i="1" s="1"/>
  <c r="L2592" i="1"/>
  <c r="N2592" i="1" s="1"/>
  <c r="L2593" i="1"/>
  <c r="N2593" i="1" s="1"/>
  <c r="L2594" i="1"/>
  <c r="N2594" i="1" s="1"/>
  <c r="L2595" i="1"/>
  <c r="N2595" i="1" s="1"/>
  <c r="L2596" i="1"/>
  <c r="N2596" i="1" s="1"/>
  <c r="L2597" i="1"/>
  <c r="N2597" i="1" s="1"/>
  <c r="L2598" i="1"/>
  <c r="N2598" i="1" s="1"/>
  <c r="L2599" i="1"/>
  <c r="N2599" i="1" s="1"/>
  <c r="L2600" i="1"/>
  <c r="N2600" i="1" s="1"/>
  <c r="L2601" i="1"/>
  <c r="N2601" i="1" s="1"/>
  <c r="L2602" i="1"/>
  <c r="N2602" i="1" s="1"/>
  <c r="L2603" i="1"/>
  <c r="N2603" i="1" s="1"/>
  <c r="L2604" i="1"/>
  <c r="N2604" i="1" s="1"/>
  <c r="L2605" i="1"/>
  <c r="N2605" i="1" s="1"/>
  <c r="L2606" i="1"/>
  <c r="N2606" i="1" s="1"/>
  <c r="L2607" i="1"/>
  <c r="N2607" i="1" s="1"/>
  <c r="L2608" i="1"/>
  <c r="N2608" i="1" s="1"/>
  <c r="L2609" i="1"/>
  <c r="N2609" i="1" s="1"/>
  <c r="L2610" i="1"/>
  <c r="N2610" i="1" s="1"/>
  <c r="L2611" i="1"/>
  <c r="N2611" i="1" s="1"/>
  <c r="L2612" i="1"/>
  <c r="N2612" i="1" s="1"/>
  <c r="L2613" i="1"/>
  <c r="N2613" i="1" s="1"/>
  <c r="L2614" i="1"/>
  <c r="N2614" i="1" s="1"/>
  <c r="L2615" i="1"/>
  <c r="N2615" i="1" s="1"/>
  <c r="L2616" i="1"/>
  <c r="N2616" i="1" s="1"/>
  <c r="L2617" i="1"/>
  <c r="N2617" i="1" s="1"/>
  <c r="L2618" i="1"/>
  <c r="N2618" i="1" s="1"/>
  <c r="L2619" i="1"/>
  <c r="N2619" i="1" s="1"/>
  <c r="L2620" i="1"/>
  <c r="N2620" i="1" s="1"/>
  <c r="L2621" i="1"/>
  <c r="N2621" i="1" s="1"/>
  <c r="L2622" i="1"/>
  <c r="N2622" i="1" s="1"/>
  <c r="L2623" i="1"/>
  <c r="N2623" i="1" s="1"/>
  <c r="L2624" i="1"/>
  <c r="N2624" i="1" s="1"/>
  <c r="L2625" i="1"/>
  <c r="N2625" i="1" s="1"/>
  <c r="L2626" i="1"/>
  <c r="N2626" i="1" s="1"/>
  <c r="L2627" i="1"/>
  <c r="N2627" i="1" s="1"/>
  <c r="L2628" i="1"/>
  <c r="N2628" i="1" s="1"/>
  <c r="L2629" i="1"/>
  <c r="N2629" i="1" s="1"/>
  <c r="L2630" i="1"/>
  <c r="N2630" i="1" s="1"/>
  <c r="L2631" i="1"/>
  <c r="N2631" i="1" s="1"/>
  <c r="L2632" i="1"/>
  <c r="N2632" i="1" s="1"/>
  <c r="L2633" i="1"/>
  <c r="N2633" i="1" s="1"/>
  <c r="L2634" i="1"/>
  <c r="N2634" i="1" s="1"/>
  <c r="L2635" i="1"/>
  <c r="N2635" i="1" s="1"/>
  <c r="L2636" i="1"/>
  <c r="N2636" i="1" s="1"/>
  <c r="L2637" i="1"/>
  <c r="N2637" i="1" s="1"/>
  <c r="L2638" i="1"/>
  <c r="N2638" i="1" s="1"/>
  <c r="L2639" i="1"/>
  <c r="N2639" i="1" s="1"/>
  <c r="L2640" i="1"/>
  <c r="N2640" i="1" s="1"/>
  <c r="L2641" i="1"/>
  <c r="N2641" i="1" s="1"/>
  <c r="L2642" i="1"/>
  <c r="N2642" i="1" s="1"/>
  <c r="L2643" i="1"/>
  <c r="N2643" i="1" s="1"/>
  <c r="L2644" i="1"/>
  <c r="N2644" i="1" s="1"/>
  <c r="L2645" i="1"/>
  <c r="N2645" i="1" s="1"/>
  <c r="L2646" i="1"/>
  <c r="N2646" i="1" s="1"/>
  <c r="L2647" i="1"/>
  <c r="N2647" i="1" s="1"/>
  <c r="L2648" i="1"/>
  <c r="N2648" i="1" s="1"/>
  <c r="L2649" i="1"/>
  <c r="N2649" i="1" s="1"/>
  <c r="L2650" i="1"/>
  <c r="N2650" i="1" s="1"/>
  <c r="L2651" i="1"/>
  <c r="N2651" i="1" s="1"/>
  <c r="L2652" i="1"/>
  <c r="N2652" i="1" s="1"/>
  <c r="L2653" i="1"/>
  <c r="N2653" i="1" s="1"/>
  <c r="L2654" i="1"/>
  <c r="N2654" i="1" s="1"/>
  <c r="L2655" i="1"/>
  <c r="N2655" i="1" s="1"/>
  <c r="L2656" i="1"/>
  <c r="N2656" i="1" s="1"/>
  <c r="L2657" i="1"/>
  <c r="N2657" i="1" s="1"/>
  <c r="L2658" i="1"/>
  <c r="N2658" i="1" s="1"/>
  <c r="L2659" i="1"/>
  <c r="N2659" i="1" s="1"/>
  <c r="L2660" i="1"/>
  <c r="N2660" i="1" s="1"/>
  <c r="L2661" i="1"/>
  <c r="N2661" i="1" s="1"/>
  <c r="L2662" i="1"/>
  <c r="N2662" i="1" s="1"/>
  <c r="L2663" i="1"/>
  <c r="N2663" i="1" s="1"/>
  <c r="L2664" i="1"/>
  <c r="N2664" i="1" s="1"/>
  <c r="L2665" i="1"/>
  <c r="N2665" i="1" s="1"/>
  <c r="L2666" i="1"/>
  <c r="N2666" i="1" s="1"/>
  <c r="L2667" i="1"/>
  <c r="N2667" i="1" s="1"/>
  <c r="L2668" i="1"/>
  <c r="N2668" i="1" s="1"/>
  <c r="L2669" i="1"/>
  <c r="N2669" i="1" s="1"/>
  <c r="L2670" i="1"/>
  <c r="N2670" i="1" s="1"/>
  <c r="L2671" i="1"/>
  <c r="N2671" i="1" s="1"/>
  <c r="L2672" i="1"/>
  <c r="N2672" i="1" s="1"/>
  <c r="L2673" i="1"/>
  <c r="N2673" i="1" s="1"/>
  <c r="L2674" i="1"/>
  <c r="N2674" i="1" s="1"/>
  <c r="L2675" i="1"/>
  <c r="N2675" i="1" s="1"/>
  <c r="L2676" i="1"/>
  <c r="N2676" i="1" s="1"/>
  <c r="L2677" i="1"/>
  <c r="N2677" i="1" s="1"/>
  <c r="L2678" i="1"/>
  <c r="N2678" i="1" s="1"/>
  <c r="L2679" i="1"/>
  <c r="N2679" i="1" s="1"/>
  <c r="L2680" i="1"/>
  <c r="N2680" i="1" s="1"/>
  <c r="L2681" i="1"/>
  <c r="N2681" i="1" s="1"/>
  <c r="L2682" i="1"/>
  <c r="N2682" i="1" s="1"/>
  <c r="L2683" i="1"/>
  <c r="N2683" i="1" s="1"/>
  <c r="L2684" i="1"/>
  <c r="N2684" i="1" s="1"/>
  <c r="L2685" i="1"/>
  <c r="N2685" i="1" s="1"/>
  <c r="L2686" i="1"/>
  <c r="N2686" i="1" s="1"/>
  <c r="L2687" i="1"/>
  <c r="N2687" i="1" s="1"/>
  <c r="L2688" i="1"/>
  <c r="N2688" i="1" s="1"/>
  <c r="L2689" i="1"/>
  <c r="N2689" i="1" s="1"/>
  <c r="L2690" i="1"/>
  <c r="N2690" i="1" s="1"/>
  <c r="L2691" i="1"/>
  <c r="N2691" i="1" s="1"/>
  <c r="L2692" i="1"/>
  <c r="N2692" i="1" s="1"/>
  <c r="L2693" i="1"/>
  <c r="N2693" i="1" s="1"/>
  <c r="L2694" i="1"/>
  <c r="N2694" i="1" s="1"/>
  <c r="L2695" i="1"/>
  <c r="N2695" i="1" s="1"/>
  <c r="L2696" i="1"/>
  <c r="N2696" i="1" s="1"/>
  <c r="L2697" i="1"/>
  <c r="N2697" i="1" s="1"/>
  <c r="L2698" i="1"/>
  <c r="N2698" i="1" s="1"/>
  <c r="L2699" i="1"/>
  <c r="N2699" i="1" s="1"/>
  <c r="L2700" i="1"/>
  <c r="N2700" i="1" s="1"/>
  <c r="L2701" i="1"/>
  <c r="N2701" i="1" s="1"/>
  <c r="L2702" i="1"/>
  <c r="N2702" i="1" s="1"/>
  <c r="L2703" i="1"/>
  <c r="N2703" i="1" s="1"/>
  <c r="L2704" i="1"/>
  <c r="N2704" i="1" s="1"/>
  <c r="L2705" i="1"/>
  <c r="N2705" i="1" s="1"/>
  <c r="L2706" i="1"/>
  <c r="N2706" i="1" s="1"/>
  <c r="L2707" i="1"/>
  <c r="N2707" i="1" s="1"/>
  <c r="L2708" i="1"/>
  <c r="N2708" i="1" s="1"/>
  <c r="L2709" i="1"/>
  <c r="N2709" i="1" s="1"/>
  <c r="L2710" i="1"/>
  <c r="N2710" i="1" s="1"/>
  <c r="L2711" i="1"/>
  <c r="N2711" i="1" s="1"/>
  <c r="L2712" i="1"/>
  <c r="N2712" i="1" s="1"/>
  <c r="L2713" i="1"/>
  <c r="N2713" i="1" s="1"/>
  <c r="L2714" i="1"/>
  <c r="N2714" i="1" s="1"/>
  <c r="L2715" i="1"/>
  <c r="N2715" i="1" s="1"/>
  <c r="L2716" i="1"/>
  <c r="N2716" i="1" s="1"/>
  <c r="L2717" i="1"/>
  <c r="N2717" i="1" s="1"/>
  <c r="L54" i="1"/>
  <c r="N54" i="1" s="1"/>
  <c r="L53" i="1"/>
  <c r="N53" i="1" s="1"/>
  <c r="J55" i="1"/>
  <c r="J56" i="1"/>
  <c r="J57" i="1"/>
  <c r="J58" i="1"/>
  <c r="J59" i="1"/>
  <c r="J61" i="1"/>
  <c r="J62" i="1"/>
  <c r="J63" i="1"/>
  <c r="J64" i="1"/>
  <c r="J65" i="1"/>
  <c r="J66" i="1"/>
  <c r="J67" i="1"/>
  <c r="J68" i="1"/>
  <c r="J70" i="1"/>
  <c r="J71" i="1"/>
  <c r="J72" i="1"/>
  <c r="J73" i="1"/>
  <c r="J74" i="1"/>
  <c r="J75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53" i="1"/>
  <c r="J54" i="1"/>
  <c r="L52" i="1"/>
  <c r="N52" i="1" s="1"/>
  <c r="J52" i="1"/>
  <c r="L49" i="1"/>
  <c r="N49" i="1" s="1"/>
  <c r="J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48" i="1"/>
  <c r="L48" i="1"/>
  <c r="N48" i="1" s="1"/>
  <c r="J48" i="1"/>
  <c r="J50" i="1" l="1"/>
  <c r="J51" i="1"/>
  <c r="L50" i="1"/>
  <c r="N50" i="1" s="1"/>
  <c r="L51" i="1"/>
  <c r="N51" i="1" s="1"/>
  <c r="L47" i="1"/>
  <c r="N47" i="1" s="1"/>
  <c r="L46" i="1" l="1"/>
  <c r="N46" i="1" s="1"/>
  <c r="L45" i="1"/>
  <c r="N45" i="1" s="1"/>
  <c r="L44" i="1"/>
  <c r="N44" i="1" s="1"/>
  <c r="L43" i="1"/>
  <c r="N43" i="1" s="1"/>
  <c r="P2" i="1" l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L27" i="1"/>
  <c r="N27" i="1" s="1"/>
  <c r="L33" i="1"/>
  <c r="N33" i="1" s="1"/>
  <c r="L32" i="1"/>
  <c r="N32" i="1" s="1"/>
  <c r="L25" i="1"/>
  <c r="N25" i="1" s="1"/>
  <c r="L26" i="1"/>
  <c r="N26" i="1" s="1"/>
  <c r="L28" i="1"/>
  <c r="N28" i="1" s="1"/>
  <c r="L30" i="1"/>
  <c r="N30" i="1" s="1"/>
  <c r="L31" i="1"/>
  <c r="N31" i="1" s="1"/>
  <c r="L34" i="1"/>
  <c r="N34" i="1" s="1"/>
  <c r="L36" i="1"/>
  <c r="N36" i="1" s="1"/>
  <c r="L37" i="1"/>
  <c r="N37" i="1" s="1"/>
  <c r="L38" i="1"/>
  <c r="N38" i="1" s="1"/>
  <c r="L39" i="1"/>
  <c r="N39" i="1" s="1"/>
  <c r="L40" i="1"/>
  <c r="N40" i="1" s="1"/>
  <c r="L41" i="1"/>
  <c r="N41" i="1" s="1"/>
  <c r="L42" i="1"/>
  <c r="N42" i="1" s="1"/>
  <c r="R47" i="1" l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AK26" i="2" l="1"/>
  <c r="C26" i="2" s="1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D5" i="4" s="1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D22" i="4" s="1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D30" i="4" s="1"/>
  <c r="B31" i="4"/>
  <c r="D31" i="4" s="1"/>
  <c r="B32" i="4"/>
  <c r="D32" i="4" s="1"/>
  <c r="B33" i="4"/>
  <c r="D33" i="4" s="1"/>
  <c r="B34" i="4"/>
  <c r="D34" i="4" s="1"/>
  <c r="B35" i="4"/>
  <c r="D35" i="4" s="1"/>
  <c r="B36" i="4"/>
  <c r="D36" i="4" s="1"/>
  <c r="B37" i="4"/>
  <c r="D37" i="4" s="1"/>
  <c r="B38" i="4"/>
  <c r="D38" i="4" s="1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D46" i="4" s="1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D54" i="4" s="1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D68" i="4" s="1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D79" i="4" s="1"/>
  <c r="B80" i="4"/>
  <c r="D80" i="4" s="1"/>
  <c r="B81" i="4"/>
  <c r="D81" i="4" s="1"/>
  <c r="B82" i="4"/>
  <c r="D82" i="4" s="1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N21" i="1" s="1"/>
  <c r="A3" i="1"/>
  <c r="A4" i="1" l="1"/>
  <c r="A5" i="1" s="1"/>
  <c r="E17" i="4"/>
  <c r="L11" i="1"/>
  <c r="N11" i="1" s="1"/>
  <c r="J11" i="1"/>
  <c r="L2" i="1"/>
  <c r="N2" i="1" s="1"/>
  <c r="J3" i="1"/>
  <c r="L3" i="1"/>
  <c r="N3" i="1" s="1"/>
  <c r="J4" i="1"/>
  <c r="L4" i="1"/>
  <c r="N4" i="1" s="1"/>
  <c r="J5" i="1"/>
  <c r="L5" i="1"/>
  <c r="N5" i="1" s="1"/>
  <c r="J6" i="1"/>
  <c r="L6" i="1"/>
  <c r="N6" i="1" s="1"/>
  <c r="L7" i="1"/>
  <c r="N7" i="1" s="1"/>
  <c r="L8" i="1"/>
  <c r="N8" i="1" s="1"/>
  <c r="L9" i="1"/>
  <c r="N9" i="1" s="1"/>
  <c r="J10" i="1"/>
  <c r="L10" i="1"/>
  <c r="N10" i="1" s="1"/>
  <c r="J12" i="1"/>
  <c r="L12" i="1"/>
  <c r="N12" i="1" s="1"/>
  <c r="L24" i="1"/>
  <c r="N24" i="1" s="1"/>
  <c r="J24" i="1"/>
  <c r="L23" i="1"/>
  <c r="N23" i="1" s="1"/>
  <c r="J23" i="1"/>
  <c r="L22" i="1"/>
  <c r="N22" i="1" s="1"/>
  <c r="J22" i="1"/>
  <c r="J21" i="1"/>
  <c r="L20" i="1"/>
  <c r="N20" i="1" s="1"/>
  <c r="J20" i="1"/>
  <c r="L19" i="1"/>
  <c r="N19" i="1" s="1"/>
  <c r="J19" i="1"/>
  <c r="L18" i="1"/>
  <c r="N18" i="1" s="1"/>
  <c r="J18" i="1"/>
  <c r="L17" i="1"/>
  <c r="N17" i="1" s="1"/>
  <c r="J17" i="1"/>
  <c r="L16" i="1"/>
  <c r="N16" i="1" s="1"/>
  <c r="J16" i="1"/>
  <c r="L15" i="1"/>
  <c r="N15" i="1" s="1"/>
  <c r="J15" i="1"/>
  <c r="L14" i="1"/>
  <c r="N14" i="1" s="1"/>
  <c r="J14" i="1"/>
  <c r="P5" i="1" l="1"/>
  <c r="P13" i="1"/>
  <c r="P6" i="1"/>
  <c r="P17" i="1"/>
  <c r="P7" i="1"/>
  <c r="P18" i="1"/>
  <c r="P8" i="1"/>
  <c r="P9" i="1"/>
  <c r="P10" i="1"/>
  <c r="P11" i="1"/>
  <c r="P12" i="1"/>
  <c r="P3" i="1"/>
  <c r="P4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l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l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D2" i="2"/>
  <c r="D3" i="2"/>
  <c r="O1100" i="1"/>
  <c r="O1292" i="1"/>
  <c r="O1372" i="1"/>
  <c r="O1380" i="1"/>
  <c r="O1476" i="1"/>
  <c r="O1484" i="1"/>
  <c r="O1540" i="1"/>
  <c r="O1548" i="1"/>
  <c r="O1604" i="1"/>
  <c r="O1612" i="1"/>
  <c r="O1668" i="1"/>
  <c r="O1676" i="1"/>
  <c r="O1732" i="1"/>
  <c r="O968" i="1"/>
  <c r="O1037" i="1"/>
  <c r="O1117" i="1"/>
  <c r="O1125" i="1"/>
  <c r="O1133" i="1"/>
  <c r="O1141" i="1"/>
  <c r="O1149" i="1"/>
  <c r="O1181" i="1"/>
  <c r="O1189" i="1"/>
  <c r="O1197" i="1"/>
  <c r="O1205" i="1"/>
  <c r="O1213" i="1"/>
  <c r="O1221" i="1"/>
  <c r="O1229" i="1"/>
  <c r="O1237" i="1"/>
  <c r="O1245" i="1"/>
  <c r="O1253" i="1"/>
  <c r="O1261" i="1"/>
  <c r="O1269" i="1"/>
  <c r="O1277" i="1"/>
  <c r="O1285" i="1"/>
  <c r="O1293" i="1"/>
  <c r="O1301" i="1"/>
  <c r="O1309" i="1"/>
  <c r="O1317" i="1"/>
  <c r="O1325" i="1"/>
  <c r="O1333" i="1"/>
  <c r="O1341" i="1"/>
  <c r="O1349" i="1"/>
  <c r="O1357" i="1"/>
  <c r="O1365" i="1"/>
  <c r="O1373" i="1"/>
  <c r="O1381" i="1"/>
  <c r="O1389" i="1"/>
  <c r="O1397" i="1"/>
  <c r="O1405" i="1"/>
  <c r="O1413" i="1"/>
  <c r="O1421" i="1"/>
  <c r="O1429" i="1"/>
  <c r="O1437" i="1"/>
  <c r="O1445" i="1"/>
  <c r="O1453" i="1"/>
  <c r="O1461" i="1"/>
  <c r="O1469" i="1"/>
  <c r="O1477" i="1"/>
  <c r="O1485" i="1"/>
  <c r="O1493" i="1"/>
  <c r="O1501" i="1"/>
  <c r="O1509" i="1"/>
  <c r="O1517" i="1"/>
  <c r="O1525" i="1"/>
  <c r="O1533" i="1"/>
  <c r="O1541" i="1"/>
  <c r="O1549" i="1"/>
  <c r="O1557" i="1"/>
  <c r="O1565" i="1"/>
  <c r="O1573" i="1"/>
  <c r="O1581" i="1"/>
  <c r="O1589" i="1"/>
  <c r="O1597" i="1"/>
  <c r="O1605" i="1"/>
  <c r="O1613" i="1"/>
  <c r="O1621" i="1"/>
  <c r="O1629" i="1"/>
  <c r="O1637" i="1"/>
  <c r="O1645" i="1"/>
  <c r="O1653" i="1"/>
  <c r="O1661" i="1"/>
  <c r="O1669" i="1"/>
  <c r="O1677" i="1"/>
  <c r="O969" i="1"/>
  <c r="O1038" i="1"/>
  <c r="O1071" i="1"/>
  <c r="O1085" i="1"/>
  <c r="O1094" i="1"/>
  <c r="O1102" i="1"/>
  <c r="O1110" i="1"/>
  <c r="O1118" i="1"/>
  <c r="O1126" i="1"/>
  <c r="O1134" i="1"/>
  <c r="O1142" i="1"/>
  <c r="O1150" i="1"/>
  <c r="O1158" i="1"/>
  <c r="O1166" i="1"/>
  <c r="O1174" i="1"/>
  <c r="O1182" i="1"/>
  <c r="O1190" i="1"/>
  <c r="O1198" i="1"/>
  <c r="O1206" i="1"/>
  <c r="O1214" i="1"/>
  <c r="O1222" i="1"/>
  <c r="O1230" i="1"/>
  <c r="O1238" i="1"/>
  <c r="O1246" i="1"/>
  <c r="O1254" i="1"/>
  <c r="O1262" i="1"/>
  <c r="O1270" i="1"/>
  <c r="O1278" i="1"/>
  <c r="O1286" i="1"/>
  <c r="O1294" i="1"/>
  <c r="O1302" i="1"/>
  <c r="O1310" i="1"/>
  <c r="O1318" i="1"/>
  <c r="O1326" i="1"/>
  <c r="O1334" i="1"/>
  <c r="O1342" i="1"/>
  <c r="O1350" i="1"/>
  <c r="O1358" i="1"/>
  <c r="O1366" i="1"/>
  <c r="O1374" i="1"/>
  <c r="O1382" i="1"/>
  <c r="O1390" i="1"/>
  <c r="O1398" i="1"/>
  <c r="O1406" i="1"/>
  <c r="O1414" i="1"/>
  <c r="O1422" i="1"/>
  <c r="O1430" i="1"/>
  <c r="O1438" i="1"/>
  <c r="O1446" i="1"/>
  <c r="O1454" i="1"/>
  <c r="O1462" i="1"/>
  <c r="O1470" i="1"/>
  <c r="O1478" i="1"/>
  <c r="O1486" i="1"/>
  <c r="O1494" i="1"/>
  <c r="O1502" i="1"/>
  <c r="O1510" i="1"/>
  <c r="O1518" i="1"/>
  <c r="O1526" i="1"/>
  <c r="O1534" i="1"/>
  <c r="O1542" i="1"/>
  <c r="O1550" i="1"/>
  <c r="O1558" i="1"/>
  <c r="O1566" i="1"/>
  <c r="O1574" i="1"/>
  <c r="O1582" i="1"/>
  <c r="O1590" i="1"/>
  <c r="O1598" i="1"/>
  <c r="O1606" i="1"/>
  <c r="O1614" i="1"/>
  <c r="O1622" i="1"/>
  <c r="O1630" i="1"/>
  <c r="O1638" i="1"/>
  <c r="O1646" i="1"/>
  <c r="O1654" i="1"/>
  <c r="O1662" i="1"/>
  <c r="O1670" i="1"/>
  <c r="O1678" i="1"/>
  <c r="O1686" i="1"/>
  <c r="O1694" i="1"/>
  <c r="O1702" i="1"/>
  <c r="O1710" i="1"/>
  <c r="O1718" i="1"/>
  <c r="O1726" i="1"/>
  <c r="O989" i="1"/>
  <c r="O1046" i="1"/>
  <c r="O1072" i="1"/>
  <c r="O1086" i="1"/>
  <c r="O1095" i="1"/>
  <c r="O1103" i="1"/>
  <c r="O1111" i="1"/>
  <c r="O1119" i="1"/>
  <c r="O1127" i="1"/>
  <c r="O1135" i="1"/>
  <c r="O1143" i="1"/>
  <c r="O1151" i="1"/>
  <c r="O1159" i="1"/>
  <c r="O1167" i="1"/>
  <c r="O1175" i="1"/>
  <c r="O1183" i="1"/>
  <c r="O1191" i="1"/>
  <c r="O1199" i="1"/>
  <c r="O1207" i="1"/>
  <c r="O1215" i="1"/>
  <c r="O1223" i="1"/>
  <c r="O1231" i="1"/>
  <c r="O1239" i="1"/>
  <c r="O1247" i="1"/>
  <c r="O1255" i="1"/>
  <c r="O1263" i="1"/>
  <c r="O1271" i="1"/>
  <c r="O1279" i="1"/>
  <c r="O1287" i="1"/>
  <c r="O1295" i="1"/>
  <c r="O1303" i="1"/>
  <c r="O1311" i="1"/>
  <c r="O1319" i="1"/>
  <c r="O1327" i="1"/>
  <c r="O1335" i="1"/>
  <c r="O1343" i="1"/>
  <c r="O1351" i="1"/>
  <c r="O1359" i="1"/>
  <c r="O1367" i="1"/>
  <c r="O1375" i="1"/>
  <c r="O1383" i="1"/>
  <c r="O1391" i="1"/>
  <c r="O1399" i="1"/>
  <c r="O1407" i="1"/>
  <c r="O1415" i="1"/>
  <c r="O1423" i="1"/>
  <c r="O1431" i="1"/>
  <c r="O1439" i="1"/>
  <c r="O1447" i="1"/>
  <c r="O1455" i="1"/>
  <c r="O1463" i="1"/>
  <c r="O1471" i="1"/>
  <c r="O1479" i="1"/>
  <c r="O1487" i="1"/>
  <c r="O1495" i="1"/>
  <c r="O1503" i="1"/>
  <c r="O1511" i="1"/>
  <c r="O1519" i="1"/>
  <c r="O1527" i="1"/>
  <c r="O1535" i="1"/>
  <c r="O1543" i="1"/>
  <c r="O1551" i="1"/>
  <c r="O1559" i="1"/>
  <c r="O1567" i="1"/>
  <c r="O1575" i="1"/>
  <c r="O1583" i="1"/>
  <c r="O1591" i="1"/>
  <c r="O1599" i="1"/>
  <c r="O1607" i="1"/>
  <c r="O888" i="1"/>
  <c r="O992" i="1"/>
  <c r="O1047" i="1"/>
  <c r="O1078" i="1"/>
  <c r="O1087" i="1"/>
  <c r="O1096" i="1"/>
  <c r="O1104" i="1"/>
  <c r="O1112" i="1"/>
  <c r="O1120" i="1"/>
  <c r="O1128" i="1"/>
  <c r="O1136" i="1"/>
  <c r="O1144" i="1"/>
  <c r="O1152" i="1"/>
  <c r="O1160" i="1"/>
  <c r="O1168" i="1"/>
  <c r="O1176" i="1"/>
  <c r="O1184" i="1"/>
  <c r="O1192" i="1"/>
  <c r="O1200" i="1"/>
  <c r="O1208" i="1"/>
  <c r="O1216" i="1"/>
  <c r="O1224" i="1"/>
  <c r="O1232" i="1"/>
  <c r="O1240" i="1"/>
  <c r="O1248" i="1"/>
  <c r="O1256" i="1"/>
  <c r="O1264" i="1"/>
  <c r="O1272" i="1"/>
  <c r="O1280" i="1"/>
  <c r="O1288" i="1"/>
  <c r="O1296" i="1"/>
  <c r="O1304" i="1"/>
  <c r="O1312" i="1"/>
  <c r="O1320" i="1"/>
  <c r="O1328" i="1"/>
  <c r="O1336" i="1"/>
  <c r="O1344" i="1"/>
  <c r="O1352" i="1"/>
  <c r="O1360" i="1"/>
  <c r="O1368" i="1"/>
  <c r="O1392" i="1"/>
  <c r="O1456" i="1"/>
  <c r="O1520" i="1"/>
  <c r="O1584" i="1"/>
  <c r="O1631" i="1"/>
  <c r="O1663" i="1"/>
  <c r="O1687" i="1"/>
  <c r="O1703" i="1"/>
  <c r="O1719" i="1"/>
  <c r="O1733" i="1"/>
  <c r="O1741" i="1"/>
  <c r="O1749" i="1"/>
  <c r="O1757" i="1"/>
  <c r="O1765" i="1"/>
  <c r="O1773" i="1"/>
  <c r="O1781" i="1"/>
  <c r="O1789" i="1"/>
  <c r="O1797" i="1"/>
  <c r="O1805" i="1"/>
  <c r="O1813" i="1"/>
  <c r="O1821" i="1"/>
  <c r="O1829" i="1"/>
  <c r="O1837" i="1"/>
  <c r="O1845" i="1"/>
  <c r="O1853" i="1"/>
  <c r="O1861" i="1"/>
  <c r="O1869" i="1"/>
  <c r="O1877" i="1"/>
  <c r="O1885" i="1"/>
  <c r="O1893" i="1"/>
  <c r="O1901" i="1"/>
  <c r="O1909" i="1"/>
  <c r="O1917" i="1"/>
  <c r="O1925" i="1"/>
  <c r="O1933" i="1"/>
  <c r="O1941" i="1"/>
  <c r="O1949" i="1"/>
  <c r="O1957" i="1"/>
  <c r="O1965" i="1"/>
  <c r="O1973" i="1"/>
  <c r="O1981" i="1"/>
  <c r="O1989" i="1"/>
  <c r="O1997" i="1"/>
  <c r="O2005" i="1"/>
  <c r="O2013" i="1"/>
  <c r="O2021" i="1"/>
  <c r="O2029" i="1"/>
  <c r="O2037" i="1"/>
  <c r="O2045" i="1"/>
  <c r="O2053" i="1"/>
  <c r="O2061" i="1"/>
  <c r="O2069" i="1"/>
  <c r="O2077" i="1"/>
  <c r="O2085" i="1"/>
  <c r="O2093" i="1"/>
  <c r="O2101" i="1"/>
  <c r="O2109" i="1"/>
  <c r="O2117" i="1"/>
  <c r="O2125" i="1"/>
  <c r="O2133" i="1"/>
  <c r="O2141" i="1"/>
  <c r="O1400" i="1"/>
  <c r="O1464" i="1"/>
  <c r="O1528" i="1"/>
  <c r="O1592" i="1"/>
  <c r="O1632" i="1"/>
  <c r="O1664" i="1"/>
  <c r="O1688" i="1"/>
  <c r="O1704" i="1"/>
  <c r="O1720" i="1"/>
  <c r="O1734" i="1"/>
  <c r="O1742" i="1"/>
  <c r="O1750" i="1"/>
  <c r="O1758" i="1"/>
  <c r="O1766" i="1"/>
  <c r="O1774" i="1"/>
  <c r="O1782" i="1"/>
  <c r="O1790" i="1"/>
  <c r="O1798" i="1"/>
  <c r="O1806" i="1"/>
  <c r="O1814" i="1"/>
  <c r="O1822" i="1"/>
  <c r="O1830" i="1"/>
  <c r="O1838" i="1"/>
  <c r="O1846" i="1"/>
  <c r="O1854" i="1"/>
  <c r="O1862" i="1"/>
  <c r="O1870" i="1"/>
  <c r="O1878" i="1"/>
  <c r="O1886" i="1"/>
  <c r="O1894" i="1"/>
  <c r="O1902" i="1"/>
  <c r="O1910" i="1"/>
  <c r="O1918" i="1"/>
  <c r="O1926" i="1"/>
  <c r="O1934" i="1"/>
  <c r="O1942" i="1"/>
  <c r="O1950" i="1"/>
  <c r="O1958" i="1"/>
  <c r="O1966" i="1"/>
  <c r="O1974" i="1"/>
  <c r="O1982" i="1"/>
  <c r="O1990" i="1"/>
  <c r="O1998" i="1"/>
  <c r="O2006" i="1"/>
  <c r="O2014" i="1"/>
  <c r="O2022" i="1"/>
  <c r="O2030" i="1"/>
  <c r="O2038" i="1"/>
  <c r="O2046" i="1"/>
  <c r="O2054" i="1"/>
  <c r="O2062" i="1"/>
  <c r="O2070" i="1"/>
  <c r="O2078" i="1"/>
  <c r="O2086" i="1"/>
  <c r="O2094" i="1"/>
  <c r="O2102" i="1"/>
  <c r="O2110" i="1"/>
  <c r="O2118" i="1"/>
  <c r="O2126" i="1"/>
  <c r="O2134" i="1"/>
  <c r="O2142" i="1"/>
  <c r="O2150" i="1"/>
  <c r="O2158" i="1"/>
  <c r="O2166" i="1"/>
  <c r="O2174" i="1"/>
  <c r="O2182" i="1"/>
  <c r="O2190" i="1"/>
  <c r="O2198" i="1"/>
  <c r="O2206" i="1"/>
  <c r="O2214" i="1"/>
  <c r="O2222" i="1"/>
  <c r="O2230" i="1"/>
  <c r="O2238" i="1"/>
  <c r="O2246" i="1"/>
  <c r="O2254" i="1"/>
  <c r="O2262" i="1"/>
  <c r="O2270" i="1"/>
  <c r="O2278" i="1"/>
  <c r="O2286" i="1"/>
  <c r="O2294" i="1"/>
  <c r="O2302" i="1"/>
  <c r="O2310" i="1"/>
  <c r="O2318" i="1"/>
  <c r="O1408" i="1"/>
  <c r="O1472" i="1"/>
  <c r="O1536" i="1"/>
  <c r="O1600" i="1"/>
  <c r="O1639" i="1"/>
  <c r="O1671" i="1"/>
  <c r="O1689" i="1"/>
  <c r="O1705" i="1"/>
  <c r="O1721" i="1"/>
  <c r="O1735" i="1"/>
  <c r="O1743" i="1"/>
  <c r="O1751" i="1"/>
  <c r="O1759" i="1"/>
  <c r="O1767" i="1"/>
  <c r="O1775" i="1"/>
  <c r="O1783" i="1"/>
  <c r="O1791" i="1"/>
  <c r="O1799" i="1"/>
  <c r="O1807" i="1"/>
  <c r="O1815" i="1"/>
  <c r="O1823" i="1"/>
  <c r="O1831" i="1"/>
  <c r="O1839" i="1"/>
  <c r="O1847" i="1"/>
  <c r="O1855" i="1"/>
  <c r="O1863" i="1"/>
  <c r="O1871" i="1"/>
  <c r="O1879" i="1"/>
  <c r="O1887" i="1"/>
  <c r="O1895" i="1"/>
  <c r="O1903" i="1"/>
  <c r="O1911" i="1"/>
  <c r="O1919" i="1"/>
  <c r="O1927" i="1"/>
  <c r="O1935" i="1"/>
  <c r="O1943" i="1"/>
  <c r="O1951" i="1"/>
  <c r="O1959" i="1"/>
  <c r="O1967" i="1"/>
  <c r="O1975" i="1"/>
  <c r="O1983" i="1"/>
  <c r="O1991" i="1"/>
  <c r="O1999" i="1"/>
  <c r="O2007" i="1"/>
  <c r="O2015" i="1"/>
  <c r="O2023" i="1"/>
  <c r="O2031" i="1"/>
  <c r="O2039" i="1"/>
  <c r="O2047" i="1"/>
  <c r="O2055" i="1"/>
  <c r="O2063" i="1"/>
  <c r="O2071" i="1"/>
  <c r="O2079" i="1"/>
  <c r="O2087" i="1"/>
  <c r="O2095" i="1"/>
  <c r="O2103" i="1"/>
  <c r="O2111" i="1"/>
  <c r="O2119" i="1"/>
  <c r="O2127" i="1"/>
  <c r="O2135" i="1"/>
  <c r="O2143" i="1"/>
  <c r="O2151" i="1"/>
  <c r="O2159" i="1"/>
  <c r="O2167" i="1"/>
  <c r="O2175" i="1"/>
  <c r="O2183" i="1"/>
  <c r="O2191" i="1"/>
  <c r="O2199" i="1"/>
  <c r="O2207" i="1"/>
  <c r="O2215" i="1"/>
  <c r="O2223" i="1"/>
  <c r="O2231" i="1"/>
  <c r="O2239" i="1"/>
  <c r="O2247" i="1"/>
  <c r="O2255" i="1"/>
  <c r="O2263" i="1"/>
  <c r="O2271" i="1"/>
  <c r="O2279" i="1"/>
  <c r="O2287" i="1"/>
  <c r="O2295" i="1"/>
  <c r="O2303" i="1"/>
  <c r="O2311" i="1"/>
  <c r="O2319" i="1"/>
  <c r="O2327" i="1"/>
  <c r="O2335" i="1"/>
  <c r="O1416" i="1"/>
  <c r="O1480" i="1"/>
  <c r="O1544" i="1"/>
  <c r="O1608" i="1"/>
  <c r="O1640" i="1"/>
  <c r="O1672" i="1"/>
  <c r="O1693" i="1"/>
  <c r="O1709" i="1"/>
  <c r="O1725" i="1"/>
  <c r="O1736" i="1"/>
  <c r="O1744" i="1"/>
  <c r="O1752" i="1"/>
  <c r="O1760" i="1"/>
  <c r="O1768" i="1"/>
  <c r="O1776" i="1"/>
  <c r="O1784" i="1"/>
  <c r="O1792" i="1"/>
  <c r="O1800" i="1"/>
  <c r="O1808" i="1"/>
  <c r="O1816" i="1"/>
  <c r="O1824" i="1"/>
  <c r="O1832" i="1"/>
  <c r="O1840" i="1"/>
  <c r="O1848" i="1"/>
  <c r="O1856" i="1"/>
  <c r="O1864" i="1"/>
  <c r="O1872" i="1"/>
  <c r="O1880" i="1"/>
  <c r="O1888" i="1"/>
  <c r="O1896" i="1"/>
  <c r="O1904" i="1"/>
  <c r="O1912" i="1"/>
  <c r="O1920" i="1"/>
  <c r="O1928" i="1"/>
  <c r="O1936" i="1"/>
  <c r="O1944" i="1"/>
  <c r="O1952" i="1"/>
  <c r="O1960" i="1"/>
  <c r="O1968" i="1"/>
  <c r="O1976" i="1"/>
  <c r="O1984" i="1"/>
  <c r="O1992" i="1"/>
  <c r="O2000" i="1"/>
  <c r="O2008" i="1"/>
  <c r="O2016" i="1"/>
  <c r="O2024" i="1"/>
  <c r="O2032" i="1"/>
  <c r="O2040" i="1"/>
  <c r="O2048" i="1"/>
  <c r="O2056" i="1"/>
  <c r="O2064" i="1"/>
  <c r="O2072" i="1"/>
  <c r="O2080" i="1"/>
  <c r="O2088" i="1"/>
  <c r="O2096" i="1"/>
  <c r="O2104" i="1"/>
  <c r="O2112" i="1"/>
  <c r="O2120" i="1"/>
  <c r="O2128" i="1"/>
  <c r="O2136" i="1"/>
  <c r="O2144" i="1"/>
  <c r="O2152" i="1"/>
  <c r="O2160" i="1"/>
  <c r="O2168" i="1"/>
  <c r="O2176" i="1"/>
  <c r="O2184" i="1"/>
  <c r="O2192" i="1"/>
  <c r="O2200" i="1"/>
  <c r="O2208" i="1"/>
  <c r="O2216" i="1"/>
  <c r="O2224" i="1"/>
  <c r="O2232" i="1"/>
  <c r="O2240" i="1"/>
  <c r="O2248" i="1"/>
  <c r="O2256" i="1"/>
  <c r="O2264" i="1"/>
  <c r="O2272" i="1"/>
  <c r="O2280" i="1"/>
  <c r="O2288" i="1"/>
  <c r="O2296" i="1"/>
  <c r="O2304" i="1"/>
  <c r="O2312" i="1"/>
  <c r="O2320" i="1"/>
  <c r="O2328" i="1"/>
  <c r="O2336" i="1"/>
  <c r="O1424" i="1"/>
  <c r="O1488" i="1"/>
  <c r="O1552" i="1"/>
  <c r="O1615" i="1"/>
  <c r="O1647" i="1"/>
  <c r="O1679" i="1"/>
  <c r="O1695" i="1"/>
  <c r="O1711" i="1"/>
  <c r="O1727" i="1"/>
  <c r="O1737" i="1"/>
  <c r="O1745" i="1"/>
  <c r="O1753" i="1"/>
  <c r="O1761" i="1"/>
  <c r="O1769" i="1"/>
  <c r="O1777" i="1"/>
  <c r="O1785" i="1"/>
  <c r="O1793" i="1"/>
  <c r="O1801" i="1"/>
  <c r="O1809" i="1"/>
  <c r="O1817" i="1"/>
  <c r="O1825" i="1"/>
  <c r="O1833" i="1"/>
  <c r="O1841" i="1"/>
  <c r="O1849" i="1"/>
  <c r="O1857" i="1"/>
  <c r="O1865" i="1"/>
  <c r="O1873" i="1"/>
  <c r="O1881" i="1"/>
  <c r="O1889" i="1"/>
  <c r="O1897" i="1"/>
  <c r="O1905" i="1"/>
  <c r="O1913" i="1"/>
  <c r="O1921" i="1"/>
  <c r="O1929" i="1"/>
  <c r="O1937" i="1"/>
  <c r="O1945" i="1"/>
  <c r="O1953" i="1"/>
  <c r="O1961" i="1"/>
  <c r="O1969" i="1"/>
  <c r="O1977" i="1"/>
  <c r="O1985" i="1"/>
  <c r="O1993" i="1"/>
  <c r="O2001" i="1"/>
  <c r="O2009" i="1"/>
  <c r="O2017" i="1"/>
  <c r="O2025" i="1"/>
  <c r="O2033" i="1"/>
  <c r="O2041" i="1"/>
  <c r="O2049" i="1"/>
  <c r="O2057" i="1"/>
  <c r="O2065" i="1"/>
  <c r="O2073" i="1"/>
  <c r="O2081" i="1"/>
  <c r="O2089" i="1"/>
  <c r="O2097" i="1"/>
  <c r="O2105" i="1"/>
  <c r="O2113" i="1"/>
  <c r="O2121" i="1"/>
  <c r="O2129" i="1"/>
  <c r="O2137" i="1"/>
  <c r="O2145" i="1"/>
  <c r="O2153" i="1"/>
  <c r="O2161" i="1"/>
  <c r="O2169" i="1"/>
  <c r="O2177" i="1"/>
  <c r="O2185" i="1"/>
  <c r="O2193" i="1"/>
  <c r="O2201" i="1"/>
  <c r="O2209" i="1"/>
  <c r="O2217" i="1"/>
  <c r="O2225" i="1"/>
  <c r="O2233" i="1"/>
  <c r="O2241" i="1"/>
  <c r="O1432" i="1"/>
  <c r="O1496" i="1"/>
  <c r="O1560" i="1"/>
  <c r="O1616" i="1"/>
  <c r="O1648" i="1"/>
  <c r="O1680" i="1"/>
  <c r="O1696" i="1"/>
  <c r="O1712" i="1"/>
  <c r="O1728" i="1"/>
  <c r="O1738" i="1"/>
  <c r="O1746" i="1"/>
  <c r="O1754" i="1"/>
  <c r="O1762" i="1"/>
  <c r="O1770" i="1"/>
  <c r="O1778" i="1"/>
  <c r="O1786" i="1"/>
  <c r="O1794" i="1"/>
  <c r="O1802" i="1"/>
  <c r="O1810" i="1"/>
  <c r="O1818" i="1"/>
  <c r="O1826" i="1"/>
  <c r="O1834" i="1"/>
  <c r="O1842" i="1"/>
  <c r="O1850" i="1"/>
  <c r="O1858" i="1"/>
  <c r="O1866" i="1"/>
  <c r="O1874" i="1"/>
  <c r="O1882" i="1"/>
  <c r="O1890" i="1"/>
  <c r="O1898" i="1"/>
  <c r="O1906" i="1"/>
  <c r="O1914" i="1"/>
  <c r="O1922" i="1"/>
  <c r="O1930" i="1"/>
  <c r="O1938" i="1"/>
  <c r="O1946" i="1"/>
  <c r="O1954" i="1"/>
  <c r="O1962" i="1"/>
  <c r="O1970" i="1"/>
  <c r="O1978" i="1"/>
  <c r="O1986" i="1"/>
  <c r="O1994" i="1"/>
  <c r="O2002" i="1"/>
  <c r="O2010" i="1"/>
  <c r="O2018" i="1"/>
  <c r="O2026" i="1"/>
  <c r="O2034" i="1"/>
  <c r="O2042" i="1"/>
  <c r="O2050" i="1"/>
  <c r="O2058" i="1"/>
  <c r="O2066" i="1"/>
  <c r="O2074" i="1"/>
  <c r="O2082" i="1"/>
  <c r="O2090" i="1"/>
  <c r="O2098" i="1"/>
  <c r="O2106" i="1"/>
  <c r="O2114" i="1"/>
  <c r="O2122" i="1"/>
  <c r="O2130" i="1"/>
  <c r="O2138" i="1"/>
  <c r="O2146" i="1"/>
  <c r="O2154" i="1"/>
  <c r="O2162" i="1"/>
  <c r="O2170" i="1"/>
  <c r="O2178" i="1"/>
  <c r="O2186" i="1"/>
  <c r="O2194" i="1"/>
  <c r="O2202" i="1"/>
  <c r="O2210" i="1"/>
  <c r="O2218" i="1"/>
  <c r="O2226" i="1"/>
  <c r="O2234" i="1"/>
  <c r="O2242" i="1"/>
  <c r="O2250" i="1"/>
  <c r="O2258" i="1"/>
  <c r="O2266" i="1"/>
  <c r="O2274" i="1"/>
  <c r="O2282" i="1"/>
  <c r="O2290" i="1"/>
  <c r="O2298" i="1"/>
  <c r="O2306" i="1"/>
  <c r="O2314" i="1"/>
  <c r="O2322" i="1"/>
  <c r="O2330" i="1"/>
  <c r="O1376" i="1"/>
  <c r="O1440" i="1"/>
  <c r="O1504" i="1"/>
  <c r="O1568" i="1"/>
  <c r="O1623" i="1"/>
  <c r="O1655" i="1"/>
  <c r="O1681" i="1"/>
  <c r="O1697" i="1"/>
  <c r="O1713" i="1"/>
  <c r="O1729" i="1"/>
  <c r="O1739" i="1"/>
  <c r="O1747" i="1"/>
  <c r="O1755" i="1"/>
  <c r="O1763" i="1"/>
  <c r="O1771" i="1"/>
  <c r="O1779" i="1"/>
  <c r="O1787" i="1"/>
  <c r="O1795" i="1"/>
  <c r="O1803" i="1"/>
  <c r="O1811" i="1"/>
  <c r="O1819" i="1"/>
  <c r="O1827" i="1"/>
  <c r="O1835" i="1"/>
  <c r="O1843" i="1"/>
  <c r="O1851" i="1"/>
  <c r="O1859" i="1"/>
  <c r="O1867" i="1"/>
  <c r="O1875" i="1"/>
  <c r="O1883" i="1"/>
  <c r="O1891" i="1"/>
  <c r="O1899" i="1"/>
  <c r="O1907" i="1"/>
  <c r="O1915" i="1"/>
  <c r="O1923" i="1"/>
  <c r="O1931" i="1"/>
  <c r="O1939" i="1"/>
  <c r="O1947" i="1"/>
  <c r="O1955" i="1"/>
  <c r="O1963" i="1"/>
  <c r="O1971" i="1"/>
  <c r="O1979" i="1"/>
  <c r="O1987" i="1"/>
  <c r="O1995" i="1"/>
  <c r="O2003" i="1"/>
  <c r="O2011" i="1"/>
  <c r="O2019" i="1"/>
  <c r="O2027" i="1"/>
  <c r="O2035" i="1"/>
  <c r="O2043" i="1"/>
  <c r="O2051" i="1"/>
  <c r="O2059" i="1"/>
  <c r="O2067" i="1"/>
  <c r="O2075" i="1"/>
  <c r="O2083" i="1"/>
  <c r="O2091" i="1"/>
  <c r="O2099" i="1"/>
  <c r="O2107" i="1"/>
  <c r="O2115" i="1"/>
  <c r="O2123" i="1"/>
  <c r="O2131" i="1"/>
  <c r="O2139" i="1"/>
  <c r="O2147" i="1"/>
  <c r="O2155" i="1"/>
  <c r="O2163" i="1"/>
  <c r="O2171" i="1"/>
  <c r="O2179" i="1"/>
  <c r="O2187" i="1"/>
  <c r="O2195" i="1"/>
  <c r="O2203" i="1"/>
  <c r="O2211" i="1"/>
  <c r="O2219" i="1"/>
  <c r="O2227" i="1"/>
  <c r="O2235" i="1"/>
  <c r="O2243" i="1"/>
  <c r="O2251" i="1"/>
  <c r="O2259" i="1"/>
  <c r="O2267" i="1"/>
  <c r="O2275" i="1"/>
  <c r="O2283" i="1"/>
  <c r="O2291" i="1"/>
  <c r="O2299" i="1"/>
  <c r="O2307" i="1"/>
  <c r="O2315" i="1"/>
  <c r="O1384" i="1"/>
  <c r="O1448" i="1"/>
  <c r="O1512" i="1"/>
  <c r="O1576" i="1"/>
  <c r="O1624" i="1"/>
  <c r="O1656" i="1"/>
  <c r="O1685" i="1"/>
  <c r="O1701" i="1"/>
  <c r="O1717" i="1"/>
  <c r="O1731" i="1"/>
  <c r="O1740" i="1"/>
  <c r="O1748" i="1"/>
  <c r="O1756" i="1"/>
  <c r="O1764" i="1"/>
  <c r="O1772" i="1"/>
  <c r="O1780" i="1"/>
  <c r="O1788" i="1"/>
  <c r="O1796" i="1"/>
  <c r="O1804" i="1"/>
  <c r="O1812" i="1"/>
  <c r="O1820" i="1"/>
  <c r="O1828" i="1"/>
  <c r="O1836" i="1"/>
  <c r="O1844" i="1"/>
  <c r="O1852" i="1"/>
  <c r="O1860" i="1"/>
  <c r="O1868" i="1"/>
  <c r="O1876" i="1"/>
  <c r="O1884" i="1"/>
  <c r="O1892" i="1"/>
  <c r="O1900" i="1"/>
  <c r="O1908" i="1"/>
  <c r="O1916" i="1"/>
  <c r="O1924" i="1"/>
  <c r="O1932" i="1"/>
  <c r="O1940" i="1"/>
  <c r="O1948" i="1"/>
  <c r="O1956" i="1"/>
  <c r="O1964" i="1"/>
  <c r="O1972" i="1"/>
  <c r="O1980" i="1"/>
  <c r="O1988" i="1"/>
  <c r="O1996" i="1"/>
  <c r="O2004" i="1"/>
  <c r="O2012" i="1"/>
  <c r="O2020" i="1"/>
  <c r="O2028" i="1"/>
  <c r="O2036" i="1"/>
  <c r="O2044" i="1"/>
  <c r="O2052" i="1"/>
  <c r="O2060" i="1"/>
  <c r="O2068" i="1"/>
  <c r="O2076" i="1"/>
  <c r="O2084" i="1"/>
  <c r="O2092" i="1"/>
  <c r="O2100" i="1"/>
  <c r="O2108" i="1"/>
  <c r="O2116" i="1"/>
  <c r="O2124" i="1"/>
  <c r="O2132" i="1"/>
  <c r="O2140" i="1"/>
  <c r="O2148" i="1"/>
  <c r="O2156" i="1"/>
  <c r="O2164" i="1"/>
  <c r="O2172" i="1"/>
  <c r="O2180" i="1"/>
  <c r="O2188" i="1"/>
  <c r="O2196" i="1"/>
  <c r="O2204" i="1"/>
  <c r="O2212" i="1"/>
  <c r="O2220" i="1"/>
  <c r="O2228" i="1"/>
  <c r="O2236" i="1"/>
  <c r="O2244" i="1"/>
  <c r="O2252" i="1"/>
  <c r="O2260" i="1"/>
  <c r="O2268" i="1"/>
  <c r="O2276" i="1"/>
  <c r="O2284" i="1"/>
  <c r="O2292" i="1"/>
  <c r="O2300" i="1"/>
  <c r="O2308" i="1"/>
  <c r="O2316" i="1"/>
  <c r="O2324" i="1"/>
  <c r="O2165" i="1"/>
  <c r="O2229" i="1"/>
  <c r="O2269" i="1"/>
  <c r="O2301" i="1"/>
  <c r="O2326" i="1"/>
  <c r="O2339" i="1"/>
  <c r="O2347" i="1"/>
  <c r="O2355" i="1"/>
  <c r="O2363" i="1"/>
  <c r="O2371" i="1"/>
  <c r="O2379" i="1"/>
  <c r="O2387" i="1"/>
  <c r="O2395" i="1"/>
  <c r="O2403" i="1"/>
  <c r="O2411" i="1"/>
  <c r="O2419" i="1"/>
  <c r="O2427" i="1"/>
  <c r="O2435" i="1"/>
  <c r="O2443" i="1"/>
  <c r="O2451" i="1"/>
  <c r="O2459" i="1"/>
  <c r="O2467" i="1"/>
  <c r="O2475" i="1"/>
  <c r="O2483" i="1"/>
  <c r="O2491" i="1"/>
  <c r="O2499" i="1"/>
  <c r="O2507" i="1"/>
  <c r="O2515" i="1"/>
  <c r="O2523" i="1"/>
  <c r="O2531" i="1"/>
  <c r="O2539" i="1"/>
  <c r="O2547" i="1"/>
  <c r="O2555" i="1"/>
  <c r="O2563" i="1"/>
  <c r="O2571" i="1"/>
  <c r="O2579" i="1"/>
  <c r="O2587" i="1"/>
  <c r="O2595" i="1"/>
  <c r="O2603" i="1"/>
  <c r="O2611" i="1"/>
  <c r="O2173" i="1"/>
  <c r="O2237" i="1"/>
  <c r="O2273" i="1"/>
  <c r="O2305" i="1"/>
  <c r="O2329" i="1"/>
  <c r="O2340" i="1"/>
  <c r="O2348" i="1"/>
  <c r="O2356" i="1"/>
  <c r="O2364" i="1"/>
  <c r="O2372" i="1"/>
  <c r="O2380" i="1"/>
  <c r="O2388" i="1"/>
  <c r="O2396" i="1"/>
  <c r="O2404" i="1"/>
  <c r="O2412" i="1"/>
  <c r="O2420" i="1"/>
  <c r="O2428" i="1"/>
  <c r="O2436" i="1"/>
  <c r="O2444" i="1"/>
  <c r="O2452" i="1"/>
  <c r="O2460" i="1"/>
  <c r="O2468" i="1"/>
  <c r="O2476" i="1"/>
  <c r="O2484" i="1"/>
  <c r="O2492" i="1"/>
  <c r="O2500" i="1"/>
  <c r="O2508" i="1"/>
  <c r="O2516" i="1"/>
  <c r="O2524" i="1"/>
  <c r="O2532" i="1"/>
  <c r="O2540" i="1"/>
  <c r="O2548" i="1"/>
  <c r="O2556" i="1"/>
  <c r="O2564" i="1"/>
  <c r="O2572" i="1"/>
  <c r="O2580" i="1"/>
  <c r="O2588" i="1"/>
  <c r="O2596" i="1"/>
  <c r="O2604" i="1"/>
  <c r="O2612" i="1"/>
  <c r="O2620" i="1"/>
  <c r="O2628" i="1"/>
  <c r="O2636" i="1"/>
  <c r="O2644" i="1"/>
  <c r="O2652" i="1"/>
  <c r="O2660" i="1"/>
  <c r="O2668" i="1"/>
  <c r="O2676" i="1"/>
  <c r="O2684" i="1"/>
  <c r="O2692" i="1"/>
  <c r="O2700" i="1"/>
  <c r="O2708" i="1"/>
  <c r="O2716" i="1"/>
  <c r="O2639" i="1"/>
  <c r="O2671" i="1"/>
  <c r="O2695" i="1"/>
  <c r="O2699" i="1"/>
  <c r="O2181" i="1"/>
  <c r="O2245" i="1"/>
  <c r="O2277" i="1"/>
  <c r="O2309" i="1"/>
  <c r="O2331" i="1"/>
  <c r="O2341" i="1"/>
  <c r="O2349" i="1"/>
  <c r="O2357" i="1"/>
  <c r="O2365" i="1"/>
  <c r="O2373" i="1"/>
  <c r="O2381" i="1"/>
  <c r="O2389" i="1"/>
  <c r="O2397" i="1"/>
  <c r="O2405" i="1"/>
  <c r="O2413" i="1"/>
  <c r="O2421" i="1"/>
  <c r="O2429" i="1"/>
  <c r="O2437" i="1"/>
  <c r="O2445" i="1"/>
  <c r="O2453" i="1"/>
  <c r="O2461" i="1"/>
  <c r="O2469" i="1"/>
  <c r="O2477" i="1"/>
  <c r="O2485" i="1"/>
  <c r="O2493" i="1"/>
  <c r="O2501" i="1"/>
  <c r="O2509" i="1"/>
  <c r="O2517" i="1"/>
  <c r="O2525" i="1"/>
  <c r="O2533" i="1"/>
  <c r="O2541" i="1"/>
  <c r="O2549" i="1"/>
  <c r="O2557" i="1"/>
  <c r="O2565" i="1"/>
  <c r="O2573" i="1"/>
  <c r="O2581" i="1"/>
  <c r="O2589" i="1"/>
  <c r="O2597" i="1"/>
  <c r="O2605" i="1"/>
  <c r="O2613" i="1"/>
  <c r="O2621" i="1"/>
  <c r="O2629" i="1"/>
  <c r="O2637" i="1"/>
  <c r="O2645" i="1"/>
  <c r="O2653" i="1"/>
  <c r="O2661" i="1"/>
  <c r="O2669" i="1"/>
  <c r="O2677" i="1"/>
  <c r="O2685" i="1"/>
  <c r="O2693" i="1"/>
  <c r="O2701" i="1"/>
  <c r="O2709" i="1"/>
  <c r="O2717" i="1"/>
  <c r="O2623" i="1"/>
  <c r="O2655" i="1"/>
  <c r="O2679" i="1"/>
  <c r="O2703" i="1"/>
  <c r="O2707" i="1"/>
  <c r="O2189" i="1"/>
  <c r="O2249" i="1"/>
  <c r="O2281" i="1"/>
  <c r="O2313" i="1"/>
  <c r="O2332" i="1"/>
  <c r="O2342" i="1"/>
  <c r="O2350" i="1"/>
  <c r="O2358" i="1"/>
  <c r="O2366" i="1"/>
  <c r="O2374" i="1"/>
  <c r="O2382" i="1"/>
  <c r="O2390" i="1"/>
  <c r="O2398" i="1"/>
  <c r="O2406" i="1"/>
  <c r="O2414" i="1"/>
  <c r="O2422" i="1"/>
  <c r="O2430" i="1"/>
  <c r="O2438" i="1"/>
  <c r="O2446" i="1"/>
  <c r="O2454" i="1"/>
  <c r="O2462" i="1"/>
  <c r="O2470" i="1"/>
  <c r="O2478" i="1"/>
  <c r="O2486" i="1"/>
  <c r="O2494" i="1"/>
  <c r="O2502" i="1"/>
  <c r="O2510" i="1"/>
  <c r="O2518" i="1"/>
  <c r="O2526" i="1"/>
  <c r="O2534" i="1"/>
  <c r="O2542" i="1"/>
  <c r="O2550" i="1"/>
  <c r="O2558" i="1"/>
  <c r="O2566" i="1"/>
  <c r="O2574" i="1"/>
  <c r="O2582" i="1"/>
  <c r="O2590" i="1"/>
  <c r="O2598" i="1"/>
  <c r="O2606" i="1"/>
  <c r="O2614" i="1"/>
  <c r="O2622" i="1"/>
  <c r="O2630" i="1"/>
  <c r="O2638" i="1"/>
  <c r="O2646" i="1"/>
  <c r="O2654" i="1"/>
  <c r="O2662" i="1"/>
  <c r="O2670" i="1"/>
  <c r="O2678" i="1"/>
  <c r="O2686" i="1"/>
  <c r="O2694" i="1"/>
  <c r="O2702" i="1"/>
  <c r="O2710" i="1"/>
  <c r="O2591" i="1"/>
  <c r="O2607" i="1"/>
  <c r="O2631" i="1"/>
  <c r="O2663" i="1"/>
  <c r="O2687" i="1"/>
  <c r="O2711" i="1"/>
  <c r="O2197" i="1"/>
  <c r="O2253" i="1"/>
  <c r="O2285" i="1"/>
  <c r="O2317" i="1"/>
  <c r="O2333" i="1"/>
  <c r="O2343" i="1"/>
  <c r="O2351" i="1"/>
  <c r="O2359" i="1"/>
  <c r="O2367" i="1"/>
  <c r="O2375" i="1"/>
  <c r="O2383" i="1"/>
  <c r="O2391" i="1"/>
  <c r="O2399" i="1"/>
  <c r="O2407" i="1"/>
  <c r="O2415" i="1"/>
  <c r="O2423" i="1"/>
  <c r="O2431" i="1"/>
  <c r="O2439" i="1"/>
  <c r="O2447" i="1"/>
  <c r="O2455" i="1"/>
  <c r="O2463" i="1"/>
  <c r="O2471" i="1"/>
  <c r="O2479" i="1"/>
  <c r="O2487" i="1"/>
  <c r="O2495" i="1"/>
  <c r="O2503" i="1"/>
  <c r="O2511" i="1"/>
  <c r="O2519" i="1"/>
  <c r="O2527" i="1"/>
  <c r="O2535" i="1"/>
  <c r="O2543" i="1"/>
  <c r="O2551" i="1"/>
  <c r="O2559" i="1"/>
  <c r="O2567" i="1"/>
  <c r="O2575" i="1"/>
  <c r="O2583" i="1"/>
  <c r="O2599" i="1"/>
  <c r="O2615" i="1"/>
  <c r="O2647" i="1"/>
  <c r="O2205" i="1"/>
  <c r="O2257" i="1"/>
  <c r="O2289" i="1"/>
  <c r="O2321" i="1"/>
  <c r="O2334" i="1"/>
  <c r="O2344" i="1"/>
  <c r="O2352" i="1"/>
  <c r="O2360" i="1"/>
  <c r="O2368" i="1"/>
  <c r="O2376" i="1"/>
  <c r="O2384" i="1"/>
  <c r="O2392" i="1"/>
  <c r="O2400" i="1"/>
  <c r="O2408" i="1"/>
  <c r="O2416" i="1"/>
  <c r="O2424" i="1"/>
  <c r="O2432" i="1"/>
  <c r="O2440" i="1"/>
  <c r="O2448" i="1"/>
  <c r="O2456" i="1"/>
  <c r="O2464" i="1"/>
  <c r="O2472" i="1"/>
  <c r="O2480" i="1"/>
  <c r="O2488" i="1"/>
  <c r="O2496" i="1"/>
  <c r="O2504" i="1"/>
  <c r="O2512" i="1"/>
  <c r="O2520" i="1"/>
  <c r="O2528" i="1"/>
  <c r="O2536" i="1"/>
  <c r="O2544" i="1"/>
  <c r="O2552" i="1"/>
  <c r="O2560" i="1"/>
  <c r="O2568" i="1"/>
  <c r="O2576" i="1"/>
  <c r="O2584" i="1"/>
  <c r="O2592" i="1"/>
  <c r="O2600" i="1"/>
  <c r="O2608" i="1"/>
  <c r="O2616" i="1"/>
  <c r="O2624" i="1"/>
  <c r="O2632" i="1"/>
  <c r="O2640" i="1"/>
  <c r="O2648" i="1"/>
  <c r="O2656" i="1"/>
  <c r="O2664" i="1"/>
  <c r="O2672" i="1"/>
  <c r="O2680" i="1"/>
  <c r="O2688" i="1"/>
  <c r="O2696" i="1"/>
  <c r="O2704" i="1"/>
  <c r="O2712" i="1"/>
  <c r="O2674" i="1"/>
  <c r="O2698" i="1"/>
  <c r="O2619" i="1"/>
  <c r="O2635" i="1"/>
  <c r="O2667" i="1"/>
  <c r="O2691" i="1"/>
  <c r="O2149" i="1"/>
  <c r="O2213" i="1"/>
  <c r="O2261" i="1"/>
  <c r="O2293" i="1"/>
  <c r="O2323" i="1"/>
  <c r="O2337" i="1"/>
  <c r="O2345" i="1"/>
  <c r="O2353" i="1"/>
  <c r="O2361" i="1"/>
  <c r="O2369" i="1"/>
  <c r="O2377" i="1"/>
  <c r="O2385" i="1"/>
  <c r="O2393" i="1"/>
  <c r="O2401" i="1"/>
  <c r="O2409" i="1"/>
  <c r="O2417" i="1"/>
  <c r="O2425" i="1"/>
  <c r="O2433" i="1"/>
  <c r="O2441" i="1"/>
  <c r="O2449" i="1"/>
  <c r="O2457" i="1"/>
  <c r="O2465" i="1"/>
  <c r="O2473" i="1"/>
  <c r="O2481" i="1"/>
  <c r="O2489" i="1"/>
  <c r="O2497" i="1"/>
  <c r="O2505" i="1"/>
  <c r="O2513" i="1"/>
  <c r="O2521" i="1"/>
  <c r="O2529" i="1"/>
  <c r="O2537" i="1"/>
  <c r="O2545" i="1"/>
  <c r="O2553" i="1"/>
  <c r="O2561" i="1"/>
  <c r="O2569" i="1"/>
  <c r="O2577" i="1"/>
  <c r="O2585" i="1"/>
  <c r="O2593" i="1"/>
  <c r="O2601" i="1"/>
  <c r="O2609" i="1"/>
  <c r="O2617" i="1"/>
  <c r="O2625" i="1"/>
  <c r="O2633" i="1"/>
  <c r="O2641" i="1"/>
  <c r="O2649" i="1"/>
  <c r="O2657" i="1"/>
  <c r="O2665" i="1"/>
  <c r="O2673" i="1"/>
  <c r="O2681" i="1"/>
  <c r="O2689" i="1"/>
  <c r="O2697" i="1"/>
  <c r="O2705" i="1"/>
  <c r="O2713" i="1"/>
  <c r="O2682" i="1"/>
  <c r="O2706" i="1"/>
  <c r="O2627" i="1"/>
  <c r="O2651" i="1"/>
  <c r="O2675" i="1"/>
  <c r="O2715" i="1"/>
  <c r="O2157" i="1"/>
  <c r="O2221" i="1"/>
  <c r="O2265" i="1"/>
  <c r="O2297" i="1"/>
  <c r="O2325" i="1"/>
  <c r="O2338" i="1"/>
  <c r="O2346" i="1"/>
  <c r="O2354" i="1"/>
  <c r="O2362" i="1"/>
  <c r="O2370" i="1"/>
  <c r="O2378" i="1"/>
  <c r="O2386" i="1"/>
  <c r="O2394" i="1"/>
  <c r="O2402" i="1"/>
  <c r="O2410" i="1"/>
  <c r="O2418" i="1"/>
  <c r="O2426" i="1"/>
  <c r="O2434" i="1"/>
  <c r="O2442" i="1"/>
  <c r="O2450" i="1"/>
  <c r="O2458" i="1"/>
  <c r="O2466" i="1"/>
  <c r="O2474" i="1"/>
  <c r="O2482" i="1"/>
  <c r="O2490" i="1"/>
  <c r="O2498" i="1"/>
  <c r="O2506" i="1"/>
  <c r="O2514" i="1"/>
  <c r="O2522" i="1"/>
  <c r="O2530" i="1"/>
  <c r="O2538" i="1"/>
  <c r="O2546" i="1"/>
  <c r="O2554" i="1"/>
  <c r="O2562" i="1"/>
  <c r="O2570" i="1"/>
  <c r="O2578" i="1"/>
  <c r="O2586" i="1"/>
  <c r="O2594" i="1"/>
  <c r="O2602" i="1"/>
  <c r="O2610" i="1"/>
  <c r="O2618" i="1"/>
  <c r="O2626" i="1"/>
  <c r="O2634" i="1"/>
  <c r="O2642" i="1"/>
  <c r="O2650" i="1"/>
  <c r="O2658" i="1"/>
  <c r="O2666" i="1"/>
  <c r="O2690" i="1"/>
  <c r="O2714" i="1"/>
  <c r="O2643" i="1"/>
  <c r="O2659" i="1"/>
  <c r="O2683" i="1"/>
  <c r="O880" i="1"/>
  <c r="O1008" i="1"/>
  <c r="O1052" i="1"/>
  <c r="O905" i="1"/>
  <c r="O1001" i="1"/>
  <c r="O1050" i="1"/>
  <c r="O897" i="1"/>
  <c r="O1030" i="1"/>
  <c r="O1056" i="1"/>
  <c r="O921" i="1"/>
  <c r="O425" i="1"/>
  <c r="O489" i="1"/>
  <c r="O553" i="1"/>
  <c r="O617" i="1"/>
  <c r="O681" i="1"/>
  <c r="O745" i="1"/>
  <c r="O809" i="1"/>
  <c r="O873" i="1"/>
  <c r="O418" i="1"/>
  <c r="O482" i="1"/>
  <c r="O546" i="1"/>
  <c r="O610" i="1"/>
  <c r="O674" i="1"/>
  <c r="O738" i="1"/>
  <c r="O802" i="1"/>
  <c r="O866" i="1"/>
  <c r="O930" i="1"/>
  <c r="O994" i="1"/>
  <c r="O395" i="1"/>
  <c r="O459" i="1"/>
  <c r="O523" i="1"/>
  <c r="O587" i="1"/>
  <c r="O651" i="1"/>
  <c r="O715" i="1"/>
  <c r="O779" i="1"/>
  <c r="O843" i="1"/>
  <c r="O907" i="1"/>
  <c r="O971" i="1"/>
  <c r="O1035" i="1"/>
  <c r="O428" i="1"/>
  <c r="O492" i="1"/>
  <c r="O556" i="1"/>
  <c r="O620" i="1"/>
  <c r="O684" i="1"/>
  <c r="O748" i="1"/>
  <c r="O812" i="1"/>
  <c r="O876" i="1"/>
  <c r="O940" i="1"/>
  <c r="O1004" i="1"/>
  <c r="O388" i="1"/>
  <c r="O453" i="1"/>
  <c r="O517" i="1"/>
  <c r="O581" i="1"/>
  <c r="O645" i="1"/>
  <c r="O709" i="1"/>
  <c r="O773" i="1"/>
  <c r="O837" i="1"/>
  <c r="O901" i="1"/>
  <c r="O389" i="1"/>
  <c r="O454" i="1"/>
  <c r="O518" i="1"/>
  <c r="O582" i="1"/>
  <c r="O646" i="1"/>
  <c r="O710" i="1"/>
  <c r="O774" i="1"/>
  <c r="O838" i="1"/>
  <c r="O902" i="1"/>
  <c r="O1077" i="1"/>
  <c r="O985" i="1"/>
  <c r="O1043" i="1"/>
  <c r="O1075" i="1"/>
  <c r="O981" i="1"/>
  <c r="O1041" i="1"/>
  <c r="O1089" i="1"/>
  <c r="O1016" i="1"/>
  <c r="O1048" i="1"/>
  <c r="O219" i="1"/>
  <c r="O433" i="1"/>
  <c r="O497" i="1"/>
  <c r="O561" i="1"/>
  <c r="O625" i="1"/>
  <c r="O689" i="1"/>
  <c r="O753" i="1"/>
  <c r="O817" i="1"/>
  <c r="O881" i="1"/>
  <c r="O426" i="1"/>
  <c r="O490" i="1"/>
  <c r="O554" i="1"/>
  <c r="O618" i="1"/>
  <c r="O682" i="1"/>
  <c r="O746" i="1"/>
  <c r="O810" i="1"/>
  <c r="O874" i="1"/>
  <c r="O938" i="1"/>
  <c r="O1002" i="1"/>
  <c r="O403" i="1"/>
  <c r="O467" i="1"/>
  <c r="O531" i="1"/>
  <c r="O595" i="1"/>
  <c r="O659" i="1"/>
  <c r="O723" i="1"/>
  <c r="O787" i="1"/>
  <c r="O851" i="1"/>
  <c r="O915" i="1"/>
  <c r="O979" i="1"/>
  <c r="O315" i="1"/>
  <c r="O436" i="1"/>
  <c r="O500" i="1"/>
  <c r="O564" i="1"/>
  <c r="O628" i="1"/>
  <c r="O692" i="1"/>
  <c r="O756" i="1"/>
  <c r="O820" i="1"/>
  <c r="O884" i="1"/>
  <c r="O948" i="1"/>
  <c r="O1012" i="1"/>
  <c r="O397" i="1"/>
  <c r="O461" i="1"/>
  <c r="O525" i="1"/>
  <c r="O589" i="1"/>
  <c r="O653" i="1"/>
  <c r="O717" i="1"/>
  <c r="O781" i="1"/>
  <c r="O845" i="1"/>
  <c r="O909" i="1"/>
  <c r="O398" i="1"/>
  <c r="O462" i="1"/>
  <c r="O526" i="1"/>
  <c r="O590" i="1"/>
  <c r="O654" i="1"/>
  <c r="O718" i="1"/>
  <c r="O782" i="1"/>
  <c r="O846" i="1"/>
  <c r="O910" i="1"/>
  <c r="O974" i="1"/>
  <c r="O390" i="1"/>
  <c r="O455" i="1"/>
  <c r="O519" i="1"/>
  <c r="O583" i="1"/>
  <c r="O647" i="1"/>
  <c r="O711" i="1"/>
  <c r="O775" i="1"/>
  <c r="O839" i="1"/>
  <c r="O903" i="1"/>
  <c r="O967" i="1"/>
  <c r="O392" i="1"/>
  <c r="O456" i="1"/>
  <c r="O520" i="1"/>
  <c r="O584" i="1"/>
  <c r="O648" i="1"/>
  <c r="O712" i="1"/>
  <c r="O776" i="1"/>
  <c r="O1069" i="1"/>
  <c r="O965" i="1"/>
  <c r="O1033" i="1"/>
  <c r="O1067" i="1"/>
  <c r="O960" i="1"/>
  <c r="O1031" i="1"/>
  <c r="O1081" i="1"/>
  <c r="O997" i="1"/>
  <c r="O1039" i="1"/>
  <c r="O366" i="1"/>
  <c r="O441" i="1"/>
  <c r="O505" i="1"/>
  <c r="O569" i="1"/>
  <c r="O633" i="1"/>
  <c r="O697" i="1"/>
  <c r="O761" i="1"/>
  <c r="O825" i="1"/>
  <c r="O211" i="1"/>
  <c r="O434" i="1"/>
  <c r="O498" i="1"/>
  <c r="O562" i="1"/>
  <c r="O626" i="1"/>
  <c r="O690" i="1"/>
  <c r="O754" i="1"/>
  <c r="O818" i="1"/>
  <c r="O882" i="1"/>
  <c r="O946" i="1"/>
  <c r="O1010" i="1"/>
  <c r="O411" i="1"/>
  <c r="O475" i="1"/>
  <c r="O539" i="1"/>
  <c r="O603" i="1"/>
  <c r="O667" i="1"/>
  <c r="O731" i="1"/>
  <c r="O795" i="1"/>
  <c r="O859" i="1"/>
  <c r="O923" i="1"/>
  <c r="O987" i="1"/>
  <c r="O372" i="1"/>
  <c r="O444" i="1"/>
  <c r="O508" i="1"/>
  <c r="O572" i="1"/>
  <c r="O636" i="1"/>
  <c r="O700" i="1"/>
  <c r="O764" i="1"/>
  <c r="O828" i="1"/>
  <c r="O892" i="1"/>
  <c r="O956" i="1"/>
  <c r="O1020" i="1"/>
  <c r="O405" i="1"/>
  <c r="O469" i="1"/>
  <c r="O533" i="1"/>
  <c r="O597" i="1"/>
  <c r="O661" i="1"/>
  <c r="O725" i="1"/>
  <c r="O789" i="1"/>
  <c r="O853" i="1"/>
  <c r="O917" i="1"/>
  <c r="O406" i="1"/>
  <c r="O470" i="1"/>
  <c r="O534" i="1"/>
  <c r="O598" i="1"/>
  <c r="O662" i="1"/>
  <c r="O726" i="1"/>
  <c r="O790" i="1"/>
  <c r="O854" i="1"/>
  <c r="O918" i="1"/>
  <c r="O982" i="1"/>
  <c r="O399" i="1"/>
  <c r="O463" i="1"/>
  <c r="O527" i="1"/>
  <c r="O591" i="1"/>
  <c r="O655" i="1"/>
  <c r="O719" i="1"/>
  <c r="O783" i="1"/>
  <c r="O847" i="1"/>
  <c r="O911" i="1"/>
  <c r="O975" i="1"/>
  <c r="O400" i="1"/>
  <c r="O464" i="1"/>
  <c r="O528" i="1"/>
  <c r="O592" i="1"/>
  <c r="O656" i="1"/>
  <c r="O720" i="1"/>
  <c r="O1061" i="1"/>
  <c r="O944" i="1"/>
  <c r="O1022" i="1"/>
  <c r="O1059" i="1"/>
  <c r="O936" i="1"/>
  <c r="O1017" i="1"/>
  <c r="O1073" i="1"/>
  <c r="O976" i="1"/>
  <c r="O1029" i="1"/>
  <c r="O381" i="1"/>
  <c r="O449" i="1"/>
  <c r="O513" i="1"/>
  <c r="O577" i="1"/>
  <c r="O641" i="1"/>
  <c r="O705" i="1"/>
  <c r="O769" i="1"/>
  <c r="O833" i="1"/>
  <c r="O368" i="1"/>
  <c r="O442" i="1"/>
  <c r="O506" i="1"/>
  <c r="O570" i="1"/>
  <c r="O634" i="1"/>
  <c r="O698" i="1"/>
  <c r="O762" i="1"/>
  <c r="O826" i="1"/>
  <c r="O890" i="1"/>
  <c r="O954" i="1"/>
  <c r="O1018" i="1"/>
  <c r="O419" i="1"/>
  <c r="O483" i="1"/>
  <c r="O547" i="1"/>
  <c r="O611" i="1"/>
  <c r="O675" i="1"/>
  <c r="O739" i="1"/>
  <c r="O803" i="1"/>
  <c r="O867" i="1"/>
  <c r="O931" i="1"/>
  <c r="O995" i="1"/>
  <c r="O387" i="1"/>
  <c r="O452" i="1"/>
  <c r="O516" i="1"/>
  <c r="O580" i="1"/>
  <c r="O644" i="1"/>
  <c r="O708" i="1"/>
  <c r="O772" i="1"/>
  <c r="O836" i="1"/>
  <c r="O900" i="1"/>
  <c r="O964" i="1"/>
  <c r="O1028" i="1"/>
  <c r="O413" i="1"/>
  <c r="O477" i="1"/>
  <c r="O541" i="1"/>
  <c r="O605" i="1"/>
  <c r="O669" i="1"/>
  <c r="O733" i="1"/>
  <c r="O797" i="1"/>
  <c r="O861" i="1"/>
  <c r="O925" i="1"/>
  <c r="O414" i="1"/>
  <c r="O478" i="1"/>
  <c r="O542" i="1"/>
  <c r="O606" i="1"/>
  <c r="O670" i="1"/>
  <c r="O734" i="1"/>
  <c r="O798" i="1"/>
  <c r="O862" i="1"/>
  <c r="O926" i="1"/>
  <c r="O990" i="1"/>
  <c r="O407" i="1"/>
  <c r="O471" i="1"/>
  <c r="O535" i="1"/>
  <c r="O599" i="1"/>
  <c r="O663" i="1"/>
  <c r="O727" i="1"/>
  <c r="O791" i="1"/>
  <c r="O855" i="1"/>
  <c r="O919" i="1"/>
  <c r="O983" i="1"/>
  <c r="O408" i="1"/>
  <c r="O472" i="1"/>
  <c r="O536" i="1"/>
  <c r="O600" i="1"/>
  <c r="O664" i="1"/>
  <c r="O728" i="1"/>
  <c r="O792" i="1"/>
  <c r="O856" i="1"/>
  <c r="O1053" i="1"/>
  <c r="O912" i="1"/>
  <c r="O1005" i="1"/>
  <c r="O1051" i="1"/>
  <c r="O904" i="1"/>
  <c r="O1000" i="1"/>
  <c r="O1065" i="1"/>
  <c r="O953" i="1"/>
  <c r="O1015" i="1"/>
  <c r="O393" i="1"/>
  <c r="O457" i="1"/>
  <c r="O521" i="1"/>
  <c r="O585" i="1"/>
  <c r="O649" i="1"/>
  <c r="O713" i="1"/>
  <c r="O777" i="1"/>
  <c r="O841" i="1"/>
  <c r="O382" i="1"/>
  <c r="O450" i="1"/>
  <c r="O514" i="1"/>
  <c r="O578" i="1"/>
  <c r="O642" i="1"/>
  <c r="O706" i="1"/>
  <c r="O770" i="1"/>
  <c r="O834" i="1"/>
  <c r="O898" i="1"/>
  <c r="O962" i="1"/>
  <c r="O1026" i="1"/>
  <c r="O427" i="1"/>
  <c r="O491" i="1"/>
  <c r="O555" i="1"/>
  <c r="O619" i="1"/>
  <c r="O683" i="1"/>
  <c r="O747" i="1"/>
  <c r="O811" i="1"/>
  <c r="O875" i="1"/>
  <c r="O939" i="1"/>
  <c r="O1003" i="1"/>
  <c r="O396" i="1"/>
  <c r="O460" i="1"/>
  <c r="O524" i="1"/>
  <c r="O588" i="1"/>
  <c r="O652" i="1"/>
  <c r="O716" i="1"/>
  <c r="O780" i="1"/>
  <c r="O844" i="1"/>
  <c r="O908" i="1"/>
  <c r="O972" i="1"/>
  <c r="O1036" i="1"/>
  <c r="O421" i="1"/>
  <c r="O485" i="1"/>
  <c r="O549" i="1"/>
  <c r="O613" i="1"/>
  <c r="O677" i="1"/>
  <c r="O741" i="1"/>
  <c r="O805" i="1"/>
  <c r="O869" i="1"/>
  <c r="O933" i="1"/>
  <c r="O422" i="1"/>
  <c r="O486" i="1"/>
  <c r="O550" i="1"/>
  <c r="O614" i="1"/>
  <c r="O678" i="1"/>
  <c r="O742" i="1"/>
  <c r="O806" i="1"/>
  <c r="O870" i="1"/>
  <c r="O934" i="1"/>
  <c r="O998" i="1"/>
  <c r="O415" i="1"/>
  <c r="O479" i="1"/>
  <c r="O543" i="1"/>
  <c r="O607" i="1"/>
  <c r="O671" i="1"/>
  <c r="O735" i="1"/>
  <c r="O799" i="1"/>
  <c r="O863" i="1"/>
  <c r="O927" i="1"/>
  <c r="O991" i="1"/>
  <c r="O1045" i="1"/>
  <c r="O1076" i="1"/>
  <c r="O984" i="1"/>
  <c r="O1042" i="1"/>
  <c r="O1074" i="1"/>
  <c r="O977" i="1"/>
  <c r="O1057" i="1"/>
  <c r="O928" i="1"/>
  <c r="O993" i="1"/>
  <c r="O401" i="1"/>
  <c r="O465" i="1"/>
  <c r="O529" i="1"/>
  <c r="O593" i="1"/>
  <c r="O657" i="1"/>
  <c r="O721" i="1"/>
  <c r="O785" i="1"/>
  <c r="O849" i="1"/>
  <c r="O394" i="1"/>
  <c r="O458" i="1"/>
  <c r="O522" i="1"/>
  <c r="O586" i="1"/>
  <c r="O650" i="1"/>
  <c r="O714" i="1"/>
  <c r="O778" i="1"/>
  <c r="O842" i="1"/>
  <c r="O906" i="1"/>
  <c r="O970" i="1"/>
  <c r="O275" i="1"/>
  <c r="O435" i="1"/>
  <c r="O499" i="1"/>
  <c r="O563" i="1"/>
  <c r="O627" i="1"/>
  <c r="O691" i="1"/>
  <c r="O755" i="1"/>
  <c r="O819" i="1"/>
  <c r="O883" i="1"/>
  <c r="O947" i="1"/>
  <c r="O1011" i="1"/>
  <c r="O404" i="1"/>
  <c r="O468" i="1"/>
  <c r="O532" i="1"/>
  <c r="O596" i="1"/>
  <c r="O660" i="1"/>
  <c r="O724" i="1"/>
  <c r="O788" i="1"/>
  <c r="O852" i="1"/>
  <c r="O916" i="1"/>
  <c r="O980" i="1"/>
  <c r="O1044" i="1"/>
  <c r="O429" i="1"/>
  <c r="O493" i="1"/>
  <c r="O557" i="1"/>
  <c r="O621" i="1"/>
  <c r="O685" i="1"/>
  <c r="O749" i="1"/>
  <c r="O813" i="1"/>
  <c r="O877" i="1"/>
  <c r="O941" i="1"/>
  <c r="O430" i="1"/>
  <c r="O494" i="1"/>
  <c r="O558" i="1"/>
  <c r="O622" i="1"/>
  <c r="O686" i="1"/>
  <c r="O750" i="1"/>
  <c r="O814" i="1"/>
  <c r="O878" i="1"/>
  <c r="O942" i="1"/>
  <c r="O1006" i="1"/>
  <c r="O423" i="1"/>
  <c r="O487" i="1"/>
  <c r="O551" i="1"/>
  <c r="O615" i="1"/>
  <c r="O679" i="1"/>
  <c r="O743" i="1"/>
  <c r="O807" i="1"/>
  <c r="O871" i="1"/>
  <c r="O935" i="1"/>
  <c r="O999" i="1"/>
  <c r="O424" i="1"/>
  <c r="O488" i="1"/>
  <c r="O552" i="1"/>
  <c r="O616" i="1"/>
  <c r="O680" i="1"/>
  <c r="O744" i="1"/>
  <c r="O808" i="1"/>
  <c r="O1034" i="1"/>
  <c r="O1068" i="1"/>
  <c r="O961" i="1"/>
  <c r="O1032" i="1"/>
  <c r="O1066" i="1"/>
  <c r="O957" i="1"/>
  <c r="O1049" i="1"/>
  <c r="O896" i="1"/>
  <c r="O973" i="1"/>
  <c r="O409" i="1"/>
  <c r="O473" i="1"/>
  <c r="O537" i="1"/>
  <c r="O601" i="1"/>
  <c r="O665" i="1"/>
  <c r="O729" i="1"/>
  <c r="O793" i="1"/>
  <c r="O857" i="1"/>
  <c r="O402" i="1"/>
  <c r="O466" i="1"/>
  <c r="O530" i="1"/>
  <c r="O594" i="1"/>
  <c r="O658" i="1"/>
  <c r="O722" i="1"/>
  <c r="O786" i="1"/>
  <c r="O850" i="1"/>
  <c r="O914" i="1"/>
  <c r="O978" i="1"/>
  <c r="O371" i="1"/>
  <c r="O443" i="1"/>
  <c r="O507" i="1"/>
  <c r="O571" i="1"/>
  <c r="O635" i="1"/>
  <c r="O699" i="1"/>
  <c r="O763" i="1"/>
  <c r="O827" i="1"/>
  <c r="O891" i="1"/>
  <c r="O955" i="1"/>
  <c r="O1019" i="1"/>
  <c r="O412" i="1"/>
  <c r="O476" i="1"/>
  <c r="O540" i="1"/>
  <c r="O604" i="1"/>
  <c r="O668" i="1"/>
  <c r="O732" i="1"/>
  <c r="O796" i="1"/>
  <c r="O860" i="1"/>
  <c r="O924" i="1"/>
  <c r="O988" i="1"/>
  <c r="O340" i="1"/>
  <c r="O437" i="1"/>
  <c r="O501" i="1"/>
  <c r="O565" i="1"/>
  <c r="O629" i="1"/>
  <c r="O693" i="1"/>
  <c r="O757" i="1"/>
  <c r="O821" i="1"/>
  <c r="O885" i="1"/>
  <c r="O347" i="1"/>
  <c r="O438" i="1"/>
  <c r="O502" i="1"/>
  <c r="O566" i="1"/>
  <c r="O630" i="1"/>
  <c r="O694" i="1"/>
  <c r="O758" i="1"/>
  <c r="O822" i="1"/>
  <c r="O886" i="1"/>
  <c r="O950" i="1"/>
  <c r="O1014" i="1"/>
  <c r="O431" i="1"/>
  <c r="O495" i="1"/>
  <c r="O559" i="1"/>
  <c r="O623" i="1"/>
  <c r="O687" i="1"/>
  <c r="O751" i="1"/>
  <c r="O815" i="1"/>
  <c r="O879" i="1"/>
  <c r="O943" i="1"/>
  <c r="O1007" i="1"/>
  <c r="O432" i="1"/>
  <c r="O496" i="1"/>
  <c r="O560" i="1"/>
  <c r="O624" i="1"/>
  <c r="O688" i="1"/>
  <c r="O752" i="1"/>
  <c r="O816" i="1"/>
  <c r="O1023" i="1"/>
  <c r="O1060" i="1"/>
  <c r="O937" i="1"/>
  <c r="O1021" i="1"/>
  <c r="O1058" i="1"/>
  <c r="O929" i="1"/>
  <c r="O1040" i="1"/>
  <c r="O1064" i="1"/>
  <c r="O952" i="1"/>
  <c r="O417" i="1"/>
  <c r="O481" i="1"/>
  <c r="O545" i="1"/>
  <c r="O609" i="1"/>
  <c r="O673" i="1"/>
  <c r="O737" i="1"/>
  <c r="O801" i="1"/>
  <c r="O865" i="1"/>
  <c r="O410" i="1"/>
  <c r="O474" i="1"/>
  <c r="O538" i="1"/>
  <c r="O602" i="1"/>
  <c r="O666" i="1"/>
  <c r="O730" i="1"/>
  <c r="O794" i="1"/>
  <c r="O858" i="1"/>
  <c r="O922" i="1"/>
  <c r="O986" i="1"/>
  <c r="O384" i="1"/>
  <c r="O451" i="1"/>
  <c r="O515" i="1"/>
  <c r="O579" i="1"/>
  <c r="O643" i="1"/>
  <c r="O707" i="1"/>
  <c r="O771" i="1"/>
  <c r="O835" i="1"/>
  <c r="O899" i="1"/>
  <c r="O963" i="1"/>
  <c r="O1027" i="1"/>
  <c r="O420" i="1"/>
  <c r="O484" i="1"/>
  <c r="O548" i="1"/>
  <c r="O612" i="1"/>
  <c r="O676" i="1"/>
  <c r="O740" i="1"/>
  <c r="O804" i="1"/>
  <c r="O868" i="1"/>
  <c r="O932" i="1"/>
  <c r="O996" i="1"/>
  <c r="O374" i="1"/>
  <c r="O445" i="1"/>
  <c r="O509" i="1"/>
  <c r="O573" i="1"/>
  <c r="O637" i="1"/>
  <c r="O701" i="1"/>
  <c r="O765" i="1"/>
  <c r="O829" i="1"/>
  <c r="O893" i="1"/>
  <c r="O376" i="1"/>
  <c r="O446" i="1"/>
  <c r="O510" i="1"/>
  <c r="O574" i="1"/>
  <c r="O638" i="1"/>
  <c r="O702" i="1"/>
  <c r="O766" i="1"/>
  <c r="O830" i="1"/>
  <c r="O894" i="1"/>
  <c r="O958" i="1"/>
  <c r="O363" i="1"/>
  <c r="O439" i="1"/>
  <c r="O503" i="1"/>
  <c r="O966" i="1"/>
  <c r="O695" i="1"/>
  <c r="O951" i="1"/>
  <c r="O504" i="1"/>
  <c r="O672" i="1"/>
  <c r="O824" i="1"/>
  <c r="O300" i="1"/>
  <c r="O292" i="1"/>
  <c r="O283" i="1"/>
  <c r="O100" i="1"/>
  <c r="O164" i="1"/>
  <c r="O228" i="1"/>
  <c r="O117" i="1"/>
  <c r="O181" i="1"/>
  <c r="O245" i="1"/>
  <c r="O309" i="1"/>
  <c r="O373" i="1"/>
  <c r="O110" i="1"/>
  <c r="O174" i="1"/>
  <c r="O238" i="1"/>
  <c r="O302" i="1"/>
  <c r="O119" i="1"/>
  <c r="O183" i="1"/>
  <c r="O247" i="1"/>
  <c r="O311" i="1"/>
  <c r="O375" i="1"/>
  <c r="O96" i="1"/>
  <c r="O160" i="1"/>
  <c r="O224" i="1"/>
  <c r="O288" i="1"/>
  <c r="O121" i="1"/>
  <c r="O185" i="1"/>
  <c r="O249" i="1"/>
  <c r="O313" i="1"/>
  <c r="O377" i="1"/>
  <c r="O106" i="1"/>
  <c r="O170" i="1"/>
  <c r="O234" i="1"/>
  <c r="O298" i="1"/>
  <c r="O362" i="1"/>
  <c r="O91" i="1"/>
  <c r="O155" i="1"/>
  <c r="O203" i="1"/>
  <c r="O187" i="1"/>
  <c r="O161" i="1"/>
  <c r="O379" i="1"/>
  <c r="O703" i="1"/>
  <c r="O959" i="1"/>
  <c r="O512" i="1"/>
  <c r="O696" i="1"/>
  <c r="O832" i="1"/>
  <c r="O251" i="1"/>
  <c r="O235" i="1"/>
  <c r="O108" i="1"/>
  <c r="O172" i="1"/>
  <c r="O236" i="1"/>
  <c r="O125" i="1"/>
  <c r="O189" i="1"/>
  <c r="O253" i="1"/>
  <c r="O317" i="1"/>
  <c r="O118" i="1"/>
  <c r="O182" i="1"/>
  <c r="O246" i="1"/>
  <c r="O310" i="1"/>
  <c r="O127" i="1"/>
  <c r="O191" i="1"/>
  <c r="O255" i="1"/>
  <c r="O319" i="1"/>
  <c r="O383" i="1"/>
  <c r="O104" i="1"/>
  <c r="O168" i="1"/>
  <c r="O232" i="1"/>
  <c r="O296" i="1"/>
  <c r="O129" i="1"/>
  <c r="O193" i="1"/>
  <c r="O257" i="1"/>
  <c r="O321" i="1"/>
  <c r="O385" i="1"/>
  <c r="O114" i="1"/>
  <c r="O178" i="1"/>
  <c r="O242" i="1"/>
  <c r="O306" i="1"/>
  <c r="O370" i="1"/>
  <c r="O99" i="1"/>
  <c r="O163" i="1"/>
  <c r="O339" i="1"/>
  <c r="O386" i="1"/>
  <c r="O200" i="1"/>
  <c r="O289" i="1"/>
  <c r="O274" i="1"/>
  <c r="O447" i="1"/>
  <c r="O759" i="1"/>
  <c r="O364" i="1"/>
  <c r="O544" i="1"/>
  <c r="O704" i="1"/>
  <c r="O840" i="1"/>
  <c r="O356" i="1"/>
  <c r="O352" i="1"/>
  <c r="O116" i="1"/>
  <c r="O180" i="1"/>
  <c r="O244" i="1"/>
  <c r="O133" i="1"/>
  <c r="O197" i="1"/>
  <c r="O261" i="1"/>
  <c r="O325" i="1"/>
  <c r="O126" i="1"/>
  <c r="O190" i="1"/>
  <c r="O254" i="1"/>
  <c r="O318" i="1"/>
  <c r="O71" i="1"/>
  <c r="O135" i="1"/>
  <c r="O199" i="1"/>
  <c r="O263" i="1"/>
  <c r="O327" i="1"/>
  <c r="O391" i="1"/>
  <c r="O112" i="1"/>
  <c r="O176" i="1"/>
  <c r="O240" i="1"/>
  <c r="O304" i="1"/>
  <c r="O73" i="1"/>
  <c r="O137" i="1"/>
  <c r="O201" i="1"/>
  <c r="O265" i="1"/>
  <c r="O329" i="1"/>
  <c r="O122" i="1"/>
  <c r="O186" i="1"/>
  <c r="O250" i="1"/>
  <c r="O314" i="1"/>
  <c r="O378" i="1"/>
  <c r="O107" i="1"/>
  <c r="O171" i="1"/>
  <c r="O307" i="1"/>
  <c r="O115" i="1"/>
  <c r="O136" i="1"/>
  <c r="O225" i="1"/>
  <c r="O210" i="1"/>
  <c r="O511" i="1"/>
  <c r="O767" i="1"/>
  <c r="O380" i="1"/>
  <c r="O568" i="1"/>
  <c r="O736" i="1"/>
  <c r="O848" i="1"/>
  <c r="O331" i="1"/>
  <c r="O323" i="1"/>
  <c r="O124" i="1"/>
  <c r="O188" i="1"/>
  <c r="O252" i="1"/>
  <c r="O77" i="1"/>
  <c r="O141" i="1"/>
  <c r="O205" i="1"/>
  <c r="O269" i="1"/>
  <c r="O333" i="1"/>
  <c r="O70" i="1"/>
  <c r="O134" i="1"/>
  <c r="O198" i="1"/>
  <c r="O262" i="1"/>
  <c r="O326" i="1"/>
  <c r="O143" i="1"/>
  <c r="O207" i="1"/>
  <c r="O271" i="1"/>
  <c r="O335" i="1"/>
  <c r="O120" i="1"/>
  <c r="O184" i="1"/>
  <c r="O248" i="1"/>
  <c r="O312" i="1"/>
  <c r="O145" i="1"/>
  <c r="O209" i="1"/>
  <c r="O273" i="1"/>
  <c r="O337" i="1"/>
  <c r="O130" i="1"/>
  <c r="O194" i="1"/>
  <c r="O258" i="1"/>
  <c r="O322" i="1"/>
  <c r="O179" i="1"/>
  <c r="O259" i="1"/>
  <c r="O328" i="1"/>
  <c r="O146" i="1"/>
  <c r="O195" i="1"/>
  <c r="O567" i="1"/>
  <c r="O823" i="1"/>
  <c r="O416" i="1"/>
  <c r="O576" i="1"/>
  <c r="O760" i="1"/>
  <c r="O864" i="1"/>
  <c r="O299" i="1"/>
  <c r="O291" i="1"/>
  <c r="O132" i="1"/>
  <c r="O196" i="1"/>
  <c r="O260" i="1"/>
  <c r="O85" i="1"/>
  <c r="O149" i="1"/>
  <c r="O213" i="1"/>
  <c r="O277" i="1"/>
  <c r="O341" i="1"/>
  <c r="O78" i="1"/>
  <c r="O142" i="1"/>
  <c r="O206" i="1"/>
  <c r="O270" i="1"/>
  <c r="O334" i="1"/>
  <c r="O87" i="1"/>
  <c r="O151" i="1"/>
  <c r="O215" i="1"/>
  <c r="O279" i="1"/>
  <c r="O343" i="1"/>
  <c r="O128" i="1"/>
  <c r="O192" i="1"/>
  <c r="O256" i="1"/>
  <c r="O320" i="1"/>
  <c r="O89" i="1"/>
  <c r="O153" i="1"/>
  <c r="O217" i="1"/>
  <c r="O281" i="1"/>
  <c r="O345" i="1"/>
  <c r="O74" i="1"/>
  <c r="O138" i="1"/>
  <c r="O202" i="1"/>
  <c r="O266" i="1"/>
  <c r="O330" i="1"/>
  <c r="O123" i="1"/>
  <c r="O97" i="1"/>
  <c r="O131" i="1"/>
  <c r="O575" i="1"/>
  <c r="O831" i="1"/>
  <c r="O440" i="1"/>
  <c r="O608" i="1"/>
  <c r="O768" i="1"/>
  <c r="O872" i="1"/>
  <c r="O243" i="1"/>
  <c r="O227" i="1"/>
  <c r="O140" i="1"/>
  <c r="O204" i="1"/>
  <c r="O268" i="1"/>
  <c r="O93" i="1"/>
  <c r="O157" i="1"/>
  <c r="O221" i="1"/>
  <c r="O285" i="1"/>
  <c r="O349" i="1"/>
  <c r="O86" i="1"/>
  <c r="O150" i="1"/>
  <c r="O214" i="1"/>
  <c r="O278" i="1"/>
  <c r="O342" i="1"/>
  <c r="O95" i="1"/>
  <c r="O159" i="1"/>
  <c r="O223" i="1"/>
  <c r="O287" i="1"/>
  <c r="O351" i="1"/>
  <c r="O72" i="1"/>
  <c r="O264" i="1"/>
  <c r="O353" i="1"/>
  <c r="O338" i="1"/>
  <c r="O631" i="1"/>
  <c r="O887" i="1"/>
  <c r="O448" i="1"/>
  <c r="O632" i="1"/>
  <c r="O784" i="1"/>
  <c r="O360" i="1"/>
  <c r="O355" i="1"/>
  <c r="O348" i="1"/>
  <c r="O84" i="1"/>
  <c r="O148" i="1"/>
  <c r="O212" i="1"/>
  <c r="O276" i="1"/>
  <c r="O101" i="1"/>
  <c r="O165" i="1"/>
  <c r="O229" i="1"/>
  <c r="O293" i="1"/>
  <c r="O357" i="1"/>
  <c r="O94" i="1"/>
  <c r="O158" i="1"/>
  <c r="O222" i="1"/>
  <c r="O286" i="1"/>
  <c r="O350" i="1"/>
  <c r="O103" i="1"/>
  <c r="O167" i="1"/>
  <c r="O231" i="1"/>
  <c r="O295" i="1"/>
  <c r="O359" i="1"/>
  <c r="O144" i="1"/>
  <c r="O208" i="1"/>
  <c r="O272" i="1"/>
  <c r="O336" i="1"/>
  <c r="O105" i="1"/>
  <c r="O169" i="1"/>
  <c r="O233" i="1"/>
  <c r="O297" i="1"/>
  <c r="O361" i="1"/>
  <c r="O90" i="1"/>
  <c r="O154" i="1"/>
  <c r="O218" i="1"/>
  <c r="O282" i="1"/>
  <c r="O346" i="1"/>
  <c r="O139" i="1"/>
  <c r="O308" i="1"/>
  <c r="O267" i="1"/>
  <c r="O639" i="1"/>
  <c r="O895" i="1"/>
  <c r="O480" i="1"/>
  <c r="O640" i="1"/>
  <c r="O800" i="1"/>
  <c r="O332" i="1"/>
  <c r="O324" i="1"/>
  <c r="O316" i="1"/>
  <c r="O92" i="1"/>
  <c r="O156" i="1"/>
  <c r="O220" i="1"/>
  <c r="O284" i="1"/>
  <c r="O109" i="1"/>
  <c r="O173" i="1"/>
  <c r="O237" i="1"/>
  <c r="O301" i="1"/>
  <c r="O365" i="1"/>
  <c r="O102" i="1"/>
  <c r="O166" i="1"/>
  <c r="O230" i="1"/>
  <c r="O294" i="1"/>
  <c r="O358" i="1"/>
  <c r="O111" i="1"/>
  <c r="O175" i="1"/>
  <c r="O239" i="1"/>
  <c r="O303" i="1"/>
  <c r="O367" i="1"/>
  <c r="O88" i="1"/>
  <c r="O152" i="1"/>
  <c r="O216" i="1"/>
  <c r="O280" i="1"/>
  <c r="O344" i="1"/>
  <c r="O113" i="1"/>
  <c r="O177" i="1"/>
  <c r="O241" i="1"/>
  <c r="O305" i="1"/>
  <c r="O369" i="1"/>
  <c r="O98" i="1"/>
  <c r="O162" i="1"/>
  <c r="O226" i="1"/>
  <c r="O290" i="1"/>
  <c r="O354" i="1"/>
  <c r="O83" i="1"/>
  <c r="O147" i="1"/>
  <c r="I35" i="1"/>
  <c r="J35" i="1" s="1"/>
  <c r="O15" i="1"/>
  <c r="O14" i="1"/>
  <c r="O16" i="1"/>
  <c r="O1284" i="1" l="1"/>
  <c r="O1092" i="1"/>
  <c r="O1173" i="1"/>
  <c r="O1109" i="1"/>
  <c r="O1724" i="1"/>
  <c r="O1660" i="1"/>
  <c r="O1596" i="1"/>
  <c r="O1532" i="1"/>
  <c r="O1452" i="1"/>
  <c r="O1364" i="1"/>
  <c r="O1244" i="1"/>
  <c r="O1699" i="1"/>
  <c r="O1165" i="1"/>
  <c r="O1101" i="1"/>
  <c r="O1716" i="1"/>
  <c r="O1652" i="1"/>
  <c r="O1588" i="1"/>
  <c r="O1524" i="1"/>
  <c r="O1444" i="1"/>
  <c r="O1356" i="1"/>
  <c r="O1236" i="1"/>
  <c r="O1667" i="1"/>
  <c r="O1157" i="1"/>
  <c r="O1093" i="1"/>
  <c r="O1708" i="1"/>
  <c r="O1644" i="1"/>
  <c r="O1580" i="1"/>
  <c r="O1516" i="1"/>
  <c r="O1436" i="1"/>
  <c r="O1348" i="1"/>
  <c r="O1228" i="1"/>
  <c r="O1587" i="1"/>
  <c r="O1084" i="1"/>
  <c r="O1700" i="1"/>
  <c r="O1636" i="1"/>
  <c r="O1572" i="1"/>
  <c r="O1508" i="1"/>
  <c r="O1428" i="1"/>
  <c r="O1316" i="1"/>
  <c r="O1220" i="1"/>
  <c r="O1443" i="1"/>
  <c r="O1070" i="1"/>
  <c r="O1692" i="1"/>
  <c r="O1628" i="1"/>
  <c r="O1564" i="1"/>
  <c r="O1500" i="1"/>
  <c r="O1420" i="1"/>
  <c r="O1308" i="1"/>
  <c r="O1164" i="1"/>
  <c r="O1684" i="1"/>
  <c r="O1620" i="1"/>
  <c r="O1556" i="1"/>
  <c r="O1492" i="1"/>
  <c r="O1412" i="1"/>
  <c r="O1300" i="1"/>
  <c r="O1156" i="1"/>
  <c r="O1579" i="1"/>
  <c r="O1387" i="1"/>
  <c r="O1468" i="1"/>
  <c r="O1404" i="1"/>
  <c r="O1340" i="1"/>
  <c r="O1276" i="1"/>
  <c r="O1212" i="1"/>
  <c r="O1148" i="1"/>
  <c r="O1083" i="1"/>
  <c r="O1659" i="1"/>
  <c r="O1571" i="1"/>
  <c r="O1323" i="1"/>
  <c r="O1460" i="1"/>
  <c r="O1396" i="1"/>
  <c r="O1332" i="1"/>
  <c r="O1268" i="1"/>
  <c r="O1204" i="1"/>
  <c r="O1140" i="1"/>
  <c r="O1025" i="1"/>
  <c r="O1651" i="1"/>
  <c r="O1523" i="1"/>
  <c r="O1227" i="1"/>
  <c r="O1388" i="1"/>
  <c r="O1324" i="1"/>
  <c r="O1260" i="1"/>
  <c r="O1196" i="1"/>
  <c r="O1132" i="1"/>
  <c r="O949" i="1"/>
  <c r="O1643" i="1"/>
  <c r="O1515" i="1"/>
  <c r="O1099" i="1"/>
  <c r="O1252" i="1"/>
  <c r="O1188" i="1"/>
  <c r="O1124" i="1"/>
  <c r="O1723" i="1"/>
  <c r="O1635" i="1"/>
  <c r="O1507" i="1"/>
  <c r="O1586" i="1"/>
  <c r="O1180" i="1"/>
  <c r="O1116" i="1"/>
  <c r="O1715" i="1"/>
  <c r="O1603" i="1"/>
  <c r="O1459" i="1"/>
  <c r="O1172" i="1"/>
  <c r="O1108" i="1"/>
  <c r="O1707" i="1"/>
  <c r="O1595" i="1"/>
  <c r="O1451" i="1"/>
  <c r="O1379" i="1"/>
  <c r="O1315" i="1"/>
  <c r="O1219" i="1"/>
  <c r="O1091" i="1"/>
  <c r="O1578" i="1"/>
  <c r="O1691" i="1"/>
  <c r="O1627" i="1"/>
  <c r="O1563" i="1"/>
  <c r="O1499" i="1"/>
  <c r="O1435" i="1"/>
  <c r="O1371" i="1"/>
  <c r="O1307" i="1"/>
  <c r="O1179" i="1"/>
  <c r="O1730" i="1"/>
  <c r="O1514" i="1"/>
  <c r="O1063" i="1"/>
  <c r="O1683" i="1"/>
  <c r="O1619" i="1"/>
  <c r="O1555" i="1"/>
  <c r="O1491" i="1"/>
  <c r="O1427" i="1"/>
  <c r="O1363" i="1"/>
  <c r="O1299" i="1"/>
  <c r="O1171" i="1"/>
  <c r="O1722" i="1"/>
  <c r="O1506" i="1"/>
  <c r="O1675" i="1"/>
  <c r="O1611" i="1"/>
  <c r="O1547" i="1"/>
  <c r="O1483" i="1"/>
  <c r="O1419" i="1"/>
  <c r="O1355" i="1"/>
  <c r="O1291" i="1"/>
  <c r="O1163" i="1"/>
  <c r="O1714" i="1"/>
  <c r="O1426" i="1"/>
  <c r="O1539" i="1"/>
  <c r="O1475" i="1"/>
  <c r="O1411" i="1"/>
  <c r="O1347" i="1"/>
  <c r="O1283" i="1"/>
  <c r="O1155" i="1"/>
  <c r="O1706" i="1"/>
  <c r="O1250" i="1"/>
  <c r="O1531" i="1"/>
  <c r="O1467" i="1"/>
  <c r="O1403" i="1"/>
  <c r="O1339" i="1"/>
  <c r="O1243" i="1"/>
  <c r="O1115" i="1"/>
  <c r="O1650" i="1"/>
  <c r="O1395" i="1"/>
  <c r="O1331" i="1"/>
  <c r="O1235" i="1"/>
  <c r="O1107" i="1"/>
  <c r="O1642" i="1"/>
  <c r="O1394" i="1"/>
  <c r="O1186" i="1"/>
  <c r="O1275" i="1"/>
  <c r="O1211" i="1"/>
  <c r="O1147" i="1"/>
  <c r="O1082" i="1"/>
  <c r="O1698" i="1"/>
  <c r="O1634" i="1"/>
  <c r="O1570" i="1"/>
  <c r="O1498" i="1"/>
  <c r="O1386" i="1"/>
  <c r="O1122" i="1"/>
  <c r="O1267" i="1"/>
  <c r="O1203" i="1"/>
  <c r="O1139" i="1"/>
  <c r="O1062" i="1"/>
  <c r="O1690" i="1"/>
  <c r="O1626" i="1"/>
  <c r="O1562" i="1"/>
  <c r="O1490" i="1"/>
  <c r="O1378" i="1"/>
  <c r="O920" i="1"/>
  <c r="O1259" i="1"/>
  <c r="O1195" i="1"/>
  <c r="O1131" i="1"/>
  <c r="O1024" i="1"/>
  <c r="O1682" i="1"/>
  <c r="O1618" i="1"/>
  <c r="O1554" i="1"/>
  <c r="O1466" i="1"/>
  <c r="O1362" i="1"/>
  <c r="O1585" i="1"/>
  <c r="O1251" i="1"/>
  <c r="O1187" i="1"/>
  <c r="O1123" i="1"/>
  <c r="O945" i="1"/>
  <c r="O1674" i="1"/>
  <c r="O1610" i="1"/>
  <c r="O1546" i="1"/>
  <c r="O1458" i="1"/>
  <c r="O1330" i="1"/>
  <c r="O1377" i="1"/>
  <c r="O1666" i="1"/>
  <c r="O1602" i="1"/>
  <c r="O1530" i="1"/>
  <c r="O1450" i="1"/>
  <c r="O1314" i="1"/>
  <c r="O1658" i="1"/>
  <c r="O1594" i="1"/>
  <c r="O1522" i="1"/>
  <c r="O1442" i="1"/>
  <c r="O1298" i="1"/>
  <c r="O1434" i="1"/>
  <c r="O1370" i="1"/>
  <c r="O1306" i="1"/>
  <c r="O1242" i="1"/>
  <c r="O1178" i="1"/>
  <c r="O1114" i="1"/>
  <c r="O1665" i="1"/>
  <c r="O1569" i="1"/>
  <c r="O1313" i="1"/>
  <c r="O1234" i="1"/>
  <c r="O1170" i="1"/>
  <c r="O1106" i="1"/>
  <c r="O1657" i="1"/>
  <c r="O1561" i="1"/>
  <c r="O1249" i="1"/>
  <c r="O1482" i="1"/>
  <c r="O1418" i="1"/>
  <c r="O1354" i="1"/>
  <c r="O1290" i="1"/>
  <c r="O1226" i="1"/>
  <c r="O1162" i="1"/>
  <c r="O1098" i="1"/>
  <c r="O1649" i="1"/>
  <c r="O1537" i="1"/>
  <c r="O1185" i="1"/>
  <c r="O1538" i="1"/>
  <c r="O1474" i="1"/>
  <c r="O1410" i="1"/>
  <c r="O1346" i="1"/>
  <c r="O1282" i="1"/>
  <c r="O1218" i="1"/>
  <c r="O1154" i="1"/>
  <c r="O1090" i="1"/>
  <c r="O1633" i="1"/>
  <c r="O1529" i="1"/>
  <c r="O1121" i="1"/>
  <c r="O1402" i="1"/>
  <c r="O1338" i="1"/>
  <c r="O1274" i="1"/>
  <c r="O1210" i="1"/>
  <c r="O1146" i="1"/>
  <c r="O1080" i="1"/>
  <c r="O1625" i="1"/>
  <c r="O1521" i="1"/>
  <c r="O913" i="1"/>
  <c r="O1266" i="1"/>
  <c r="O1202" i="1"/>
  <c r="O1138" i="1"/>
  <c r="O1055" i="1"/>
  <c r="O1601" i="1"/>
  <c r="O1505" i="1"/>
  <c r="O1322" i="1"/>
  <c r="O1258" i="1"/>
  <c r="O1194" i="1"/>
  <c r="O1130" i="1"/>
  <c r="O1013" i="1"/>
  <c r="O1593" i="1"/>
  <c r="O1441" i="1"/>
  <c r="O1497" i="1"/>
  <c r="O1433" i="1"/>
  <c r="O1369" i="1"/>
  <c r="O1305" i="1"/>
  <c r="O1241" i="1"/>
  <c r="O1177" i="1"/>
  <c r="O1113" i="1"/>
  <c r="O889" i="1"/>
  <c r="O1617" i="1"/>
  <c r="O1553" i="1"/>
  <c r="O1489" i="1"/>
  <c r="O1425" i="1"/>
  <c r="O1361" i="1"/>
  <c r="O1297" i="1"/>
  <c r="O1233" i="1"/>
  <c r="O1169" i="1"/>
  <c r="O1105" i="1"/>
  <c r="O1673" i="1"/>
  <c r="O1609" i="1"/>
  <c r="O1545" i="1"/>
  <c r="O1481" i="1"/>
  <c r="O1417" i="1"/>
  <c r="O1353" i="1"/>
  <c r="O1289" i="1"/>
  <c r="O1225" i="1"/>
  <c r="O1161" i="1"/>
  <c r="O1097" i="1"/>
  <c r="O1473" i="1"/>
  <c r="O1409" i="1"/>
  <c r="O1345" i="1"/>
  <c r="O1281" i="1"/>
  <c r="O1217" i="1"/>
  <c r="O1153" i="1"/>
  <c r="O1088" i="1"/>
  <c r="O1465" i="1"/>
  <c r="O1401" i="1"/>
  <c r="O1337" i="1"/>
  <c r="O1273" i="1"/>
  <c r="O1209" i="1"/>
  <c r="O1145" i="1"/>
  <c r="O1079" i="1"/>
  <c r="O1457" i="1"/>
  <c r="O1393" i="1"/>
  <c r="O1329" i="1"/>
  <c r="O1265" i="1"/>
  <c r="O1201" i="1"/>
  <c r="O1137" i="1"/>
  <c r="O1054" i="1"/>
  <c r="I69" i="1"/>
  <c r="O1641" i="1"/>
  <c r="O1577" i="1"/>
  <c r="O1513" i="1"/>
  <c r="O1449" i="1"/>
  <c r="O1385" i="1"/>
  <c r="O1321" i="1"/>
  <c r="O1257" i="1"/>
  <c r="O1193" i="1"/>
  <c r="O1129" i="1"/>
  <c r="O1009" i="1"/>
  <c r="I76" i="1"/>
  <c r="D4" i="2"/>
  <c r="I29" i="1"/>
  <c r="L29" i="1" s="1"/>
  <c r="N29" i="1" s="1"/>
  <c r="I13" i="1"/>
  <c r="O2" i="1"/>
  <c r="L35" i="1"/>
  <c r="N35" i="1" s="1"/>
  <c r="J76" i="1" l="1"/>
  <c r="L76" i="1"/>
  <c r="N76" i="1" s="1"/>
  <c r="J69" i="1"/>
  <c r="L69" i="1"/>
  <c r="N69" i="1" s="1"/>
  <c r="E25" i="2"/>
  <c r="G23" i="2"/>
  <c r="D22" i="2"/>
  <c r="F20" i="2"/>
  <c r="H18" i="2"/>
  <c r="E17" i="2"/>
  <c r="G15" i="2"/>
  <c r="D14" i="2"/>
  <c r="F12" i="2"/>
  <c r="H10" i="2"/>
  <c r="E9" i="2"/>
  <c r="G26" i="2"/>
  <c r="D25" i="2"/>
  <c r="F23" i="2"/>
  <c r="H21" i="2"/>
  <c r="E20" i="2"/>
  <c r="G18" i="2"/>
  <c r="D17" i="2"/>
  <c r="F15" i="2"/>
  <c r="H13" i="2"/>
  <c r="G10" i="2"/>
  <c r="D9" i="2"/>
  <c r="F26" i="2"/>
  <c r="H24" i="2"/>
  <c r="E23" i="2"/>
  <c r="G21" i="2"/>
  <c r="D20" i="2"/>
  <c r="F18" i="2"/>
  <c r="H16" i="2"/>
  <c r="E15" i="2"/>
  <c r="G13" i="2"/>
  <c r="D12" i="2"/>
  <c r="F10" i="2"/>
  <c r="H11" i="2"/>
  <c r="D10" i="2"/>
  <c r="E14" i="2"/>
  <c r="G24" i="2"/>
  <c r="D23" i="2"/>
  <c r="F21" i="2"/>
  <c r="H19" i="2"/>
  <c r="E18" i="2"/>
  <c r="G16" i="2"/>
  <c r="D15" i="2"/>
  <c r="F13" i="2"/>
  <c r="E10" i="2"/>
  <c r="F17" i="2"/>
  <c r="F9" i="2"/>
  <c r="D26" i="2"/>
  <c r="F24" i="2"/>
  <c r="H22" i="2"/>
  <c r="E21" i="2"/>
  <c r="G19" i="2"/>
  <c r="D18" i="2"/>
  <c r="F16" i="2"/>
  <c r="H14" i="2"/>
  <c r="E13" i="2"/>
  <c r="G11" i="2"/>
  <c r="G12" i="2"/>
  <c r="H25" i="2"/>
  <c r="E24" i="2"/>
  <c r="G22" i="2"/>
  <c r="D21" i="2"/>
  <c r="F19" i="2"/>
  <c r="H17" i="2"/>
  <c r="E16" i="2"/>
  <c r="G14" i="2"/>
  <c r="D13" i="2"/>
  <c r="F11" i="2"/>
  <c r="H9" i="2"/>
  <c r="H23" i="2"/>
  <c r="E22" i="2"/>
  <c r="D19" i="2"/>
  <c r="D11" i="2"/>
  <c r="G25" i="2"/>
  <c r="D24" i="2"/>
  <c r="F22" i="2"/>
  <c r="H20" i="2"/>
  <c r="E19" i="2"/>
  <c r="G17" i="2"/>
  <c r="D16" i="2"/>
  <c r="F14" i="2"/>
  <c r="E11" i="2"/>
  <c r="G9" i="2"/>
  <c r="F25" i="2"/>
  <c r="G20" i="2"/>
  <c r="H15" i="2"/>
  <c r="H8" i="2"/>
  <c r="F8" i="2"/>
  <c r="G8" i="2"/>
  <c r="D8" i="2"/>
  <c r="E8" i="2"/>
  <c r="E2" i="2"/>
  <c r="C2" i="2"/>
  <c r="B3" i="2"/>
  <c r="B2" i="2"/>
  <c r="E51" i="4"/>
  <c r="E3" i="2"/>
  <c r="J13" i="1"/>
  <c r="F2" i="2"/>
  <c r="L13" i="1"/>
  <c r="N13" i="1" s="1"/>
  <c r="H26" i="2" s="1"/>
  <c r="J29" i="1"/>
  <c r="E72" i="4"/>
  <c r="E86" i="4" l="1"/>
  <c r="I15" i="2"/>
  <c r="I20" i="2"/>
  <c r="I19" i="2"/>
  <c r="I17" i="2"/>
  <c r="I10" i="2"/>
  <c r="E4" i="2"/>
  <c r="I24" i="2"/>
  <c r="H12" i="2"/>
  <c r="E26" i="2"/>
  <c r="E12" i="2"/>
  <c r="I13" i="2"/>
  <c r="I23" i="2"/>
  <c r="P49" i="1"/>
  <c r="P50" i="1"/>
  <c r="P58" i="1"/>
  <c r="P66" i="1"/>
  <c r="P74" i="1"/>
  <c r="P82" i="1"/>
  <c r="P90" i="1"/>
  <c r="P98" i="1"/>
  <c r="P106" i="1"/>
  <c r="P114" i="1"/>
  <c r="P122" i="1"/>
  <c r="P130" i="1"/>
  <c r="P138" i="1"/>
  <c r="P146" i="1"/>
  <c r="P154" i="1"/>
  <c r="P162" i="1"/>
  <c r="P170" i="1"/>
  <c r="P178" i="1"/>
  <c r="P186" i="1"/>
  <c r="P194" i="1"/>
  <c r="P202" i="1"/>
  <c r="P210" i="1"/>
  <c r="P218" i="1"/>
  <c r="P226" i="1"/>
  <c r="P234" i="1"/>
  <c r="P242" i="1"/>
  <c r="P250" i="1"/>
  <c r="P258" i="1"/>
  <c r="P266" i="1"/>
  <c r="P274" i="1"/>
  <c r="P282" i="1"/>
  <c r="P290" i="1"/>
  <c r="P298" i="1"/>
  <c r="P306" i="1"/>
  <c r="P314" i="1"/>
  <c r="P322" i="1"/>
  <c r="P330" i="1"/>
  <c r="P338" i="1"/>
  <c r="P346" i="1"/>
  <c r="P354" i="1"/>
  <c r="P362" i="1"/>
  <c r="P370" i="1"/>
  <c r="P378" i="1"/>
  <c r="P386" i="1"/>
  <c r="P394" i="1"/>
  <c r="P402" i="1"/>
  <c r="P410" i="1"/>
  <c r="P418" i="1"/>
  <c r="P426" i="1"/>
  <c r="P434" i="1"/>
  <c r="P442" i="1"/>
  <c r="P450" i="1"/>
  <c r="P458" i="1"/>
  <c r="P466" i="1"/>
  <c r="P474" i="1"/>
  <c r="P482" i="1"/>
  <c r="P490" i="1"/>
  <c r="P498" i="1"/>
  <c r="P506" i="1"/>
  <c r="P514" i="1"/>
  <c r="P522" i="1"/>
  <c r="P530" i="1"/>
  <c r="P538" i="1"/>
  <c r="P546" i="1"/>
  <c r="P554" i="1"/>
  <c r="P562" i="1"/>
  <c r="P570" i="1"/>
  <c r="P578" i="1"/>
  <c r="P586" i="1"/>
  <c r="P594" i="1"/>
  <c r="P602" i="1"/>
  <c r="P610" i="1"/>
  <c r="P618" i="1"/>
  <c r="P626" i="1"/>
  <c r="P634" i="1"/>
  <c r="P642" i="1"/>
  <c r="P650" i="1"/>
  <c r="P658" i="1"/>
  <c r="P666" i="1"/>
  <c r="P674" i="1"/>
  <c r="P682" i="1"/>
  <c r="P690" i="1"/>
  <c r="P698" i="1"/>
  <c r="P706" i="1"/>
  <c r="P714" i="1"/>
  <c r="P722" i="1"/>
  <c r="P51" i="1"/>
  <c r="P59" i="1"/>
  <c r="O59" i="1" s="1"/>
  <c r="P67" i="1"/>
  <c r="P75" i="1"/>
  <c r="P83" i="1"/>
  <c r="P91" i="1"/>
  <c r="P99" i="1"/>
  <c r="P107" i="1"/>
  <c r="P115" i="1"/>
  <c r="P123" i="1"/>
  <c r="P131" i="1"/>
  <c r="P139" i="1"/>
  <c r="P147" i="1"/>
  <c r="P155" i="1"/>
  <c r="P163" i="1"/>
  <c r="P171" i="1"/>
  <c r="P179" i="1"/>
  <c r="P187" i="1"/>
  <c r="P195" i="1"/>
  <c r="P203" i="1"/>
  <c r="P211" i="1"/>
  <c r="P219" i="1"/>
  <c r="P227" i="1"/>
  <c r="P235" i="1"/>
  <c r="P243" i="1"/>
  <c r="P251" i="1"/>
  <c r="P259" i="1"/>
  <c r="P267" i="1"/>
  <c r="P275" i="1"/>
  <c r="P283" i="1"/>
  <c r="P291" i="1"/>
  <c r="P299" i="1"/>
  <c r="P307" i="1"/>
  <c r="P315" i="1"/>
  <c r="P323" i="1"/>
  <c r="P331" i="1"/>
  <c r="P339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7" i="1"/>
  <c r="P555" i="1"/>
  <c r="P563" i="1"/>
  <c r="P571" i="1"/>
  <c r="P579" i="1"/>
  <c r="P587" i="1"/>
  <c r="P595" i="1"/>
  <c r="P603" i="1"/>
  <c r="P611" i="1"/>
  <c r="P619" i="1"/>
  <c r="P627" i="1"/>
  <c r="P635" i="1"/>
  <c r="P643" i="1"/>
  <c r="P651" i="1"/>
  <c r="P659" i="1"/>
  <c r="P667" i="1"/>
  <c r="P675" i="1"/>
  <c r="P683" i="1"/>
  <c r="P691" i="1"/>
  <c r="P699" i="1"/>
  <c r="P707" i="1"/>
  <c r="P715" i="1"/>
  <c r="P723" i="1"/>
  <c r="P52" i="1"/>
  <c r="P60" i="1"/>
  <c r="O68" i="1" s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40" i="1"/>
  <c r="P348" i="1"/>
  <c r="P356" i="1"/>
  <c r="P364" i="1"/>
  <c r="P372" i="1"/>
  <c r="P380" i="1"/>
  <c r="P388" i="1"/>
  <c r="P396" i="1"/>
  <c r="P404" i="1"/>
  <c r="P412" i="1"/>
  <c r="P420" i="1"/>
  <c r="P428" i="1"/>
  <c r="P436" i="1"/>
  <c r="P444" i="1"/>
  <c r="P452" i="1"/>
  <c r="P460" i="1"/>
  <c r="P468" i="1"/>
  <c r="P476" i="1"/>
  <c r="P484" i="1"/>
  <c r="P492" i="1"/>
  <c r="P500" i="1"/>
  <c r="P508" i="1"/>
  <c r="P516" i="1"/>
  <c r="P524" i="1"/>
  <c r="P532" i="1"/>
  <c r="P540" i="1"/>
  <c r="P548" i="1"/>
  <c r="P556" i="1"/>
  <c r="P564" i="1"/>
  <c r="P572" i="1"/>
  <c r="P580" i="1"/>
  <c r="P588" i="1"/>
  <c r="P596" i="1"/>
  <c r="P604" i="1"/>
  <c r="P612" i="1"/>
  <c r="P620" i="1"/>
  <c r="P628" i="1"/>
  <c r="P636" i="1"/>
  <c r="P644" i="1"/>
  <c r="P652" i="1"/>
  <c r="P660" i="1"/>
  <c r="P668" i="1"/>
  <c r="P676" i="1"/>
  <c r="P684" i="1"/>
  <c r="P692" i="1"/>
  <c r="P700" i="1"/>
  <c r="P708" i="1"/>
  <c r="P716" i="1"/>
  <c r="P53" i="1"/>
  <c r="P61" i="1"/>
  <c r="P69" i="1"/>
  <c r="P77" i="1"/>
  <c r="P85" i="1"/>
  <c r="P93" i="1"/>
  <c r="P101" i="1"/>
  <c r="P109" i="1"/>
  <c r="P117" i="1"/>
  <c r="P125" i="1"/>
  <c r="P133" i="1"/>
  <c r="P141" i="1"/>
  <c r="P149" i="1"/>
  <c r="P157" i="1"/>
  <c r="P165" i="1"/>
  <c r="P173" i="1"/>
  <c r="P181" i="1"/>
  <c r="P189" i="1"/>
  <c r="P197" i="1"/>
  <c r="P205" i="1"/>
  <c r="P213" i="1"/>
  <c r="P221" i="1"/>
  <c r="P229" i="1"/>
  <c r="P237" i="1"/>
  <c r="P245" i="1"/>
  <c r="P253" i="1"/>
  <c r="P261" i="1"/>
  <c r="P269" i="1"/>
  <c r="P277" i="1"/>
  <c r="P285" i="1"/>
  <c r="P293" i="1"/>
  <c r="P301" i="1"/>
  <c r="P309" i="1"/>
  <c r="P317" i="1"/>
  <c r="P325" i="1"/>
  <c r="P333" i="1"/>
  <c r="P341" i="1"/>
  <c r="P349" i="1"/>
  <c r="P357" i="1"/>
  <c r="P365" i="1"/>
  <c r="P373" i="1"/>
  <c r="P381" i="1"/>
  <c r="P389" i="1"/>
  <c r="P397" i="1"/>
  <c r="P405" i="1"/>
  <c r="P413" i="1"/>
  <c r="P421" i="1"/>
  <c r="P429" i="1"/>
  <c r="P437" i="1"/>
  <c r="P445" i="1"/>
  <c r="P453" i="1"/>
  <c r="P461" i="1"/>
  <c r="P469" i="1"/>
  <c r="P477" i="1"/>
  <c r="P485" i="1"/>
  <c r="P493" i="1"/>
  <c r="P501" i="1"/>
  <c r="P509" i="1"/>
  <c r="P517" i="1"/>
  <c r="P525" i="1"/>
  <c r="P533" i="1"/>
  <c r="P541" i="1"/>
  <c r="P549" i="1"/>
  <c r="P557" i="1"/>
  <c r="P565" i="1"/>
  <c r="P573" i="1"/>
  <c r="P581" i="1"/>
  <c r="P589" i="1"/>
  <c r="P597" i="1"/>
  <c r="P605" i="1"/>
  <c r="P613" i="1"/>
  <c r="P621" i="1"/>
  <c r="P629" i="1"/>
  <c r="P637" i="1"/>
  <c r="P645" i="1"/>
  <c r="P653" i="1"/>
  <c r="P661" i="1"/>
  <c r="P669" i="1"/>
  <c r="P677" i="1"/>
  <c r="P685" i="1"/>
  <c r="P693" i="1"/>
  <c r="P701" i="1"/>
  <c r="P54" i="1"/>
  <c r="P62" i="1"/>
  <c r="P70" i="1"/>
  <c r="P78" i="1"/>
  <c r="P86" i="1"/>
  <c r="P94" i="1"/>
  <c r="P102" i="1"/>
  <c r="P110" i="1"/>
  <c r="P118" i="1"/>
  <c r="P126" i="1"/>
  <c r="P134" i="1"/>
  <c r="P142" i="1"/>
  <c r="P150" i="1"/>
  <c r="P158" i="1"/>
  <c r="P166" i="1"/>
  <c r="P174" i="1"/>
  <c r="P182" i="1"/>
  <c r="P190" i="1"/>
  <c r="P198" i="1"/>
  <c r="P206" i="1"/>
  <c r="P214" i="1"/>
  <c r="P222" i="1"/>
  <c r="P230" i="1"/>
  <c r="P238" i="1"/>
  <c r="P246" i="1"/>
  <c r="P254" i="1"/>
  <c r="P262" i="1"/>
  <c r="P270" i="1"/>
  <c r="P278" i="1"/>
  <c r="P286" i="1"/>
  <c r="P294" i="1"/>
  <c r="P302" i="1"/>
  <c r="P310" i="1"/>
  <c r="P318" i="1"/>
  <c r="P326" i="1"/>
  <c r="P334" i="1"/>
  <c r="P342" i="1"/>
  <c r="P350" i="1"/>
  <c r="P358" i="1"/>
  <c r="P366" i="1"/>
  <c r="P374" i="1"/>
  <c r="P382" i="1"/>
  <c r="P390" i="1"/>
  <c r="P398" i="1"/>
  <c r="P406" i="1"/>
  <c r="P414" i="1"/>
  <c r="P422" i="1"/>
  <c r="P430" i="1"/>
  <c r="P438" i="1"/>
  <c r="P446" i="1"/>
  <c r="P454" i="1"/>
  <c r="P462" i="1"/>
  <c r="P470" i="1"/>
  <c r="P478" i="1"/>
  <c r="P486" i="1"/>
  <c r="P494" i="1"/>
  <c r="P502" i="1"/>
  <c r="P510" i="1"/>
  <c r="P518" i="1"/>
  <c r="P526" i="1"/>
  <c r="P534" i="1"/>
  <c r="P542" i="1"/>
  <c r="P550" i="1"/>
  <c r="P558" i="1"/>
  <c r="P566" i="1"/>
  <c r="P574" i="1"/>
  <c r="P582" i="1"/>
  <c r="P590" i="1"/>
  <c r="P598" i="1"/>
  <c r="P606" i="1"/>
  <c r="P614" i="1"/>
  <c r="P622" i="1"/>
  <c r="P630" i="1"/>
  <c r="P638" i="1"/>
  <c r="P646" i="1"/>
  <c r="P654" i="1"/>
  <c r="P662" i="1"/>
  <c r="P670" i="1"/>
  <c r="P678" i="1"/>
  <c r="P686" i="1"/>
  <c r="P694" i="1"/>
  <c r="P702" i="1"/>
  <c r="P710" i="1"/>
  <c r="P55" i="1"/>
  <c r="P63" i="1"/>
  <c r="P71" i="1"/>
  <c r="P79" i="1"/>
  <c r="P87" i="1"/>
  <c r="P95" i="1"/>
  <c r="P103" i="1"/>
  <c r="P111" i="1"/>
  <c r="P119" i="1"/>
  <c r="P127" i="1"/>
  <c r="P135" i="1"/>
  <c r="P143" i="1"/>
  <c r="P151" i="1"/>
  <c r="P159" i="1"/>
  <c r="P167" i="1"/>
  <c r="P175" i="1"/>
  <c r="P183" i="1"/>
  <c r="P191" i="1"/>
  <c r="P199" i="1"/>
  <c r="P207" i="1"/>
  <c r="P215" i="1"/>
  <c r="P223" i="1"/>
  <c r="P231" i="1"/>
  <c r="P239" i="1"/>
  <c r="P247" i="1"/>
  <c r="P255" i="1"/>
  <c r="P263" i="1"/>
  <c r="P271" i="1"/>
  <c r="P279" i="1"/>
  <c r="P287" i="1"/>
  <c r="P295" i="1"/>
  <c r="P303" i="1"/>
  <c r="P311" i="1"/>
  <c r="P319" i="1"/>
  <c r="P327" i="1"/>
  <c r="P335" i="1"/>
  <c r="P343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51" i="1"/>
  <c r="P559" i="1"/>
  <c r="P567" i="1"/>
  <c r="P575" i="1"/>
  <c r="P583" i="1"/>
  <c r="P591" i="1"/>
  <c r="P599" i="1"/>
  <c r="P607" i="1"/>
  <c r="P615" i="1"/>
  <c r="P623" i="1"/>
  <c r="P631" i="1"/>
  <c r="P639" i="1"/>
  <c r="P647" i="1"/>
  <c r="P655" i="1"/>
  <c r="P663" i="1"/>
  <c r="P671" i="1"/>
  <c r="P679" i="1"/>
  <c r="P687" i="1"/>
  <c r="P695" i="1"/>
  <c r="P703" i="1"/>
  <c r="P711" i="1"/>
  <c r="P57" i="1"/>
  <c r="P65" i="1"/>
  <c r="P73" i="1"/>
  <c r="P81" i="1"/>
  <c r="P89" i="1"/>
  <c r="P97" i="1"/>
  <c r="P105" i="1"/>
  <c r="P113" i="1"/>
  <c r="P121" i="1"/>
  <c r="P129" i="1"/>
  <c r="P137" i="1"/>
  <c r="P145" i="1"/>
  <c r="P153" i="1"/>
  <c r="P161" i="1"/>
  <c r="P169" i="1"/>
  <c r="P177" i="1"/>
  <c r="P185" i="1"/>
  <c r="P193" i="1"/>
  <c r="P201" i="1"/>
  <c r="P209" i="1"/>
  <c r="P217" i="1"/>
  <c r="P225" i="1"/>
  <c r="P233" i="1"/>
  <c r="P241" i="1"/>
  <c r="P249" i="1"/>
  <c r="P257" i="1"/>
  <c r="P265" i="1"/>
  <c r="P273" i="1"/>
  <c r="P281" i="1"/>
  <c r="P289" i="1"/>
  <c r="P297" i="1"/>
  <c r="P305" i="1"/>
  <c r="P313" i="1"/>
  <c r="P321" i="1"/>
  <c r="P329" i="1"/>
  <c r="P337" i="1"/>
  <c r="P345" i="1"/>
  <c r="P353" i="1"/>
  <c r="P361" i="1"/>
  <c r="P369" i="1"/>
  <c r="P377" i="1"/>
  <c r="P385" i="1"/>
  <c r="P393" i="1"/>
  <c r="P401" i="1"/>
  <c r="P409" i="1"/>
  <c r="P417" i="1"/>
  <c r="P425" i="1"/>
  <c r="P433" i="1"/>
  <c r="P441" i="1"/>
  <c r="P449" i="1"/>
  <c r="P457" i="1"/>
  <c r="P465" i="1"/>
  <c r="P473" i="1"/>
  <c r="P481" i="1"/>
  <c r="P489" i="1"/>
  <c r="P497" i="1"/>
  <c r="P505" i="1"/>
  <c r="P513" i="1"/>
  <c r="P521" i="1"/>
  <c r="P529" i="1"/>
  <c r="P537" i="1"/>
  <c r="P545" i="1"/>
  <c r="P553" i="1"/>
  <c r="P561" i="1"/>
  <c r="P569" i="1"/>
  <c r="P577" i="1"/>
  <c r="P585" i="1"/>
  <c r="P593" i="1"/>
  <c r="P601" i="1"/>
  <c r="P609" i="1"/>
  <c r="P617" i="1"/>
  <c r="P625" i="1"/>
  <c r="P633" i="1"/>
  <c r="P641" i="1"/>
  <c r="P649" i="1"/>
  <c r="P657" i="1"/>
  <c r="P665" i="1"/>
  <c r="P673" i="1"/>
  <c r="P681" i="1"/>
  <c r="P689" i="1"/>
  <c r="P697" i="1"/>
  <c r="P705" i="1"/>
  <c r="P713" i="1"/>
  <c r="P721" i="1"/>
  <c r="P729" i="1"/>
  <c r="P56" i="1"/>
  <c r="P120" i="1"/>
  <c r="P184" i="1"/>
  <c r="P248" i="1"/>
  <c r="P312" i="1"/>
  <c r="P376" i="1"/>
  <c r="P440" i="1"/>
  <c r="P504" i="1"/>
  <c r="P568" i="1"/>
  <c r="P632" i="1"/>
  <c r="P696" i="1"/>
  <c r="P724" i="1"/>
  <c r="P733" i="1"/>
  <c r="P741" i="1"/>
  <c r="P749" i="1"/>
  <c r="P757" i="1"/>
  <c r="P765" i="1"/>
  <c r="P773" i="1"/>
  <c r="P781" i="1"/>
  <c r="P789" i="1"/>
  <c r="P797" i="1"/>
  <c r="P805" i="1"/>
  <c r="P813" i="1"/>
  <c r="P821" i="1"/>
  <c r="P829" i="1"/>
  <c r="P837" i="1"/>
  <c r="P845" i="1"/>
  <c r="P853" i="1"/>
  <c r="P861" i="1"/>
  <c r="P869" i="1"/>
  <c r="P877" i="1"/>
  <c r="P885" i="1"/>
  <c r="P893" i="1"/>
  <c r="P901" i="1"/>
  <c r="P909" i="1"/>
  <c r="P917" i="1"/>
  <c r="P925" i="1"/>
  <c r="P933" i="1"/>
  <c r="P941" i="1"/>
  <c r="P949" i="1"/>
  <c r="P957" i="1"/>
  <c r="P965" i="1"/>
  <c r="P973" i="1"/>
  <c r="P981" i="1"/>
  <c r="P989" i="1"/>
  <c r="P997" i="1"/>
  <c r="P1005" i="1"/>
  <c r="P1013" i="1"/>
  <c r="P1021" i="1"/>
  <c r="P1029" i="1"/>
  <c r="P1037" i="1"/>
  <c r="P1045" i="1"/>
  <c r="P1053" i="1"/>
  <c r="P1061" i="1"/>
  <c r="P1069" i="1"/>
  <c r="P1077" i="1"/>
  <c r="P1085" i="1"/>
  <c r="P1093" i="1"/>
  <c r="P1101" i="1"/>
  <c r="P1109" i="1"/>
  <c r="P1117" i="1"/>
  <c r="P1125" i="1"/>
  <c r="P1133" i="1"/>
  <c r="P1141" i="1"/>
  <c r="P1149" i="1"/>
  <c r="P1157" i="1"/>
  <c r="P1165" i="1"/>
  <c r="P1173" i="1"/>
  <c r="P1181" i="1"/>
  <c r="P1189" i="1"/>
  <c r="P1197" i="1"/>
  <c r="P1205" i="1"/>
  <c r="P1213" i="1"/>
  <c r="P1221" i="1"/>
  <c r="P1229" i="1"/>
  <c r="P1237" i="1"/>
  <c r="P1245" i="1"/>
  <c r="P1253" i="1"/>
  <c r="P1261" i="1"/>
  <c r="P1269" i="1"/>
  <c r="P1277" i="1"/>
  <c r="P1285" i="1"/>
  <c r="P1293" i="1"/>
  <c r="P1301" i="1"/>
  <c r="P1309" i="1"/>
  <c r="P64" i="1"/>
  <c r="P128" i="1"/>
  <c r="P192" i="1"/>
  <c r="P256" i="1"/>
  <c r="P320" i="1"/>
  <c r="P384" i="1"/>
  <c r="P448" i="1"/>
  <c r="P512" i="1"/>
  <c r="P576" i="1"/>
  <c r="P640" i="1"/>
  <c r="P704" i="1"/>
  <c r="P725" i="1"/>
  <c r="P734" i="1"/>
  <c r="P742" i="1"/>
  <c r="P750" i="1"/>
  <c r="P758" i="1"/>
  <c r="P766" i="1"/>
  <c r="P774" i="1"/>
  <c r="P782" i="1"/>
  <c r="P790" i="1"/>
  <c r="P798" i="1"/>
  <c r="P806" i="1"/>
  <c r="P814" i="1"/>
  <c r="P822" i="1"/>
  <c r="P830" i="1"/>
  <c r="P838" i="1"/>
  <c r="P846" i="1"/>
  <c r="P854" i="1"/>
  <c r="P862" i="1"/>
  <c r="P870" i="1"/>
  <c r="P878" i="1"/>
  <c r="P886" i="1"/>
  <c r="P894" i="1"/>
  <c r="P902" i="1"/>
  <c r="P910" i="1"/>
  <c r="P918" i="1"/>
  <c r="P926" i="1"/>
  <c r="P934" i="1"/>
  <c r="P942" i="1"/>
  <c r="P950" i="1"/>
  <c r="P958" i="1"/>
  <c r="P966" i="1"/>
  <c r="P974" i="1"/>
  <c r="P982" i="1"/>
  <c r="P990" i="1"/>
  <c r="P998" i="1"/>
  <c r="P1006" i="1"/>
  <c r="P1014" i="1"/>
  <c r="P1022" i="1"/>
  <c r="P1030" i="1"/>
  <c r="P1038" i="1"/>
  <c r="P1046" i="1"/>
  <c r="P1054" i="1"/>
  <c r="P1062" i="1"/>
  <c r="P1070" i="1"/>
  <c r="P1078" i="1"/>
  <c r="P1086" i="1"/>
  <c r="P1094" i="1"/>
  <c r="P1102" i="1"/>
  <c r="P1110" i="1"/>
  <c r="P1118" i="1"/>
  <c r="P1126" i="1"/>
  <c r="P1134" i="1"/>
  <c r="P1142" i="1"/>
  <c r="P1150" i="1"/>
  <c r="P1158" i="1"/>
  <c r="P1166" i="1"/>
  <c r="P1174" i="1"/>
  <c r="P1182" i="1"/>
  <c r="P1190" i="1"/>
  <c r="P1198" i="1"/>
  <c r="P1206" i="1"/>
  <c r="P1214" i="1"/>
  <c r="P1222" i="1"/>
  <c r="P1230" i="1"/>
  <c r="P1238" i="1"/>
  <c r="P1246" i="1"/>
  <c r="P1254" i="1"/>
  <c r="P1262" i="1"/>
  <c r="P1270" i="1"/>
  <c r="P1278" i="1"/>
  <c r="P1286" i="1"/>
  <c r="P1294" i="1"/>
  <c r="P1302" i="1"/>
  <c r="P1310" i="1"/>
  <c r="P72" i="1"/>
  <c r="P136" i="1"/>
  <c r="P200" i="1"/>
  <c r="P264" i="1"/>
  <c r="P328" i="1"/>
  <c r="P392" i="1"/>
  <c r="P456" i="1"/>
  <c r="P520" i="1"/>
  <c r="P584" i="1"/>
  <c r="P648" i="1"/>
  <c r="P709" i="1"/>
  <c r="P726" i="1"/>
  <c r="P735" i="1"/>
  <c r="P743" i="1"/>
  <c r="P751" i="1"/>
  <c r="P759" i="1"/>
  <c r="P767" i="1"/>
  <c r="P775" i="1"/>
  <c r="P783" i="1"/>
  <c r="P791" i="1"/>
  <c r="P799" i="1"/>
  <c r="P807" i="1"/>
  <c r="P815" i="1"/>
  <c r="P823" i="1"/>
  <c r="P831" i="1"/>
  <c r="P839" i="1"/>
  <c r="P847" i="1"/>
  <c r="P855" i="1"/>
  <c r="P863" i="1"/>
  <c r="P871" i="1"/>
  <c r="P879" i="1"/>
  <c r="P887" i="1"/>
  <c r="P895" i="1"/>
  <c r="P903" i="1"/>
  <c r="P911" i="1"/>
  <c r="P919" i="1"/>
  <c r="P927" i="1"/>
  <c r="P935" i="1"/>
  <c r="P943" i="1"/>
  <c r="P951" i="1"/>
  <c r="P959" i="1"/>
  <c r="P967" i="1"/>
  <c r="P975" i="1"/>
  <c r="P983" i="1"/>
  <c r="P991" i="1"/>
  <c r="P999" i="1"/>
  <c r="P1007" i="1"/>
  <c r="P1015" i="1"/>
  <c r="P1023" i="1"/>
  <c r="P1031" i="1"/>
  <c r="P1039" i="1"/>
  <c r="P1047" i="1"/>
  <c r="P1055" i="1"/>
  <c r="P1063" i="1"/>
  <c r="P1071" i="1"/>
  <c r="P1079" i="1"/>
  <c r="P1087" i="1"/>
  <c r="P1095" i="1"/>
  <c r="P1103" i="1"/>
  <c r="P1111" i="1"/>
  <c r="P1119" i="1"/>
  <c r="P1127" i="1"/>
  <c r="P1135" i="1"/>
  <c r="P1143" i="1"/>
  <c r="P1151" i="1"/>
  <c r="P1159" i="1"/>
  <c r="P1167" i="1"/>
  <c r="P1175" i="1"/>
  <c r="P1183" i="1"/>
  <c r="P1191" i="1"/>
  <c r="P1199" i="1"/>
  <c r="P1207" i="1"/>
  <c r="P1215" i="1"/>
  <c r="P1223" i="1"/>
  <c r="P1231" i="1"/>
  <c r="P1239" i="1"/>
  <c r="P1247" i="1"/>
  <c r="P1255" i="1"/>
  <c r="P1263" i="1"/>
  <c r="P1271" i="1"/>
  <c r="P1279" i="1"/>
  <c r="P1287" i="1"/>
  <c r="P80" i="1"/>
  <c r="P144" i="1"/>
  <c r="P208" i="1"/>
  <c r="P272" i="1"/>
  <c r="P336" i="1"/>
  <c r="P400" i="1"/>
  <c r="P464" i="1"/>
  <c r="P528" i="1"/>
  <c r="P592" i="1"/>
  <c r="P656" i="1"/>
  <c r="P712" i="1"/>
  <c r="P727" i="1"/>
  <c r="P736" i="1"/>
  <c r="P744" i="1"/>
  <c r="P752" i="1"/>
  <c r="P760" i="1"/>
  <c r="P768" i="1"/>
  <c r="P776" i="1"/>
  <c r="P784" i="1"/>
  <c r="P792" i="1"/>
  <c r="P800" i="1"/>
  <c r="P808" i="1"/>
  <c r="P816" i="1"/>
  <c r="P824" i="1"/>
  <c r="P832" i="1"/>
  <c r="P840" i="1"/>
  <c r="P848" i="1"/>
  <c r="P856" i="1"/>
  <c r="P864" i="1"/>
  <c r="P872" i="1"/>
  <c r="P880" i="1"/>
  <c r="P888" i="1"/>
  <c r="P896" i="1"/>
  <c r="P904" i="1"/>
  <c r="P912" i="1"/>
  <c r="P920" i="1"/>
  <c r="P928" i="1"/>
  <c r="P936" i="1"/>
  <c r="P944" i="1"/>
  <c r="P952" i="1"/>
  <c r="P960" i="1"/>
  <c r="P968" i="1"/>
  <c r="P976" i="1"/>
  <c r="P984" i="1"/>
  <c r="P992" i="1"/>
  <c r="P1000" i="1"/>
  <c r="P1008" i="1"/>
  <c r="P1016" i="1"/>
  <c r="P1024" i="1"/>
  <c r="P1032" i="1"/>
  <c r="P1040" i="1"/>
  <c r="P1048" i="1"/>
  <c r="P1056" i="1"/>
  <c r="P1064" i="1"/>
  <c r="P1072" i="1"/>
  <c r="P1080" i="1"/>
  <c r="P1088" i="1"/>
  <c r="P1096" i="1"/>
  <c r="P1104" i="1"/>
  <c r="P1112" i="1"/>
  <c r="P1120" i="1"/>
  <c r="P1128" i="1"/>
  <c r="P1136" i="1"/>
  <c r="P1144" i="1"/>
  <c r="P1152" i="1"/>
  <c r="P1160" i="1"/>
  <c r="P1168" i="1"/>
  <c r="P1176" i="1"/>
  <c r="P1184" i="1"/>
  <c r="P1192" i="1"/>
  <c r="P1200" i="1"/>
  <c r="P1208" i="1"/>
  <c r="P1216" i="1"/>
  <c r="P1224" i="1"/>
  <c r="P1232" i="1"/>
  <c r="P1240" i="1"/>
  <c r="P1248" i="1"/>
  <c r="P1256" i="1"/>
  <c r="P1264" i="1"/>
  <c r="P1272" i="1"/>
  <c r="P1280" i="1"/>
  <c r="P1288" i="1"/>
  <c r="P1296" i="1"/>
  <c r="P1304" i="1"/>
  <c r="P88" i="1"/>
  <c r="P152" i="1"/>
  <c r="P216" i="1"/>
  <c r="P280" i="1"/>
  <c r="P344" i="1"/>
  <c r="P408" i="1"/>
  <c r="P472" i="1"/>
  <c r="P536" i="1"/>
  <c r="P600" i="1"/>
  <c r="P664" i="1"/>
  <c r="P717" i="1"/>
  <c r="P728" i="1"/>
  <c r="P737" i="1"/>
  <c r="P745" i="1"/>
  <c r="P753" i="1"/>
  <c r="P761" i="1"/>
  <c r="P769" i="1"/>
  <c r="P777" i="1"/>
  <c r="P785" i="1"/>
  <c r="P793" i="1"/>
  <c r="P801" i="1"/>
  <c r="P809" i="1"/>
  <c r="P817" i="1"/>
  <c r="P825" i="1"/>
  <c r="P833" i="1"/>
  <c r="P841" i="1"/>
  <c r="P849" i="1"/>
  <c r="P857" i="1"/>
  <c r="P865" i="1"/>
  <c r="P873" i="1"/>
  <c r="P881" i="1"/>
  <c r="P889" i="1"/>
  <c r="P897" i="1"/>
  <c r="P905" i="1"/>
  <c r="P913" i="1"/>
  <c r="P921" i="1"/>
  <c r="P929" i="1"/>
  <c r="P937" i="1"/>
  <c r="P945" i="1"/>
  <c r="P953" i="1"/>
  <c r="P961" i="1"/>
  <c r="P969" i="1"/>
  <c r="P977" i="1"/>
  <c r="P985" i="1"/>
  <c r="P993" i="1"/>
  <c r="P1001" i="1"/>
  <c r="P1009" i="1"/>
  <c r="P1017" i="1"/>
  <c r="P1025" i="1"/>
  <c r="P1033" i="1"/>
  <c r="P1041" i="1"/>
  <c r="P1049" i="1"/>
  <c r="P1057" i="1"/>
  <c r="P1065" i="1"/>
  <c r="P1073" i="1"/>
  <c r="P1081" i="1"/>
  <c r="P1089" i="1"/>
  <c r="P1097" i="1"/>
  <c r="P1105" i="1"/>
  <c r="P1113" i="1"/>
  <c r="P1121" i="1"/>
  <c r="P1129" i="1"/>
  <c r="P1137" i="1"/>
  <c r="P1145" i="1"/>
  <c r="P1153" i="1"/>
  <c r="P1161" i="1"/>
  <c r="P1169" i="1"/>
  <c r="P1177" i="1"/>
  <c r="P1185" i="1"/>
  <c r="P1193" i="1"/>
  <c r="P1201" i="1"/>
  <c r="P1209" i="1"/>
  <c r="P1217" i="1"/>
  <c r="P1225" i="1"/>
  <c r="P1233" i="1"/>
  <c r="P1241" i="1"/>
  <c r="P1249" i="1"/>
  <c r="P1257" i="1"/>
  <c r="P1265" i="1"/>
  <c r="P1273" i="1"/>
  <c r="P1281" i="1"/>
  <c r="P1289" i="1"/>
  <c r="P1297" i="1"/>
  <c r="P1305" i="1"/>
  <c r="P1313" i="1"/>
  <c r="P96" i="1"/>
  <c r="P160" i="1"/>
  <c r="P224" i="1"/>
  <c r="P288" i="1"/>
  <c r="P352" i="1"/>
  <c r="P416" i="1"/>
  <c r="P480" i="1"/>
  <c r="P544" i="1"/>
  <c r="P608" i="1"/>
  <c r="P672" i="1"/>
  <c r="P718" i="1"/>
  <c r="P730" i="1"/>
  <c r="P738" i="1"/>
  <c r="P746" i="1"/>
  <c r="P754" i="1"/>
  <c r="P762" i="1"/>
  <c r="P770" i="1"/>
  <c r="P778" i="1"/>
  <c r="P786" i="1"/>
  <c r="P794" i="1"/>
  <c r="P802" i="1"/>
  <c r="P810" i="1"/>
  <c r="P818" i="1"/>
  <c r="P826" i="1"/>
  <c r="P834" i="1"/>
  <c r="P842" i="1"/>
  <c r="P850" i="1"/>
  <c r="P858" i="1"/>
  <c r="P866" i="1"/>
  <c r="P874" i="1"/>
  <c r="P882" i="1"/>
  <c r="P890" i="1"/>
  <c r="P898" i="1"/>
  <c r="P906" i="1"/>
  <c r="P914" i="1"/>
  <c r="P922" i="1"/>
  <c r="P930" i="1"/>
  <c r="P938" i="1"/>
  <c r="P946" i="1"/>
  <c r="P954" i="1"/>
  <c r="P962" i="1"/>
  <c r="P970" i="1"/>
  <c r="P978" i="1"/>
  <c r="P986" i="1"/>
  <c r="P994" i="1"/>
  <c r="P1002" i="1"/>
  <c r="P1010" i="1"/>
  <c r="P1018" i="1"/>
  <c r="P1026" i="1"/>
  <c r="P1034" i="1"/>
  <c r="P1042" i="1"/>
  <c r="P1050" i="1"/>
  <c r="P1058" i="1"/>
  <c r="P1066" i="1"/>
  <c r="P1074" i="1"/>
  <c r="P1082" i="1"/>
  <c r="P1090" i="1"/>
  <c r="P1098" i="1"/>
  <c r="P1106" i="1"/>
  <c r="P1114" i="1"/>
  <c r="P1122" i="1"/>
  <c r="P1130" i="1"/>
  <c r="P1138" i="1"/>
  <c r="P1146" i="1"/>
  <c r="P1154" i="1"/>
  <c r="P1162" i="1"/>
  <c r="P1170" i="1"/>
  <c r="P1178" i="1"/>
  <c r="P1186" i="1"/>
  <c r="P1194" i="1"/>
  <c r="P1202" i="1"/>
  <c r="P1210" i="1"/>
  <c r="P1218" i="1"/>
  <c r="P1226" i="1"/>
  <c r="P1234" i="1"/>
  <c r="P1242" i="1"/>
  <c r="P1250" i="1"/>
  <c r="P1258" i="1"/>
  <c r="P1266" i="1"/>
  <c r="P1274" i="1"/>
  <c r="P1282" i="1"/>
  <c r="P1290" i="1"/>
  <c r="P1298" i="1"/>
  <c r="P1306" i="1"/>
  <c r="P1314" i="1"/>
  <c r="P112" i="1"/>
  <c r="P176" i="1"/>
  <c r="P240" i="1"/>
  <c r="P304" i="1"/>
  <c r="P368" i="1"/>
  <c r="P432" i="1"/>
  <c r="P496" i="1"/>
  <c r="P560" i="1"/>
  <c r="P624" i="1"/>
  <c r="P688" i="1"/>
  <c r="P720" i="1"/>
  <c r="P732" i="1"/>
  <c r="P740" i="1"/>
  <c r="P748" i="1"/>
  <c r="P756" i="1"/>
  <c r="P764" i="1"/>
  <c r="P772" i="1"/>
  <c r="P780" i="1"/>
  <c r="P788" i="1"/>
  <c r="P796" i="1"/>
  <c r="P804" i="1"/>
  <c r="P812" i="1"/>
  <c r="P820" i="1"/>
  <c r="P828" i="1"/>
  <c r="P836" i="1"/>
  <c r="P844" i="1"/>
  <c r="P852" i="1"/>
  <c r="P860" i="1"/>
  <c r="P868" i="1"/>
  <c r="P876" i="1"/>
  <c r="P884" i="1"/>
  <c r="P892" i="1"/>
  <c r="P900" i="1"/>
  <c r="P908" i="1"/>
  <c r="P916" i="1"/>
  <c r="P924" i="1"/>
  <c r="P932" i="1"/>
  <c r="P940" i="1"/>
  <c r="P948" i="1"/>
  <c r="P956" i="1"/>
  <c r="P964" i="1"/>
  <c r="P972" i="1"/>
  <c r="P980" i="1"/>
  <c r="P988" i="1"/>
  <c r="P996" i="1"/>
  <c r="P1004" i="1"/>
  <c r="P1012" i="1"/>
  <c r="P1020" i="1"/>
  <c r="P1028" i="1"/>
  <c r="P1036" i="1"/>
  <c r="P1044" i="1"/>
  <c r="P1052" i="1"/>
  <c r="P1060" i="1"/>
  <c r="P1068" i="1"/>
  <c r="P1076" i="1"/>
  <c r="P1084" i="1"/>
  <c r="P1092" i="1"/>
  <c r="P1100" i="1"/>
  <c r="P1108" i="1"/>
  <c r="P1116" i="1"/>
  <c r="P1124" i="1"/>
  <c r="P1132" i="1"/>
  <c r="P1140" i="1"/>
  <c r="P1148" i="1"/>
  <c r="P1156" i="1"/>
  <c r="P1164" i="1"/>
  <c r="P1172" i="1"/>
  <c r="P1180" i="1"/>
  <c r="P1188" i="1"/>
  <c r="P1196" i="1"/>
  <c r="P1204" i="1"/>
  <c r="P1212" i="1"/>
  <c r="P1220" i="1"/>
  <c r="P1228" i="1"/>
  <c r="P1236" i="1"/>
  <c r="P1244" i="1"/>
  <c r="P1252" i="1"/>
  <c r="P1260" i="1"/>
  <c r="P1268" i="1"/>
  <c r="P1276" i="1"/>
  <c r="P1284" i="1"/>
  <c r="P1292" i="1"/>
  <c r="P1300" i="1"/>
  <c r="P1308" i="1"/>
  <c r="P104" i="1"/>
  <c r="P616" i="1"/>
  <c r="P771" i="1"/>
  <c r="P835" i="1"/>
  <c r="P899" i="1"/>
  <c r="P963" i="1"/>
  <c r="P1027" i="1"/>
  <c r="P1091" i="1"/>
  <c r="P1155" i="1"/>
  <c r="P1219" i="1"/>
  <c r="P1283" i="1"/>
  <c r="P1315" i="1"/>
  <c r="P1323" i="1"/>
  <c r="P1331" i="1"/>
  <c r="P1339" i="1"/>
  <c r="P1347" i="1"/>
  <c r="P1355" i="1"/>
  <c r="P1363" i="1"/>
  <c r="P1371" i="1"/>
  <c r="P1379" i="1"/>
  <c r="P1387" i="1"/>
  <c r="P1395" i="1"/>
  <c r="P1403" i="1"/>
  <c r="P1411" i="1"/>
  <c r="P1419" i="1"/>
  <c r="P1427" i="1"/>
  <c r="P1435" i="1"/>
  <c r="P1443" i="1"/>
  <c r="P1451" i="1"/>
  <c r="P1459" i="1"/>
  <c r="P1467" i="1"/>
  <c r="P1475" i="1"/>
  <c r="P1483" i="1"/>
  <c r="P1491" i="1"/>
  <c r="P1499" i="1"/>
  <c r="P1507" i="1"/>
  <c r="P1515" i="1"/>
  <c r="P1523" i="1"/>
  <c r="P1531" i="1"/>
  <c r="P1539" i="1"/>
  <c r="P1547" i="1"/>
  <c r="P1555" i="1"/>
  <c r="P1563" i="1"/>
  <c r="P1571" i="1"/>
  <c r="P1579" i="1"/>
  <c r="P1587" i="1"/>
  <c r="P1595" i="1"/>
  <c r="P1603" i="1"/>
  <c r="P1611" i="1"/>
  <c r="P1619" i="1"/>
  <c r="P1627" i="1"/>
  <c r="P1635" i="1"/>
  <c r="P1643" i="1"/>
  <c r="P1651" i="1"/>
  <c r="P1659" i="1"/>
  <c r="P1667" i="1"/>
  <c r="P1675" i="1"/>
  <c r="P1683" i="1"/>
  <c r="P1691" i="1"/>
  <c r="P1699" i="1"/>
  <c r="P1707" i="1"/>
  <c r="P1715" i="1"/>
  <c r="P1723" i="1"/>
  <c r="P1731" i="1"/>
  <c r="P1739" i="1"/>
  <c r="P1747" i="1"/>
  <c r="P1755" i="1"/>
  <c r="P1763" i="1"/>
  <c r="P1771" i="1"/>
  <c r="P1779" i="1"/>
  <c r="P1787" i="1"/>
  <c r="P1795" i="1"/>
  <c r="P168" i="1"/>
  <c r="P680" i="1"/>
  <c r="P779" i="1"/>
  <c r="P843" i="1"/>
  <c r="P907" i="1"/>
  <c r="P971" i="1"/>
  <c r="P1035" i="1"/>
  <c r="P1099" i="1"/>
  <c r="P1163" i="1"/>
  <c r="P1227" i="1"/>
  <c r="P1291" i="1"/>
  <c r="P1316" i="1"/>
  <c r="P1324" i="1"/>
  <c r="P1332" i="1"/>
  <c r="P1340" i="1"/>
  <c r="P1348" i="1"/>
  <c r="P1356" i="1"/>
  <c r="P1364" i="1"/>
  <c r="P1372" i="1"/>
  <c r="P1380" i="1"/>
  <c r="P1388" i="1"/>
  <c r="P1396" i="1"/>
  <c r="P1404" i="1"/>
  <c r="P1412" i="1"/>
  <c r="P1420" i="1"/>
  <c r="P1428" i="1"/>
  <c r="P1436" i="1"/>
  <c r="P1444" i="1"/>
  <c r="P1452" i="1"/>
  <c r="P1460" i="1"/>
  <c r="P1468" i="1"/>
  <c r="P1476" i="1"/>
  <c r="P1484" i="1"/>
  <c r="P1492" i="1"/>
  <c r="P1500" i="1"/>
  <c r="P1508" i="1"/>
  <c r="P1516" i="1"/>
  <c r="P1524" i="1"/>
  <c r="P1532" i="1"/>
  <c r="P1540" i="1"/>
  <c r="P1548" i="1"/>
  <c r="P1556" i="1"/>
  <c r="P1564" i="1"/>
  <c r="P1572" i="1"/>
  <c r="P1580" i="1"/>
  <c r="P1588" i="1"/>
  <c r="P1596" i="1"/>
  <c r="P1604" i="1"/>
  <c r="P1612" i="1"/>
  <c r="P1620" i="1"/>
  <c r="P1628" i="1"/>
  <c r="P1636" i="1"/>
  <c r="P1644" i="1"/>
  <c r="P1652" i="1"/>
  <c r="P1660" i="1"/>
  <c r="P1668" i="1"/>
  <c r="P1676" i="1"/>
  <c r="P1684" i="1"/>
  <c r="P1692" i="1"/>
  <c r="P1700" i="1"/>
  <c r="P1708" i="1"/>
  <c r="P1716" i="1"/>
  <c r="P1724" i="1"/>
  <c r="P1732" i="1"/>
  <c r="P1740" i="1"/>
  <c r="P1748" i="1"/>
  <c r="P1756" i="1"/>
  <c r="P1764" i="1"/>
  <c r="P1772" i="1"/>
  <c r="P1780" i="1"/>
  <c r="P1788" i="1"/>
  <c r="P1796" i="1"/>
  <c r="P1804" i="1"/>
  <c r="P1812" i="1"/>
  <c r="P1820" i="1"/>
  <c r="P1828" i="1"/>
  <c r="P1836" i="1"/>
  <c r="P1844" i="1"/>
  <c r="P1852" i="1"/>
  <c r="P1860" i="1"/>
  <c r="P1868" i="1"/>
  <c r="P1876" i="1"/>
  <c r="P1884" i="1"/>
  <c r="P1892" i="1"/>
  <c r="P1900" i="1"/>
  <c r="P232" i="1"/>
  <c r="P719" i="1"/>
  <c r="P787" i="1"/>
  <c r="P851" i="1"/>
  <c r="P915" i="1"/>
  <c r="P979" i="1"/>
  <c r="P1043" i="1"/>
  <c r="P1107" i="1"/>
  <c r="P1171" i="1"/>
  <c r="P1235" i="1"/>
  <c r="P1295" i="1"/>
  <c r="P1317" i="1"/>
  <c r="P1325" i="1"/>
  <c r="P1333" i="1"/>
  <c r="P1341" i="1"/>
  <c r="P1349" i="1"/>
  <c r="P1357" i="1"/>
  <c r="P1365" i="1"/>
  <c r="P1373" i="1"/>
  <c r="P1381" i="1"/>
  <c r="P1389" i="1"/>
  <c r="P1397" i="1"/>
  <c r="P1405" i="1"/>
  <c r="P1413" i="1"/>
  <c r="P1421" i="1"/>
  <c r="P1429" i="1"/>
  <c r="P1437" i="1"/>
  <c r="P1445" i="1"/>
  <c r="P1453" i="1"/>
  <c r="P1461" i="1"/>
  <c r="P1469" i="1"/>
  <c r="P1477" i="1"/>
  <c r="P1485" i="1"/>
  <c r="P1493" i="1"/>
  <c r="P1501" i="1"/>
  <c r="P1509" i="1"/>
  <c r="P1517" i="1"/>
  <c r="P1525" i="1"/>
  <c r="P1533" i="1"/>
  <c r="P1541" i="1"/>
  <c r="P1549" i="1"/>
  <c r="P1557" i="1"/>
  <c r="P1565" i="1"/>
  <c r="P1573" i="1"/>
  <c r="P1581" i="1"/>
  <c r="P1589" i="1"/>
  <c r="P1597" i="1"/>
  <c r="P1605" i="1"/>
  <c r="P1613" i="1"/>
  <c r="P1621" i="1"/>
  <c r="P1629" i="1"/>
  <c r="P1637" i="1"/>
  <c r="P1645" i="1"/>
  <c r="P1653" i="1"/>
  <c r="P1661" i="1"/>
  <c r="P1669" i="1"/>
  <c r="P1677" i="1"/>
  <c r="P1685" i="1"/>
  <c r="P1693" i="1"/>
  <c r="P1701" i="1"/>
  <c r="P1709" i="1"/>
  <c r="P1717" i="1"/>
  <c r="P1725" i="1"/>
  <c r="P1733" i="1"/>
  <c r="P1741" i="1"/>
  <c r="P1749" i="1"/>
  <c r="P1757" i="1"/>
  <c r="P1765" i="1"/>
  <c r="P1773" i="1"/>
  <c r="P1781" i="1"/>
  <c r="P1789" i="1"/>
  <c r="P1797" i="1"/>
  <c r="P296" i="1"/>
  <c r="P731" i="1"/>
  <c r="P795" i="1"/>
  <c r="P859" i="1"/>
  <c r="P923" i="1"/>
  <c r="P987" i="1"/>
  <c r="P1051" i="1"/>
  <c r="P1115" i="1"/>
  <c r="P1179" i="1"/>
  <c r="P1243" i="1"/>
  <c r="P1299" i="1"/>
  <c r="P1318" i="1"/>
  <c r="P1326" i="1"/>
  <c r="P1334" i="1"/>
  <c r="P1342" i="1"/>
  <c r="P1350" i="1"/>
  <c r="P1358" i="1"/>
  <c r="P1366" i="1"/>
  <c r="P1374" i="1"/>
  <c r="P1382" i="1"/>
  <c r="P1390" i="1"/>
  <c r="P1398" i="1"/>
  <c r="P1406" i="1"/>
  <c r="P1414" i="1"/>
  <c r="P1422" i="1"/>
  <c r="P1430" i="1"/>
  <c r="P1438" i="1"/>
  <c r="P1446" i="1"/>
  <c r="P1454" i="1"/>
  <c r="P1462" i="1"/>
  <c r="P1470" i="1"/>
  <c r="P1478" i="1"/>
  <c r="P1486" i="1"/>
  <c r="P1494" i="1"/>
  <c r="P1502" i="1"/>
  <c r="P1510" i="1"/>
  <c r="P1518" i="1"/>
  <c r="P1526" i="1"/>
  <c r="P1534" i="1"/>
  <c r="P1542" i="1"/>
  <c r="P1550" i="1"/>
  <c r="P1558" i="1"/>
  <c r="P1566" i="1"/>
  <c r="P1574" i="1"/>
  <c r="P1582" i="1"/>
  <c r="P1590" i="1"/>
  <c r="P1598" i="1"/>
  <c r="P1606" i="1"/>
  <c r="P1614" i="1"/>
  <c r="P1622" i="1"/>
  <c r="P1630" i="1"/>
  <c r="P1638" i="1"/>
  <c r="P1646" i="1"/>
  <c r="P1654" i="1"/>
  <c r="P1662" i="1"/>
  <c r="P1670" i="1"/>
  <c r="P1678" i="1"/>
  <c r="P1686" i="1"/>
  <c r="P1694" i="1"/>
  <c r="P1702" i="1"/>
  <c r="P1710" i="1"/>
  <c r="P1718" i="1"/>
  <c r="P1726" i="1"/>
  <c r="P1734" i="1"/>
  <c r="P1742" i="1"/>
  <c r="P1750" i="1"/>
  <c r="P1758" i="1"/>
  <c r="P1766" i="1"/>
  <c r="P1774" i="1"/>
  <c r="P1782" i="1"/>
  <c r="P1790" i="1"/>
  <c r="P1798" i="1"/>
  <c r="P1806" i="1"/>
  <c r="P1814" i="1"/>
  <c r="P1822" i="1"/>
  <c r="P1830" i="1"/>
  <c r="P1838" i="1"/>
  <c r="P1846" i="1"/>
  <c r="P1854" i="1"/>
  <c r="P1862" i="1"/>
  <c r="P1870" i="1"/>
  <c r="P1878" i="1"/>
  <c r="P1886" i="1"/>
  <c r="P1894" i="1"/>
  <c r="P1902" i="1"/>
  <c r="P360" i="1"/>
  <c r="P739" i="1"/>
  <c r="P803" i="1"/>
  <c r="P867" i="1"/>
  <c r="P931" i="1"/>
  <c r="P995" i="1"/>
  <c r="P1059" i="1"/>
  <c r="P1123" i="1"/>
  <c r="P1187" i="1"/>
  <c r="P1251" i="1"/>
  <c r="P1303" i="1"/>
  <c r="P1319" i="1"/>
  <c r="P1327" i="1"/>
  <c r="P1335" i="1"/>
  <c r="P1343" i="1"/>
  <c r="P1351" i="1"/>
  <c r="P1359" i="1"/>
  <c r="P1367" i="1"/>
  <c r="P1375" i="1"/>
  <c r="P1383" i="1"/>
  <c r="P1391" i="1"/>
  <c r="P1399" i="1"/>
  <c r="P1407" i="1"/>
  <c r="P1415" i="1"/>
  <c r="P1423" i="1"/>
  <c r="P1431" i="1"/>
  <c r="P1439" i="1"/>
  <c r="P1447" i="1"/>
  <c r="P1455" i="1"/>
  <c r="P1463" i="1"/>
  <c r="P1471" i="1"/>
  <c r="P1479" i="1"/>
  <c r="P1487" i="1"/>
  <c r="P1495" i="1"/>
  <c r="P1503" i="1"/>
  <c r="P1511" i="1"/>
  <c r="P1519" i="1"/>
  <c r="P1527" i="1"/>
  <c r="P1535" i="1"/>
  <c r="P1543" i="1"/>
  <c r="P1551" i="1"/>
  <c r="P1559" i="1"/>
  <c r="P1567" i="1"/>
  <c r="P1575" i="1"/>
  <c r="P1583" i="1"/>
  <c r="P1591" i="1"/>
  <c r="P1599" i="1"/>
  <c r="P1607" i="1"/>
  <c r="P1615" i="1"/>
  <c r="P1623" i="1"/>
  <c r="P1631" i="1"/>
  <c r="P1639" i="1"/>
  <c r="P1647" i="1"/>
  <c r="P1655" i="1"/>
  <c r="P1663" i="1"/>
  <c r="P1671" i="1"/>
  <c r="P1679" i="1"/>
  <c r="P1687" i="1"/>
  <c r="P1695" i="1"/>
  <c r="P1703" i="1"/>
  <c r="P1711" i="1"/>
  <c r="P1719" i="1"/>
  <c r="P1727" i="1"/>
  <c r="P1735" i="1"/>
  <c r="P1743" i="1"/>
  <c r="P1751" i="1"/>
  <c r="P1759" i="1"/>
  <c r="P1767" i="1"/>
  <c r="P1775" i="1"/>
  <c r="P1783" i="1"/>
  <c r="P1791" i="1"/>
  <c r="P1799" i="1"/>
  <c r="P1807" i="1"/>
  <c r="P1815" i="1"/>
  <c r="P1823" i="1"/>
  <c r="P1831" i="1"/>
  <c r="P1839" i="1"/>
  <c r="P1847" i="1"/>
  <c r="P1855" i="1"/>
  <c r="P1863" i="1"/>
  <c r="P1871" i="1"/>
  <c r="P1879" i="1"/>
  <c r="P1887" i="1"/>
  <c r="P1895" i="1"/>
  <c r="P1903" i="1"/>
  <c r="P424" i="1"/>
  <c r="P747" i="1"/>
  <c r="P811" i="1"/>
  <c r="P875" i="1"/>
  <c r="P939" i="1"/>
  <c r="P1003" i="1"/>
  <c r="P1067" i="1"/>
  <c r="P1131" i="1"/>
  <c r="P1195" i="1"/>
  <c r="P1259" i="1"/>
  <c r="P1307" i="1"/>
  <c r="P1320" i="1"/>
  <c r="P1328" i="1"/>
  <c r="P1336" i="1"/>
  <c r="P1344" i="1"/>
  <c r="P1352" i="1"/>
  <c r="P1360" i="1"/>
  <c r="P1368" i="1"/>
  <c r="P1376" i="1"/>
  <c r="P1384" i="1"/>
  <c r="P1392" i="1"/>
  <c r="P1400" i="1"/>
  <c r="P1408" i="1"/>
  <c r="P1416" i="1"/>
  <c r="P1424" i="1"/>
  <c r="P1432" i="1"/>
  <c r="P1440" i="1"/>
  <c r="P1448" i="1"/>
  <c r="P1456" i="1"/>
  <c r="P1464" i="1"/>
  <c r="P1472" i="1"/>
  <c r="P1480" i="1"/>
  <c r="P1488" i="1"/>
  <c r="P1496" i="1"/>
  <c r="P1504" i="1"/>
  <c r="P1512" i="1"/>
  <c r="P1520" i="1"/>
  <c r="P1528" i="1"/>
  <c r="P1536" i="1"/>
  <c r="P1544" i="1"/>
  <c r="P1552" i="1"/>
  <c r="P1560" i="1"/>
  <c r="P1568" i="1"/>
  <c r="P1576" i="1"/>
  <c r="P1584" i="1"/>
  <c r="P1592" i="1"/>
  <c r="P1600" i="1"/>
  <c r="P1608" i="1"/>
  <c r="P1616" i="1"/>
  <c r="P1624" i="1"/>
  <c r="P1632" i="1"/>
  <c r="P1640" i="1"/>
  <c r="P1648" i="1"/>
  <c r="P1656" i="1"/>
  <c r="P1664" i="1"/>
  <c r="P1672" i="1"/>
  <c r="P1680" i="1"/>
  <c r="P1688" i="1"/>
  <c r="P1696" i="1"/>
  <c r="P1704" i="1"/>
  <c r="P1712" i="1"/>
  <c r="P1720" i="1"/>
  <c r="P1728" i="1"/>
  <c r="P1736" i="1"/>
  <c r="P1744" i="1"/>
  <c r="P1752" i="1"/>
  <c r="P1760" i="1"/>
  <c r="P1768" i="1"/>
  <c r="P1776" i="1"/>
  <c r="P1784" i="1"/>
  <c r="P1792" i="1"/>
  <c r="P1800" i="1"/>
  <c r="P1808" i="1"/>
  <c r="P1816" i="1"/>
  <c r="P1824" i="1"/>
  <c r="P1832" i="1"/>
  <c r="P1840" i="1"/>
  <c r="P1848" i="1"/>
  <c r="P1856" i="1"/>
  <c r="P1864" i="1"/>
  <c r="P1872" i="1"/>
  <c r="P1880" i="1"/>
  <c r="P1888" i="1"/>
  <c r="P1896" i="1"/>
  <c r="P1904" i="1"/>
  <c r="P488" i="1"/>
  <c r="P755" i="1"/>
  <c r="P819" i="1"/>
  <c r="P883" i="1"/>
  <c r="P947" i="1"/>
  <c r="P1011" i="1"/>
  <c r="P1075" i="1"/>
  <c r="P1139" i="1"/>
  <c r="P1203" i="1"/>
  <c r="P1267" i="1"/>
  <c r="P1311" i="1"/>
  <c r="P1321" i="1"/>
  <c r="P1329" i="1"/>
  <c r="P1337" i="1"/>
  <c r="P1345" i="1"/>
  <c r="P1353" i="1"/>
  <c r="P1361" i="1"/>
  <c r="P1369" i="1"/>
  <c r="P1377" i="1"/>
  <c r="P1385" i="1"/>
  <c r="P1393" i="1"/>
  <c r="P1401" i="1"/>
  <c r="P1409" i="1"/>
  <c r="P1417" i="1"/>
  <c r="P1425" i="1"/>
  <c r="P1433" i="1"/>
  <c r="P1441" i="1"/>
  <c r="P1449" i="1"/>
  <c r="P1457" i="1"/>
  <c r="P1465" i="1"/>
  <c r="P1473" i="1"/>
  <c r="P1481" i="1"/>
  <c r="P1489" i="1"/>
  <c r="P1497" i="1"/>
  <c r="P1505" i="1"/>
  <c r="P1513" i="1"/>
  <c r="P1521" i="1"/>
  <c r="P1529" i="1"/>
  <c r="P1537" i="1"/>
  <c r="P1545" i="1"/>
  <c r="P1553" i="1"/>
  <c r="P1561" i="1"/>
  <c r="P1569" i="1"/>
  <c r="P1577" i="1"/>
  <c r="P1585" i="1"/>
  <c r="P1593" i="1"/>
  <c r="P1601" i="1"/>
  <c r="P1609" i="1"/>
  <c r="P1617" i="1"/>
  <c r="P1625" i="1"/>
  <c r="P1633" i="1"/>
  <c r="P1641" i="1"/>
  <c r="P1649" i="1"/>
  <c r="P1657" i="1"/>
  <c r="P1665" i="1"/>
  <c r="P1673" i="1"/>
  <c r="P1681" i="1"/>
  <c r="P1689" i="1"/>
  <c r="P1697" i="1"/>
  <c r="P1705" i="1"/>
  <c r="P1713" i="1"/>
  <c r="P1721" i="1"/>
  <c r="P1729" i="1"/>
  <c r="P1737" i="1"/>
  <c r="P1745" i="1"/>
  <c r="P1753" i="1"/>
  <c r="P1761" i="1"/>
  <c r="P1769" i="1"/>
  <c r="P1777" i="1"/>
  <c r="P1785" i="1"/>
  <c r="P1793" i="1"/>
  <c r="P1801" i="1"/>
  <c r="P1809" i="1"/>
  <c r="P1817" i="1"/>
  <c r="P1825" i="1"/>
  <c r="P1833" i="1"/>
  <c r="P1841" i="1"/>
  <c r="P1849" i="1"/>
  <c r="P1857" i="1"/>
  <c r="P1865" i="1"/>
  <c r="P1873" i="1"/>
  <c r="P1881" i="1"/>
  <c r="P1889" i="1"/>
  <c r="P1897" i="1"/>
  <c r="P1905" i="1"/>
  <c r="P552" i="1"/>
  <c r="P1211" i="1"/>
  <c r="P1362" i="1"/>
  <c r="P1426" i="1"/>
  <c r="P1490" i="1"/>
  <c r="P1554" i="1"/>
  <c r="P1618" i="1"/>
  <c r="P1682" i="1"/>
  <c r="P1746" i="1"/>
  <c r="P1803" i="1"/>
  <c r="P1826" i="1"/>
  <c r="P1845" i="1"/>
  <c r="P1867" i="1"/>
  <c r="P1890" i="1"/>
  <c r="P1908" i="1"/>
  <c r="P1916" i="1"/>
  <c r="P1924" i="1"/>
  <c r="P1932" i="1"/>
  <c r="P1940" i="1"/>
  <c r="P1948" i="1"/>
  <c r="P1956" i="1"/>
  <c r="P1964" i="1"/>
  <c r="P1972" i="1"/>
  <c r="P1980" i="1"/>
  <c r="P1988" i="1"/>
  <c r="P1996" i="1"/>
  <c r="P2004" i="1"/>
  <c r="P2012" i="1"/>
  <c r="P2020" i="1"/>
  <c r="P2028" i="1"/>
  <c r="P2036" i="1"/>
  <c r="P2044" i="1"/>
  <c r="P2052" i="1"/>
  <c r="P2060" i="1"/>
  <c r="P2068" i="1"/>
  <c r="P2076" i="1"/>
  <c r="P2084" i="1"/>
  <c r="P2092" i="1"/>
  <c r="P2100" i="1"/>
  <c r="P2108" i="1"/>
  <c r="P2116" i="1"/>
  <c r="P2124" i="1"/>
  <c r="P2132" i="1"/>
  <c r="P2140" i="1"/>
  <c r="P2148" i="1"/>
  <c r="P2156" i="1"/>
  <c r="P2164" i="1"/>
  <c r="P2172" i="1"/>
  <c r="P2180" i="1"/>
  <c r="P2188" i="1"/>
  <c r="P2196" i="1"/>
  <c r="P2204" i="1"/>
  <c r="P2212" i="1"/>
  <c r="P2220" i="1"/>
  <c r="P2228" i="1"/>
  <c r="P2236" i="1"/>
  <c r="P2244" i="1"/>
  <c r="P2252" i="1"/>
  <c r="P2260" i="1"/>
  <c r="P2268" i="1"/>
  <c r="P2276" i="1"/>
  <c r="P2284" i="1"/>
  <c r="P2292" i="1"/>
  <c r="P2300" i="1"/>
  <c r="P2308" i="1"/>
  <c r="P2316" i="1"/>
  <c r="P2324" i="1"/>
  <c r="P2332" i="1"/>
  <c r="P2340" i="1"/>
  <c r="P763" i="1"/>
  <c r="P1275" i="1"/>
  <c r="P1370" i="1"/>
  <c r="P1434" i="1"/>
  <c r="P1498" i="1"/>
  <c r="P1562" i="1"/>
  <c r="P1626" i="1"/>
  <c r="P1690" i="1"/>
  <c r="P1754" i="1"/>
  <c r="P1805" i="1"/>
  <c r="P1827" i="1"/>
  <c r="P1850" i="1"/>
  <c r="P1869" i="1"/>
  <c r="P1891" i="1"/>
  <c r="P1909" i="1"/>
  <c r="P1917" i="1"/>
  <c r="P1925" i="1"/>
  <c r="P1933" i="1"/>
  <c r="P1941" i="1"/>
  <c r="P1949" i="1"/>
  <c r="P1957" i="1"/>
  <c r="P1965" i="1"/>
  <c r="P1973" i="1"/>
  <c r="P1981" i="1"/>
  <c r="P1989" i="1"/>
  <c r="P1997" i="1"/>
  <c r="P2005" i="1"/>
  <c r="P2013" i="1"/>
  <c r="P2021" i="1"/>
  <c r="P2029" i="1"/>
  <c r="P2037" i="1"/>
  <c r="P2045" i="1"/>
  <c r="P2053" i="1"/>
  <c r="P2061" i="1"/>
  <c r="P2069" i="1"/>
  <c r="P2077" i="1"/>
  <c r="P2085" i="1"/>
  <c r="P2093" i="1"/>
  <c r="P2101" i="1"/>
  <c r="P2109" i="1"/>
  <c r="P2117" i="1"/>
  <c r="P2125" i="1"/>
  <c r="P2133" i="1"/>
  <c r="P2141" i="1"/>
  <c r="P2149" i="1"/>
  <c r="P2157" i="1"/>
  <c r="P2165" i="1"/>
  <c r="P2173" i="1"/>
  <c r="P2181" i="1"/>
  <c r="P2189" i="1"/>
  <c r="P2197" i="1"/>
  <c r="P2205" i="1"/>
  <c r="P2213" i="1"/>
  <c r="P2221" i="1"/>
  <c r="P2229" i="1"/>
  <c r="P2237" i="1"/>
  <c r="P2245" i="1"/>
  <c r="P2253" i="1"/>
  <c r="P2261" i="1"/>
  <c r="P2269" i="1"/>
  <c r="P2277" i="1"/>
  <c r="P2285" i="1"/>
  <c r="P2293" i="1"/>
  <c r="P2301" i="1"/>
  <c r="P2309" i="1"/>
  <c r="P2317" i="1"/>
  <c r="P2325" i="1"/>
  <c r="P2333" i="1"/>
  <c r="P2341" i="1"/>
  <c r="P2349" i="1"/>
  <c r="P2357" i="1"/>
  <c r="P2365" i="1"/>
  <c r="P2373" i="1"/>
  <c r="P2381" i="1"/>
  <c r="P2389" i="1"/>
  <c r="P2397" i="1"/>
  <c r="P2405" i="1"/>
  <c r="P2413" i="1"/>
  <c r="P2421" i="1"/>
  <c r="P2429" i="1"/>
  <c r="P2437" i="1"/>
  <c r="P2445" i="1"/>
  <c r="P2453" i="1"/>
  <c r="P2461" i="1"/>
  <c r="P827" i="1"/>
  <c r="P1312" i="1"/>
  <c r="P1378" i="1"/>
  <c r="P1442" i="1"/>
  <c r="P1506" i="1"/>
  <c r="P1570" i="1"/>
  <c r="P1634" i="1"/>
  <c r="P1698" i="1"/>
  <c r="P1762" i="1"/>
  <c r="P1810" i="1"/>
  <c r="P1829" i="1"/>
  <c r="P1851" i="1"/>
  <c r="P1874" i="1"/>
  <c r="P1893" i="1"/>
  <c r="P1910" i="1"/>
  <c r="P1918" i="1"/>
  <c r="P1926" i="1"/>
  <c r="P1934" i="1"/>
  <c r="P1942" i="1"/>
  <c r="P1950" i="1"/>
  <c r="P1958" i="1"/>
  <c r="P1966" i="1"/>
  <c r="P1974" i="1"/>
  <c r="P1982" i="1"/>
  <c r="P1990" i="1"/>
  <c r="P1998" i="1"/>
  <c r="P2006" i="1"/>
  <c r="P2014" i="1"/>
  <c r="P2022" i="1"/>
  <c r="P2030" i="1"/>
  <c r="P2038" i="1"/>
  <c r="P2046" i="1"/>
  <c r="P2054" i="1"/>
  <c r="P2062" i="1"/>
  <c r="P2070" i="1"/>
  <c r="P2078" i="1"/>
  <c r="P2086" i="1"/>
  <c r="P2094" i="1"/>
  <c r="P2102" i="1"/>
  <c r="P2110" i="1"/>
  <c r="P2118" i="1"/>
  <c r="P2126" i="1"/>
  <c r="P2134" i="1"/>
  <c r="P2142" i="1"/>
  <c r="P2150" i="1"/>
  <c r="P2158" i="1"/>
  <c r="P2166" i="1"/>
  <c r="P2174" i="1"/>
  <c r="P2182" i="1"/>
  <c r="P2190" i="1"/>
  <c r="P2198" i="1"/>
  <c r="P2206" i="1"/>
  <c r="P2214" i="1"/>
  <c r="P2222" i="1"/>
  <c r="P2230" i="1"/>
  <c r="P2238" i="1"/>
  <c r="P2246" i="1"/>
  <c r="P2254" i="1"/>
  <c r="P2262" i="1"/>
  <c r="P2270" i="1"/>
  <c r="P2278" i="1"/>
  <c r="P2286" i="1"/>
  <c r="P2294" i="1"/>
  <c r="P2302" i="1"/>
  <c r="P2310" i="1"/>
  <c r="P2318" i="1"/>
  <c r="P2326" i="1"/>
  <c r="P2334" i="1"/>
  <c r="P2342" i="1"/>
  <c r="P2350" i="1"/>
  <c r="P2358" i="1"/>
  <c r="P2366" i="1"/>
  <c r="P2374" i="1"/>
  <c r="P2382" i="1"/>
  <c r="P2390" i="1"/>
  <c r="P2398" i="1"/>
  <c r="P2406" i="1"/>
  <c r="P2414" i="1"/>
  <c r="P2422" i="1"/>
  <c r="P2430" i="1"/>
  <c r="P2438" i="1"/>
  <c r="P891" i="1"/>
  <c r="P1322" i="1"/>
  <c r="P1386" i="1"/>
  <c r="P1450" i="1"/>
  <c r="P1514" i="1"/>
  <c r="P1578" i="1"/>
  <c r="P1642" i="1"/>
  <c r="P1706" i="1"/>
  <c r="P1770" i="1"/>
  <c r="P1811" i="1"/>
  <c r="P1834" i="1"/>
  <c r="P1853" i="1"/>
  <c r="P1875" i="1"/>
  <c r="P1898" i="1"/>
  <c r="P1911" i="1"/>
  <c r="P1919" i="1"/>
  <c r="P1927" i="1"/>
  <c r="P1935" i="1"/>
  <c r="P1943" i="1"/>
  <c r="P1951" i="1"/>
  <c r="P1959" i="1"/>
  <c r="P1967" i="1"/>
  <c r="P1975" i="1"/>
  <c r="P1983" i="1"/>
  <c r="P1991" i="1"/>
  <c r="P1999" i="1"/>
  <c r="P2007" i="1"/>
  <c r="P2015" i="1"/>
  <c r="P2023" i="1"/>
  <c r="P2031" i="1"/>
  <c r="P2039" i="1"/>
  <c r="P2047" i="1"/>
  <c r="P2055" i="1"/>
  <c r="P2063" i="1"/>
  <c r="P2071" i="1"/>
  <c r="P2079" i="1"/>
  <c r="P2087" i="1"/>
  <c r="P2095" i="1"/>
  <c r="P2103" i="1"/>
  <c r="P2111" i="1"/>
  <c r="P2119" i="1"/>
  <c r="P2127" i="1"/>
  <c r="P2135" i="1"/>
  <c r="P2143" i="1"/>
  <c r="P2151" i="1"/>
  <c r="P2159" i="1"/>
  <c r="P2167" i="1"/>
  <c r="P2175" i="1"/>
  <c r="P2183" i="1"/>
  <c r="P2191" i="1"/>
  <c r="P2199" i="1"/>
  <c r="P2207" i="1"/>
  <c r="P2215" i="1"/>
  <c r="P2223" i="1"/>
  <c r="P2231" i="1"/>
  <c r="P2239" i="1"/>
  <c r="P2247" i="1"/>
  <c r="P2255" i="1"/>
  <c r="P2263" i="1"/>
  <c r="P2271" i="1"/>
  <c r="P2279" i="1"/>
  <c r="P2287" i="1"/>
  <c r="P2295" i="1"/>
  <c r="P2303" i="1"/>
  <c r="P2311" i="1"/>
  <c r="P2319" i="1"/>
  <c r="P2327" i="1"/>
  <c r="P2335" i="1"/>
  <c r="P2343" i="1"/>
  <c r="P2351" i="1"/>
  <c r="P2359" i="1"/>
  <c r="P2367" i="1"/>
  <c r="P2375" i="1"/>
  <c r="P2383" i="1"/>
  <c r="P2391" i="1"/>
  <c r="P2399" i="1"/>
  <c r="P2407" i="1"/>
  <c r="P2415" i="1"/>
  <c r="P2423" i="1"/>
  <c r="P2431" i="1"/>
  <c r="P2439" i="1"/>
  <c r="P2447" i="1"/>
  <c r="P2455" i="1"/>
  <c r="P2463" i="1"/>
  <c r="P955" i="1"/>
  <c r="P1330" i="1"/>
  <c r="P1394" i="1"/>
  <c r="P1458" i="1"/>
  <c r="P1522" i="1"/>
  <c r="P1586" i="1"/>
  <c r="P1650" i="1"/>
  <c r="P1714" i="1"/>
  <c r="P1778" i="1"/>
  <c r="P1813" i="1"/>
  <c r="P1835" i="1"/>
  <c r="P1858" i="1"/>
  <c r="P1877" i="1"/>
  <c r="P1899" i="1"/>
  <c r="P1912" i="1"/>
  <c r="P1920" i="1"/>
  <c r="P1928" i="1"/>
  <c r="P1936" i="1"/>
  <c r="P1944" i="1"/>
  <c r="P1952" i="1"/>
  <c r="P1960" i="1"/>
  <c r="P1968" i="1"/>
  <c r="P1976" i="1"/>
  <c r="P1984" i="1"/>
  <c r="P1992" i="1"/>
  <c r="P2000" i="1"/>
  <c r="P2008" i="1"/>
  <c r="P2016" i="1"/>
  <c r="P2024" i="1"/>
  <c r="P2032" i="1"/>
  <c r="P2040" i="1"/>
  <c r="P2048" i="1"/>
  <c r="P2056" i="1"/>
  <c r="P2064" i="1"/>
  <c r="P2072" i="1"/>
  <c r="P2080" i="1"/>
  <c r="P2088" i="1"/>
  <c r="P2096" i="1"/>
  <c r="P2104" i="1"/>
  <c r="P2112" i="1"/>
  <c r="P2120" i="1"/>
  <c r="P2128" i="1"/>
  <c r="P2136" i="1"/>
  <c r="P2144" i="1"/>
  <c r="P2152" i="1"/>
  <c r="P2160" i="1"/>
  <c r="P2168" i="1"/>
  <c r="P2176" i="1"/>
  <c r="P2184" i="1"/>
  <c r="P2192" i="1"/>
  <c r="P2200" i="1"/>
  <c r="P2208" i="1"/>
  <c r="P2216" i="1"/>
  <c r="P2224" i="1"/>
  <c r="P2232" i="1"/>
  <c r="P2240" i="1"/>
  <c r="P2248" i="1"/>
  <c r="P2256" i="1"/>
  <c r="P2264" i="1"/>
  <c r="P2272" i="1"/>
  <c r="P2280" i="1"/>
  <c r="P2288" i="1"/>
  <c r="P2296" i="1"/>
  <c r="P2304" i="1"/>
  <c r="P2312" i="1"/>
  <c r="P2320" i="1"/>
  <c r="P2328" i="1"/>
  <c r="P2336" i="1"/>
  <c r="P1019" i="1"/>
  <c r="P1338" i="1"/>
  <c r="P1402" i="1"/>
  <c r="P1466" i="1"/>
  <c r="P1530" i="1"/>
  <c r="P1594" i="1"/>
  <c r="P1658" i="1"/>
  <c r="P1722" i="1"/>
  <c r="P1786" i="1"/>
  <c r="P1818" i="1"/>
  <c r="P1837" i="1"/>
  <c r="P1859" i="1"/>
  <c r="P1882" i="1"/>
  <c r="P1901" i="1"/>
  <c r="P1913" i="1"/>
  <c r="P1921" i="1"/>
  <c r="P1929" i="1"/>
  <c r="P1937" i="1"/>
  <c r="P1945" i="1"/>
  <c r="P1953" i="1"/>
  <c r="P1961" i="1"/>
  <c r="P1969" i="1"/>
  <c r="P1977" i="1"/>
  <c r="P1985" i="1"/>
  <c r="P1993" i="1"/>
  <c r="P2001" i="1"/>
  <c r="P2009" i="1"/>
  <c r="P2017" i="1"/>
  <c r="P2025" i="1"/>
  <c r="P2033" i="1"/>
  <c r="P2041" i="1"/>
  <c r="P2049" i="1"/>
  <c r="P2057" i="1"/>
  <c r="P2065" i="1"/>
  <c r="P2073" i="1"/>
  <c r="P2081" i="1"/>
  <c r="P2089" i="1"/>
  <c r="P2097" i="1"/>
  <c r="P2105" i="1"/>
  <c r="P2113" i="1"/>
  <c r="P2121" i="1"/>
  <c r="P2129" i="1"/>
  <c r="P2137" i="1"/>
  <c r="P2145" i="1"/>
  <c r="P2153" i="1"/>
  <c r="P2161" i="1"/>
  <c r="P2169" i="1"/>
  <c r="P2177" i="1"/>
  <c r="P2185" i="1"/>
  <c r="P2193" i="1"/>
  <c r="P2201" i="1"/>
  <c r="P2209" i="1"/>
  <c r="P2217" i="1"/>
  <c r="P2225" i="1"/>
  <c r="P2233" i="1"/>
  <c r="P2241" i="1"/>
  <c r="P2249" i="1"/>
  <c r="P2257" i="1"/>
  <c r="P2265" i="1"/>
  <c r="P2273" i="1"/>
  <c r="P2281" i="1"/>
  <c r="P2289" i="1"/>
  <c r="P2297" i="1"/>
  <c r="P2305" i="1"/>
  <c r="P2313" i="1"/>
  <c r="P2321" i="1"/>
  <c r="P2329" i="1"/>
  <c r="P2337" i="1"/>
  <c r="P2345" i="1"/>
  <c r="P2353" i="1"/>
  <c r="P2361" i="1"/>
  <c r="P2369" i="1"/>
  <c r="P2377" i="1"/>
  <c r="P2385" i="1"/>
  <c r="P2393" i="1"/>
  <c r="P2401" i="1"/>
  <c r="P2409" i="1"/>
  <c r="P2417" i="1"/>
  <c r="P2425" i="1"/>
  <c r="P2433" i="1"/>
  <c r="P2441" i="1"/>
  <c r="P2449" i="1"/>
  <c r="P2457" i="1"/>
  <c r="P2465" i="1"/>
  <c r="P2473" i="1"/>
  <c r="P1147" i="1"/>
  <c r="P1354" i="1"/>
  <c r="P1418" i="1"/>
  <c r="P1482" i="1"/>
  <c r="P1546" i="1"/>
  <c r="P1610" i="1"/>
  <c r="P1674" i="1"/>
  <c r="P1738" i="1"/>
  <c r="P1802" i="1"/>
  <c r="P1821" i="1"/>
  <c r="P1843" i="1"/>
  <c r="P1866" i="1"/>
  <c r="P1885" i="1"/>
  <c r="P1907" i="1"/>
  <c r="P1915" i="1"/>
  <c r="P1923" i="1"/>
  <c r="P1931" i="1"/>
  <c r="P1939" i="1"/>
  <c r="P1947" i="1"/>
  <c r="P1955" i="1"/>
  <c r="P1963" i="1"/>
  <c r="P1971" i="1"/>
  <c r="P1979" i="1"/>
  <c r="P1987" i="1"/>
  <c r="P1995" i="1"/>
  <c r="P2003" i="1"/>
  <c r="P2011" i="1"/>
  <c r="P2019" i="1"/>
  <c r="P2027" i="1"/>
  <c r="P2035" i="1"/>
  <c r="P2043" i="1"/>
  <c r="P2051" i="1"/>
  <c r="P2059" i="1"/>
  <c r="P2067" i="1"/>
  <c r="P2075" i="1"/>
  <c r="P2083" i="1"/>
  <c r="P2091" i="1"/>
  <c r="P2099" i="1"/>
  <c r="P2107" i="1"/>
  <c r="P2115" i="1"/>
  <c r="P2123" i="1"/>
  <c r="P2131" i="1"/>
  <c r="P2139" i="1"/>
  <c r="P2147" i="1"/>
  <c r="P2155" i="1"/>
  <c r="P2163" i="1"/>
  <c r="P2171" i="1"/>
  <c r="P2179" i="1"/>
  <c r="P2187" i="1"/>
  <c r="P2195" i="1"/>
  <c r="P2203" i="1"/>
  <c r="P2211" i="1"/>
  <c r="P2219" i="1"/>
  <c r="P2227" i="1"/>
  <c r="P2235" i="1"/>
  <c r="P2243" i="1"/>
  <c r="P2251" i="1"/>
  <c r="P2259" i="1"/>
  <c r="P2267" i="1"/>
  <c r="P2275" i="1"/>
  <c r="P2283" i="1"/>
  <c r="P2291" i="1"/>
  <c r="P2299" i="1"/>
  <c r="P2307" i="1"/>
  <c r="P2315" i="1"/>
  <c r="P2323" i="1"/>
  <c r="P2331" i="1"/>
  <c r="P2339" i="1"/>
  <c r="P2347" i="1"/>
  <c r="P2355" i="1"/>
  <c r="P2363" i="1"/>
  <c r="P2371" i="1"/>
  <c r="P2379" i="1"/>
  <c r="P2387" i="1"/>
  <c r="P2395" i="1"/>
  <c r="P2403" i="1"/>
  <c r="P2411" i="1"/>
  <c r="P2419" i="1"/>
  <c r="P2427" i="1"/>
  <c r="P2435" i="1"/>
  <c r="P2443" i="1"/>
  <c r="P2451" i="1"/>
  <c r="P2459" i="1"/>
  <c r="P2467" i="1"/>
  <c r="P1083" i="1"/>
  <c r="P1794" i="1"/>
  <c r="P1930" i="1"/>
  <c r="P1994" i="1"/>
  <c r="P2058" i="1"/>
  <c r="P2122" i="1"/>
  <c r="P2186" i="1"/>
  <c r="P2250" i="1"/>
  <c r="P2314" i="1"/>
  <c r="P2354" i="1"/>
  <c r="P2376" i="1"/>
  <c r="P2396" i="1"/>
  <c r="P2418" i="1"/>
  <c r="P2440" i="1"/>
  <c r="P2456" i="1"/>
  <c r="P2470" i="1"/>
  <c r="P2479" i="1"/>
  <c r="P2487" i="1"/>
  <c r="P2495" i="1"/>
  <c r="P2503" i="1"/>
  <c r="P2511" i="1"/>
  <c r="P2519" i="1"/>
  <c r="P2527" i="1"/>
  <c r="P2535" i="1"/>
  <c r="P2543" i="1"/>
  <c r="P2551" i="1"/>
  <c r="P2559" i="1"/>
  <c r="P2567" i="1"/>
  <c r="P2575" i="1"/>
  <c r="P2583" i="1"/>
  <c r="P2591" i="1"/>
  <c r="P2599" i="1"/>
  <c r="P2607" i="1"/>
  <c r="P2615" i="1"/>
  <c r="P2623" i="1"/>
  <c r="P2631" i="1"/>
  <c r="P2639" i="1"/>
  <c r="P2647" i="1"/>
  <c r="P2655" i="1"/>
  <c r="P2663" i="1"/>
  <c r="P2671" i="1"/>
  <c r="P2679" i="1"/>
  <c r="P2687" i="1"/>
  <c r="P2695" i="1"/>
  <c r="P2703" i="1"/>
  <c r="P2711" i="1"/>
  <c r="P2719" i="1"/>
  <c r="P2727" i="1"/>
  <c r="P2735" i="1"/>
  <c r="P2743" i="1"/>
  <c r="P2751" i="1"/>
  <c r="P2759" i="1"/>
  <c r="P2767" i="1"/>
  <c r="P2775" i="1"/>
  <c r="P2783" i="1"/>
  <c r="P2791" i="1"/>
  <c r="P2799" i="1"/>
  <c r="P2807" i="1"/>
  <c r="P2815" i="1"/>
  <c r="P2823" i="1"/>
  <c r="P2831" i="1"/>
  <c r="P2839" i="1"/>
  <c r="P2847" i="1"/>
  <c r="P2855" i="1"/>
  <c r="P2863" i="1"/>
  <c r="P2871" i="1"/>
  <c r="P2879" i="1"/>
  <c r="P2887" i="1"/>
  <c r="P2895" i="1"/>
  <c r="P2903" i="1"/>
  <c r="P2911" i="1"/>
  <c r="P2919" i="1"/>
  <c r="P2927" i="1"/>
  <c r="P2935" i="1"/>
  <c r="P2943" i="1"/>
  <c r="P2951" i="1"/>
  <c r="P2959" i="1"/>
  <c r="P2967" i="1"/>
  <c r="P2975" i="1"/>
  <c r="P2983" i="1"/>
  <c r="P2991" i="1"/>
  <c r="P2999" i="1"/>
  <c r="P3007" i="1"/>
  <c r="P3015" i="1"/>
  <c r="P3023" i="1"/>
  <c r="P1346" i="1"/>
  <c r="P1819" i="1"/>
  <c r="P1938" i="1"/>
  <c r="P2002" i="1"/>
  <c r="P2066" i="1"/>
  <c r="P2130" i="1"/>
  <c r="P2194" i="1"/>
  <c r="P2258" i="1"/>
  <c r="P2322" i="1"/>
  <c r="P2356" i="1"/>
  <c r="P2378" i="1"/>
  <c r="P2400" i="1"/>
  <c r="P2420" i="1"/>
  <c r="P2442" i="1"/>
  <c r="P2458" i="1"/>
  <c r="P2471" i="1"/>
  <c r="P2480" i="1"/>
  <c r="P2488" i="1"/>
  <c r="P2496" i="1"/>
  <c r="P2504" i="1"/>
  <c r="P2512" i="1"/>
  <c r="P2520" i="1"/>
  <c r="P2528" i="1"/>
  <c r="P2536" i="1"/>
  <c r="P2544" i="1"/>
  <c r="P2552" i="1"/>
  <c r="P2560" i="1"/>
  <c r="P2568" i="1"/>
  <c r="P2576" i="1"/>
  <c r="P2584" i="1"/>
  <c r="P2592" i="1"/>
  <c r="P2600" i="1"/>
  <c r="P2608" i="1"/>
  <c r="P2616" i="1"/>
  <c r="P2624" i="1"/>
  <c r="P2632" i="1"/>
  <c r="P2640" i="1"/>
  <c r="P2648" i="1"/>
  <c r="P2656" i="1"/>
  <c r="P2664" i="1"/>
  <c r="P2672" i="1"/>
  <c r="P2680" i="1"/>
  <c r="P2688" i="1"/>
  <c r="P2696" i="1"/>
  <c r="P2704" i="1"/>
  <c r="P2712" i="1"/>
  <c r="P2720" i="1"/>
  <c r="P2728" i="1"/>
  <c r="P2736" i="1"/>
  <c r="P2744" i="1"/>
  <c r="P2752" i="1"/>
  <c r="P2760" i="1"/>
  <c r="P2768" i="1"/>
  <c r="P2776" i="1"/>
  <c r="P2784" i="1"/>
  <c r="P2792" i="1"/>
  <c r="P2800" i="1"/>
  <c r="P2808" i="1"/>
  <c r="P2816" i="1"/>
  <c r="P2824" i="1"/>
  <c r="P2832" i="1"/>
  <c r="P2840" i="1"/>
  <c r="P2848" i="1"/>
  <c r="P2856" i="1"/>
  <c r="P2864" i="1"/>
  <c r="P2872" i="1"/>
  <c r="P2880" i="1"/>
  <c r="P2888" i="1"/>
  <c r="P2896" i="1"/>
  <c r="P2904" i="1"/>
  <c r="P2912" i="1"/>
  <c r="P2920" i="1"/>
  <c r="P2928" i="1"/>
  <c r="P2936" i="1"/>
  <c r="P2944" i="1"/>
  <c r="P2952" i="1"/>
  <c r="P2960" i="1"/>
  <c r="P2968" i="1"/>
  <c r="P2976" i="1"/>
  <c r="P2984" i="1"/>
  <c r="P2992" i="1"/>
  <c r="P3000" i="1"/>
  <c r="P3008" i="1"/>
  <c r="P1410" i="1"/>
  <c r="P1842" i="1"/>
  <c r="P1946" i="1"/>
  <c r="P2010" i="1"/>
  <c r="P2074" i="1"/>
  <c r="P2138" i="1"/>
  <c r="P2202" i="1"/>
  <c r="P2266" i="1"/>
  <c r="P2330" i="1"/>
  <c r="P2360" i="1"/>
  <c r="P2380" i="1"/>
  <c r="P2402" i="1"/>
  <c r="P2424" i="1"/>
  <c r="P2444" i="1"/>
  <c r="P2460" i="1"/>
  <c r="P2472" i="1"/>
  <c r="P2481" i="1"/>
  <c r="P2489" i="1"/>
  <c r="P2497" i="1"/>
  <c r="P2505" i="1"/>
  <c r="P2513" i="1"/>
  <c r="P2521" i="1"/>
  <c r="P2529" i="1"/>
  <c r="P2537" i="1"/>
  <c r="P2545" i="1"/>
  <c r="P2553" i="1"/>
  <c r="P2561" i="1"/>
  <c r="P2569" i="1"/>
  <c r="P2577" i="1"/>
  <c r="P2585" i="1"/>
  <c r="P2593" i="1"/>
  <c r="P2601" i="1"/>
  <c r="P2609" i="1"/>
  <c r="P2617" i="1"/>
  <c r="P2625" i="1"/>
  <c r="P2633" i="1"/>
  <c r="P2641" i="1"/>
  <c r="P2649" i="1"/>
  <c r="P2657" i="1"/>
  <c r="P2665" i="1"/>
  <c r="P2673" i="1"/>
  <c r="P2681" i="1"/>
  <c r="P2689" i="1"/>
  <c r="P2697" i="1"/>
  <c r="P2705" i="1"/>
  <c r="P2713" i="1"/>
  <c r="P2721" i="1"/>
  <c r="P2729" i="1"/>
  <c r="P2737" i="1"/>
  <c r="P2745" i="1"/>
  <c r="P2753" i="1"/>
  <c r="P2761" i="1"/>
  <c r="P2769" i="1"/>
  <c r="P2777" i="1"/>
  <c r="P2785" i="1"/>
  <c r="P2793" i="1"/>
  <c r="P2801" i="1"/>
  <c r="P2809" i="1"/>
  <c r="P2817" i="1"/>
  <c r="P2825" i="1"/>
  <c r="P2833" i="1"/>
  <c r="P2841" i="1"/>
  <c r="P2849" i="1"/>
  <c r="P2857" i="1"/>
  <c r="P2865" i="1"/>
  <c r="P2873" i="1"/>
  <c r="P2881" i="1"/>
  <c r="P2889" i="1"/>
  <c r="P2897" i="1"/>
  <c r="P2905" i="1"/>
  <c r="P2913" i="1"/>
  <c r="P2921" i="1"/>
  <c r="P2929" i="1"/>
  <c r="P2937" i="1"/>
  <c r="P2945" i="1"/>
  <c r="P2953" i="1"/>
  <c r="P2961" i="1"/>
  <c r="P2969" i="1"/>
  <c r="P2977" i="1"/>
  <c r="P2985" i="1"/>
  <c r="P1474" i="1"/>
  <c r="P1861" i="1"/>
  <c r="P1954" i="1"/>
  <c r="P2018" i="1"/>
  <c r="P2082" i="1"/>
  <c r="P2146" i="1"/>
  <c r="P2210" i="1"/>
  <c r="P2274" i="1"/>
  <c r="P2338" i="1"/>
  <c r="P2362" i="1"/>
  <c r="P2384" i="1"/>
  <c r="P2404" i="1"/>
  <c r="P2426" i="1"/>
  <c r="P2446" i="1"/>
  <c r="P2462" i="1"/>
  <c r="P2474" i="1"/>
  <c r="P2482" i="1"/>
  <c r="P2490" i="1"/>
  <c r="P2498" i="1"/>
  <c r="P2506" i="1"/>
  <c r="P2514" i="1"/>
  <c r="P2522" i="1"/>
  <c r="P2530" i="1"/>
  <c r="P2538" i="1"/>
  <c r="P2546" i="1"/>
  <c r="P2554" i="1"/>
  <c r="P2562" i="1"/>
  <c r="P2570" i="1"/>
  <c r="P2578" i="1"/>
  <c r="P2586" i="1"/>
  <c r="P2594" i="1"/>
  <c r="P2602" i="1"/>
  <c r="P2610" i="1"/>
  <c r="P2618" i="1"/>
  <c r="P2626" i="1"/>
  <c r="P2634" i="1"/>
  <c r="P2642" i="1"/>
  <c r="P2650" i="1"/>
  <c r="P2658" i="1"/>
  <c r="P2666" i="1"/>
  <c r="P2674" i="1"/>
  <c r="P2682" i="1"/>
  <c r="P2690" i="1"/>
  <c r="P2698" i="1"/>
  <c r="P2706" i="1"/>
  <c r="P2714" i="1"/>
  <c r="P2722" i="1"/>
  <c r="P2730" i="1"/>
  <c r="P2738" i="1"/>
  <c r="P2746" i="1"/>
  <c r="P2754" i="1"/>
  <c r="P2762" i="1"/>
  <c r="P2770" i="1"/>
  <c r="P2778" i="1"/>
  <c r="P2786" i="1"/>
  <c r="P2794" i="1"/>
  <c r="P2802" i="1"/>
  <c r="P2810" i="1"/>
  <c r="P2818" i="1"/>
  <c r="P2826" i="1"/>
  <c r="P2834" i="1"/>
  <c r="P2842" i="1"/>
  <c r="P2850" i="1"/>
  <c r="P2858" i="1"/>
  <c r="P2866" i="1"/>
  <c r="P2874" i="1"/>
  <c r="P2882" i="1"/>
  <c r="P2890" i="1"/>
  <c r="P2898" i="1"/>
  <c r="P2906" i="1"/>
  <c r="P2914" i="1"/>
  <c r="P2922" i="1"/>
  <c r="P2930" i="1"/>
  <c r="P2938" i="1"/>
  <c r="P2946" i="1"/>
  <c r="P2954" i="1"/>
  <c r="P2962" i="1"/>
  <c r="P1538" i="1"/>
  <c r="P1883" i="1"/>
  <c r="P1962" i="1"/>
  <c r="P2026" i="1"/>
  <c r="P2090" i="1"/>
  <c r="P2154" i="1"/>
  <c r="P2218" i="1"/>
  <c r="P2282" i="1"/>
  <c r="P2344" i="1"/>
  <c r="P2364" i="1"/>
  <c r="P2386" i="1"/>
  <c r="P2408" i="1"/>
  <c r="P2428" i="1"/>
  <c r="P2448" i="1"/>
  <c r="P2464" i="1"/>
  <c r="P2475" i="1"/>
  <c r="P2483" i="1"/>
  <c r="P2491" i="1"/>
  <c r="P2499" i="1"/>
  <c r="P2507" i="1"/>
  <c r="P2515" i="1"/>
  <c r="P2523" i="1"/>
  <c r="P2531" i="1"/>
  <c r="P2539" i="1"/>
  <c r="P2547" i="1"/>
  <c r="P2555" i="1"/>
  <c r="P2563" i="1"/>
  <c r="P2571" i="1"/>
  <c r="P2579" i="1"/>
  <c r="P2587" i="1"/>
  <c r="P2595" i="1"/>
  <c r="P2603" i="1"/>
  <c r="P2611" i="1"/>
  <c r="P2619" i="1"/>
  <c r="P2627" i="1"/>
  <c r="P2635" i="1"/>
  <c r="P2643" i="1"/>
  <c r="P2651" i="1"/>
  <c r="P2659" i="1"/>
  <c r="P2667" i="1"/>
  <c r="P2675" i="1"/>
  <c r="P2683" i="1"/>
  <c r="P2691" i="1"/>
  <c r="P2699" i="1"/>
  <c r="P2707" i="1"/>
  <c r="P2715" i="1"/>
  <c r="P2723" i="1"/>
  <c r="P2731" i="1"/>
  <c r="P2739" i="1"/>
  <c r="P2747" i="1"/>
  <c r="P2755" i="1"/>
  <c r="P2763" i="1"/>
  <c r="P2771" i="1"/>
  <c r="P2779" i="1"/>
  <c r="P2787" i="1"/>
  <c r="P2795" i="1"/>
  <c r="P2803" i="1"/>
  <c r="P2811" i="1"/>
  <c r="P2819" i="1"/>
  <c r="P2827" i="1"/>
  <c r="P2835" i="1"/>
  <c r="P2843" i="1"/>
  <c r="P2851" i="1"/>
  <c r="P2859" i="1"/>
  <c r="P2867" i="1"/>
  <c r="P2875" i="1"/>
  <c r="P2883" i="1"/>
  <c r="P2891" i="1"/>
  <c r="P2899" i="1"/>
  <c r="P2907" i="1"/>
  <c r="P2915" i="1"/>
  <c r="P2923" i="1"/>
  <c r="P2931" i="1"/>
  <c r="P2939" i="1"/>
  <c r="P2947" i="1"/>
  <c r="P2955" i="1"/>
  <c r="P2963" i="1"/>
  <c r="P2971" i="1"/>
  <c r="P2979" i="1"/>
  <c r="P2987" i="1"/>
  <c r="P2995" i="1"/>
  <c r="P1602" i="1"/>
  <c r="P1906" i="1"/>
  <c r="P1970" i="1"/>
  <c r="P2034" i="1"/>
  <c r="P2098" i="1"/>
  <c r="P2162" i="1"/>
  <c r="P2226" i="1"/>
  <c r="P2290" i="1"/>
  <c r="P2346" i="1"/>
  <c r="P2368" i="1"/>
  <c r="P2388" i="1"/>
  <c r="P2410" i="1"/>
  <c r="P2432" i="1"/>
  <c r="P2450" i="1"/>
  <c r="P2466" i="1"/>
  <c r="P2476" i="1"/>
  <c r="P2484" i="1"/>
  <c r="P2492" i="1"/>
  <c r="P2500" i="1"/>
  <c r="P2508" i="1"/>
  <c r="P2516" i="1"/>
  <c r="P2524" i="1"/>
  <c r="P2532" i="1"/>
  <c r="P2540" i="1"/>
  <c r="P2548" i="1"/>
  <c r="P2556" i="1"/>
  <c r="P2564" i="1"/>
  <c r="P2572" i="1"/>
  <c r="P2580" i="1"/>
  <c r="P2588" i="1"/>
  <c r="P2596" i="1"/>
  <c r="P2604" i="1"/>
  <c r="P2612" i="1"/>
  <c r="P2620" i="1"/>
  <c r="P2628" i="1"/>
  <c r="P2636" i="1"/>
  <c r="P2644" i="1"/>
  <c r="P2652" i="1"/>
  <c r="P2660" i="1"/>
  <c r="P2668" i="1"/>
  <c r="P2676" i="1"/>
  <c r="P2684" i="1"/>
  <c r="P2692" i="1"/>
  <c r="P2700" i="1"/>
  <c r="P2708" i="1"/>
  <c r="P2716" i="1"/>
  <c r="P2724" i="1"/>
  <c r="P2732" i="1"/>
  <c r="P2740" i="1"/>
  <c r="P2748" i="1"/>
  <c r="P2756" i="1"/>
  <c r="P2764" i="1"/>
  <c r="P2772" i="1"/>
  <c r="P2780" i="1"/>
  <c r="P2788" i="1"/>
  <c r="P2796" i="1"/>
  <c r="P2804" i="1"/>
  <c r="P2812" i="1"/>
  <c r="P2820" i="1"/>
  <c r="P2828" i="1"/>
  <c r="P2836" i="1"/>
  <c r="P2844" i="1"/>
  <c r="P2852" i="1"/>
  <c r="P2860" i="1"/>
  <c r="P2868" i="1"/>
  <c r="P2876" i="1"/>
  <c r="P2884" i="1"/>
  <c r="P2892" i="1"/>
  <c r="P2900" i="1"/>
  <c r="P2908" i="1"/>
  <c r="P2916" i="1"/>
  <c r="P2924" i="1"/>
  <c r="P2932" i="1"/>
  <c r="P2940" i="1"/>
  <c r="P2948" i="1"/>
  <c r="P2956" i="1"/>
  <c r="P2964" i="1"/>
  <c r="P2972" i="1"/>
  <c r="P2980" i="1"/>
  <c r="P1666" i="1"/>
  <c r="P1914" i="1"/>
  <c r="P1978" i="1"/>
  <c r="P2042" i="1"/>
  <c r="P2106" i="1"/>
  <c r="P2170" i="1"/>
  <c r="P2234" i="1"/>
  <c r="P2298" i="1"/>
  <c r="P2348" i="1"/>
  <c r="P2370" i="1"/>
  <c r="P2392" i="1"/>
  <c r="P2412" i="1"/>
  <c r="P2434" i="1"/>
  <c r="P2452" i="1"/>
  <c r="P2468" i="1"/>
  <c r="P2477" i="1"/>
  <c r="P2485" i="1"/>
  <c r="P2493" i="1"/>
  <c r="P2501" i="1"/>
  <c r="P2509" i="1"/>
  <c r="P2517" i="1"/>
  <c r="P2525" i="1"/>
  <c r="P2533" i="1"/>
  <c r="P2541" i="1"/>
  <c r="P2549" i="1"/>
  <c r="P2557" i="1"/>
  <c r="P2565" i="1"/>
  <c r="P2573" i="1"/>
  <c r="P2581" i="1"/>
  <c r="P2589" i="1"/>
  <c r="P2597" i="1"/>
  <c r="P2605" i="1"/>
  <c r="P2613" i="1"/>
  <c r="P2621" i="1"/>
  <c r="P2629" i="1"/>
  <c r="P2637" i="1"/>
  <c r="P2645" i="1"/>
  <c r="P2653" i="1"/>
  <c r="P2661" i="1"/>
  <c r="P2669" i="1"/>
  <c r="P2677" i="1"/>
  <c r="P2685" i="1"/>
  <c r="P2693" i="1"/>
  <c r="P2701" i="1"/>
  <c r="P2709" i="1"/>
  <c r="P2717" i="1"/>
  <c r="P2725" i="1"/>
  <c r="P2733" i="1"/>
  <c r="P2741" i="1"/>
  <c r="P2749" i="1"/>
  <c r="P2757" i="1"/>
  <c r="P2765" i="1"/>
  <c r="P2773" i="1"/>
  <c r="P2781" i="1"/>
  <c r="P2789" i="1"/>
  <c r="P2797" i="1"/>
  <c r="P2805" i="1"/>
  <c r="P2813" i="1"/>
  <c r="P2821" i="1"/>
  <c r="P2829" i="1"/>
  <c r="P2837" i="1"/>
  <c r="P2845" i="1"/>
  <c r="P2853" i="1"/>
  <c r="P2861" i="1"/>
  <c r="P2869" i="1"/>
  <c r="P2877" i="1"/>
  <c r="P2885" i="1"/>
  <c r="P2893" i="1"/>
  <c r="P2901" i="1"/>
  <c r="P2909" i="1"/>
  <c r="P2917" i="1"/>
  <c r="P2925" i="1"/>
  <c r="P2933" i="1"/>
  <c r="P2941" i="1"/>
  <c r="P2949" i="1"/>
  <c r="P2957" i="1"/>
  <c r="P2965" i="1"/>
  <c r="P2973" i="1"/>
  <c r="P2981" i="1"/>
  <c r="P2989" i="1"/>
  <c r="P1730" i="1"/>
  <c r="P2352" i="1"/>
  <c r="P2486" i="1"/>
  <c r="P2550" i="1"/>
  <c r="P2614" i="1"/>
  <c r="P2678" i="1"/>
  <c r="P2742" i="1"/>
  <c r="P2806" i="1"/>
  <c r="P2870" i="1"/>
  <c r="P2934" i="1"/>
  <c r="P2982" i="1"/>
  <c r="P2998" i="1"/>
  <c r="P3010" i="1"/>
  <c r="P3019" i="1"/>
  <c r="P3028" i="1"/>
  <c r="P3036" i="1"/>
  <c r="P3044" i="1"/>
  <c r="P3052" i="1"/>
  <c r="P3060" i="1"/>
  <c r="P3068" i="1"/>
  <c r="P3076" i="1"/>
  <c r="P3084" i="1"/>
  <c r="P3092" i="1"/>
  <c r="P3100" i="1"/>
  <c r="P3108" i="1"/>
  <c r="P3116" i="1"/>
  <c r="P3124" i="1"/>
  <c r="P3132" i="1"/>
  <c r="P3140" i="1"/>
  <c r="P3148" i="1"/>
  <c r="P3156" i="1"/>
  <c r="P1922" i="1"/>
  <c r="P2372" i="1"/>
  <c r="P2494" i="1"/>
  <c r="P2558" i="1"/>
  <c r="P2622" i="1"/>
  <c r="P2686" i="1"/>
  <c r="P2750" i="1"/>
  <c r="P2814" i="1"/>
  <c r="P2878" i="1"/>
  <c r="P2942" i="1"/>
  <c r="P2986" i="1"/>
  <c r="P3001" i="1"/>
  <c r="P3011" i="1"/>
  <c r="P3020" i="1"/>
  <c r="P3029" i="1"/>
  <c r="P3037" i="1"/>
  <c r="P3045" i="1"/>
  <c r="P3053" i="1"/>
  <c r="P3061" i="1"/>
  <c r="P3069" i="1"/>
  <c r="P3077" i="1"/>
  <c r="P3085" i="1"/>
  <c r="P3093" i="1"/>
  <c r="P3101" i="1"/>
  <c r="P3109" i="1"/>
  <c r="P3117" i="1"/>
  <c r="P3125" i="1"/>
  <c r="P3133" i="1"/>
  <c r="P3141" i="1"/>
  <c r="P3149" i="1"/>
  <c r="P3157" i="1"/>
  <c r="P3080" i="1"/>
  <c r="P3123" i="1"/>
  <c r="P1986" i="1"/>
  <c r="P2394" i="1"/>
  <c r="P2502" i="1"/>
  <c r="P2566" i="1"/>
  <c r="P2630" i="1"/>
  <c r="P2694" i="1"/>
  <c r="P2758" i="1"/>
  <c r="P2822" i="1"/>
  <c r="P2886" i="1"/>
  <c r="P2950" i="1"/>
  <c r="P2988" i="1"/>
  <c r="P3002" i="1"/>
  <c r="P3012" i="1"/>
  <c r="P3021" i="1"/>
  <c r="P3030" i="1"/>
  <c r="P3038" i="1"/>
  <c r="P3046" i="1"/>
  <c r="P3054" i="1"/>
  <c r="P3062" i="1"/>
  <c r="P3070" i="1"/>
  <c r="P3078" i="1"/>
  <c r="P3086" i="1"/>
  <c r="P3094" i="1"/>
  <c r="P3102" i="1"/>
  <c r="P3110" i="1"/>
  <c r="P3118" i="1"/>
  <c r="P3126" i="1"/>
  <c r="P3134" i="1"/>
  <c r="P3142" i="1"/>
  <c r="P3150" i="1"/>
  <c r="P3158" i="1"/>
  <c r="P3088" i="1"/>
  <c r="P3144" i="1"/>
  <c r="P3115" i="1"/>
  <c r="P2050" i="1"/>
  <c r="P2416" i="1"/>
  <c r="P2510" i="1"/>
  <c r="P2574" i="1"/>
  <c r="P2638" i="1"/>
  <c r="P2702" i="1"/>
  <c r="P2766" i="1"/>
  <c r="P2830" i="1"/>
  <c r="P2894" i="1"/>
  <c r="P2958" i="1"/>
  <c r="P2990" i="1"/>
  <c r="P3003" i="1"/>
  <c r="P3013" i="1"/>
  <c r="P3022" i="1"/>
  <c r="P3031" i="1"/>
  <c r="P3039" i="1"/>
  <c r="P3047" i="1"/>
  <c r="P3055" i="1"/>
  <c r="P3063" i="1"/>
  <c r="P3071" i="1"/>
  <c r="P3079" i="1"/>
  <c r="P3087" i="1"/>
  <c r="P3095" i="1"/>
  <c r="P3103" i="1"/>
  <c r="P3111" i="1"/>
  <c r="P3119" i="1"/>
  <c r="P3127" i="1"/>
  <c r="P3135" i="1"/>
  <c r="P3143" i="1"/>
  <c r="P3151" i="1"/>
  <c r="P3096" i="1"/>
  <c r="P3131" i="1"/>
  <c r="P2114" i="1"/>
  <c r="P2436" i="1"/>
  <c r="P2518" i="1"/>
  <c r="P2582" i="1"/>
  <c r="P2646" i="1"/>
  <c r="P2710" i="1"/>
  <c r="P2774" i="1"/>
  <c r="P2838" i="1"/>
  <c r="P2902" i="1"/>
  <c r="P2966" i="1"/>
  <c r="P2993" i="1"/>
  <c r="P3004" i="1"/>
  <c r="P3014" i="1"/>
  <c r="P3024" i="1"/>
  <c r="P3032" i="1"/>
  <c r="P3040" i="1"/>
  <c r="P3048" i="1"/>
  <c r="P3056" i="1"/>
  <c r="P3064" i="1"/>
  <c r="P3072" i="1"/>
  <c r="P3104" i="1"/>
  <c r="P3112" i="1"/>
  <c r="P3120" i="1"/>
  <c r="P3128" i="1"/>
  <c r="P3136" i="1"/>
  <c r="P3152" i="1"/>
  <c r="P3139" i="1"/>
  <c r="P2178" i="1"/>
  <c r="P2454" i="1"/>
  <c r="P2526" i="1"/>
  <c r="P2590" i="1"/>
  <c r="P2654" i="1"/>
  <c r="P2718" i="1"/>
  <c r="P2782" i="1"/>
  <c r="P2846" i="1"/>
  <c r="P2910" i="1"/>
  <c r="P2970" i="1"/>
  <c r="P2994" i="1"/>
  <c r="P3005" i="1"/>
  <c r="P3016" i="1"/>
  <c r="P3025" i="1"/>
  <c r="P3033" i="1"/>
  <c r="P3041" i="1"/>
  <c r="P3049" i="1"/>
  <c r="P3057" i="1"/>
  <c r="P3065" i="1"/>
  <c r="P3073" i="1"/>
  <c r="P3081" i="1"/>
  <c r="P3089" i="1"/>
  <c r="P3097" i="1"/>
  <c r="P3105" i="1"/>
  <c r="P3113" i="1"/>
  <c r="P3121" i="1"/>
  <c r="P3129" i="1"/>
  <c r="P3137" i="1"/>
  <c r="P3145" i="1"/>
  <c r="P3153" i="1"/>
  <c r="P2306" i="1"/>
  <c r="P2606" i="1"/>
  <c r="P2734" i="1"/>
  <c r="P2862" i="1"/>
  <c r="P2978" i="1"/>
  <c r="P3009" i="1"/>
  <c r="P3027" i="1"/>
  <c r="P3043" i="1"/>
  <c r="P3059" i="1"/>
  <c r="P3075" i="1"/>
  <c r="P3091" i="1"/>
  <c r="P3107" i="1"/>
  <c r="P3155" i="1"/>
  <c r="P2242" i="1"/>
  <c r="P2469" i="1"/>
  <c r="P2534" i="1"/>
  <c r="P2598" i="1"/>
  <c r="P2662" i="1"/>
  <c r="P2726" i="1"/>
  <c r="P2790" i="1"/>
  <c r="P2854" i="1"/>
  <c r="P2918" i="1"/>
  <c r="P2974" i="1"/>
  <c r="P2996" i="1"/>
  <c r="P3006" i="1"/>
  <c r="P3017" i="1"/>
  <c r="P3026" i="1"/>
  <c r="P3034" i="1"/>
  <c r="P3042" i="1"/>
  <c r="P3050" i="1"/>
  <c r="P3058" i="1"/>
  <c r="P3066" i="1"/>
  <c r="P3074" i="1"/>
  <c r="P3082" i="1"/>
  <c r="P3090" i="1"/>
  <c r="P3098" i="1"/>
  <c r="P3106" i="1"/>
  <c r="P3114" i="1"/>
  <c r="P3122" i="1"/>
  <c r="P3130" i="1"/>
  <c r="P3138" i="1"/>
  <c r="P3146" i="1"/>
  <c r="P3154" i="1"/>
  <c r="P2478" i="1"/>
  <c r="P2542" i="1"/>
  <c r="P2670" i="1"/>
  <c r="P2798" i="1"/>
  <c r="P2926" i="1"/>
  <c r="P2997" i="1"/>
  <c r="P3018" i="1"/>
  <c r="P3035" i="1"/>
  <c r="P3051" i="1"/>
  <c r="P3067" i="1"/>
  <c r="P3083" i="1"/>
  <c r="P3099" i="1"/>
  <c r="P3147" i="1"/>
  <c r="P21" i="1"/>
  <c r="P29" i="1"/>
  <c r="P37" i="1"/>
  <c r="P45" i="1"/>
  <c r="P36" i="1"/>
  <c r="P14" i="1"/>
  <c r="P22" i="1"/>
  <c r="P30" i="1"/>
  <c r="O30" i="1" s="1"/>
  <c r="P38" i="1"/>
  <c r="P46" i="1"/>
  <c r="P44" i="1"/>
  <c r="P15" i="1"/>
  <c r="P23" i="1"/>
  <c r="P31" i="1"/>
  <c r="O31" i="1" s="1"/>
  <c r="P39" i="1"/>
  <c r="P47" i="1"/>
  <c r="P16" i="1"/>
  <c r="P24" i="1"/>
  <c r="P32" i="1"/>
  <c r="P40" i="1"/>
  <c r="P48" i="1"/>
  <c r="P25" i="1"/>
  <c r="P33" i="1"/>
  <c r="P41" i="1"/>
  <c r="P28" i="1"/>
  <c r="P26" i="1"/>
  <c r="P34" i="1"/>
  <c r="P42" i="1"/>
  <c r="P20" i="1"/>
  <c r="P19" i="1"/>
  <c r="P27" i="1"/>
  <c r="P35" i="1"/>
  <c r="P43" i="1"/>
  <c r="I16" i="2"/>
  <c r="G2" i="2"/>
  <c r="I25" i="2"/>
  <c r="I9" i="2"/>
  <c r="B4" i="2"/>
  <c r="I18" i="2"/>
  <c r="I8" i="2"/>
  <c r="I21" i="2"/>
  <c r="I22" i="2"/>
  <c r="I11" i="2"/>
  <c r="I14" i="2"/>
  <c r="C3" i="2"/>
  <c r="C4" i="2" s="1"/>
  <c r="O4" i="1"/>
  <c r="O3" i="1"/>
  <c r="O6" i="1"/>
  <c r="O79" i="1" l="1"/>
  <c r="O81" i="1"/>
  <c r="O82" i="1"/>
  <c r="O80" i="1"/>
  <c r="O75" i="1"/>
  <c r="O76" i="1"/>
  <c r="O69" i="1"/>
  <c r="O66" i="1"/>
  <c r="O67" i="1"/>
  <c r="O63" i="1"/>
  <c r="O65" i="1"/>
  <c r="O64" i="1"/>
  <c r="O60" i="1"/>
  <c r="O61" i="1"/>
  <c r="O62" i="1"/>
  <c r="F3" i="2"/>
  <c r="O56" i="1"/>
  <c r="E30" i="4"/>
  <c r="I12" i="2"/>
  <c r="I26" i="2"/>
  <c r="O5" i="1"/>
  <c r="O57" i="1" l="1"/>
  <c r="O58" i="1"/>
  <c r="O49" i="1"/>
  <c r="O55" i="1"/>
  <c r="O52" i="1"/>
  <c r="O53" i="1"/>
  <c r="O54" i="1"/>
  <c r="O48" i="1"/>
  <c r="O50" i="1"/>
  <c r="O51" i="1"/>
  <c r="O47" i="1"/>
  <c r="F251" i="4"/>
  <c r="F109" i="4"/>
  <c r="F294" i="4"/>
  <c r="F216" i="4"/>
  <c r="F218" i="4"/>
  <c r="F250" i="4"/>
  <c r="F188" i="4"/>
  <c r="F46" i="4"/>
  <c r="F231" i="4"/>
  <c r="F97" i="4"/>
  <c r="F290" i="4"/>
  <c r="F233" i="4"/>
  <c r="F262" i="4"/>
  <c r="F139" i="4"/>
  <c r="F61" i="4"/>
  <c r="F47" i="4"/>
  <c r="F297" i="4"/>
  <c r="F326" i="4"/>
  <c r="F211" i="4"/>
  <c r="F197" i="4"/>
  <c r="F55" i="4"/>
  <c r="F240" i="4"/>
  <c r="F114" i="4"/>
  <c r="F198" i="4"/>
  <c r="F227" i="4"/>
  <c r="F213" i="4"/>
  <c r="F199" i="4"/>
  <c r="F129" i="4"/>
  <c r="F322" i="4"/>
  <c r="F94" i="4"/>
  <c r="F43" i="4"/>
  <c r="F228" i="4"/>
  <c r="F214" i="4"/>
  <c r="F200" i="4"/>
  <c r="F202" i="4"/>
  <c r="F101" i="4"/>
  <c r="F80" i="4"/>
  <c r="F180" i="4"/>
  <c r="F38" i="4"/>
  <c r="F223" i="4"/>
  <c r="F217" i="4"/>
  <c r="F319" i="4"/>
  <c r="F259" i="4"/>
  <c r="F117" i="4"/>
  <c r="F302" i="4"/>
  <c r="F160" i="4"/>
  <c r="F34" i="4"/>
  <c r="F303" i="4"/>
  <c r="F155" i="4"/>
  <c r="F185" i="4"/>
  <c r="F132" i="4"/>
  <c r="F317" i="4"/>
  <c r="F168" i="4"/>
  <c r="F283" i="4"/>
  <c r="F313" i="4"/>
  <c r="F204" i="4"/>
  <c r="F126" i="4"/>
  <c r="F311" i="4"/>
  <c r="F177" i="4"/>
  <c r="F219" i="4"/>
  <c r="F314" i="4"/>
  <c r="F220" i="4"/>
  <c r="F206" i="4"/>
  <c r="F192" i="4"/>
  <c r="F66" i="4"/>
  <c r="F236" i="4"/>
  <c r="F272" i="4"/>
  <c r="F299" i="4"/>
  <c r="F221" i="4"/>
  <c r="F207" i="4"/>
  <c r="F201" i="4"/>
  <c r="F307" i="4"/>
  <c r="F286" i="4"/>
  <c r="F82" i="4"/>
  <c r="F37" i="4"/>
  <c r="F36" i="4"/>
  <c r="F271" i="4"/>
  <c r="F265" i="4"/>
  <c r="F87" i="4"/>
  <c r="F210" i="4"/>
  <c r="F215" i="4"/>
  <c r="F45" i="4"/>
  <c r="F154" i="4"/>
  <c r="F124" i="4"/>
  <c r="F167" i="4"/>
  <c r="F226" i="4"/>
  <c r="F105" i="4"/>
  <c r="F75" i="4"/>
  <c r="F246" i="4"/>
  <c r="F70" i="4"/>
  <c r="F147" i="4"/>
  <c r="F318" i="4"/>
  <c r="F50" i="4"/>
  <c r="F163" i="4"/>
  <c r="F135" i="4"/>
  <c r="F258" i="4"/>
  <c r="F293" i="4"/>
  <c r="F164" i="4"/>
  <c r="F136" i="4"/>
  <c r="F300" i="4"/>
  <c r="F59" i="4"/>
  <c r="F244" i="4"/>
  <c r="F102" i="4"/>
  <c r="F287" i="4"/>
  <c r="F281" i="4"/>
  <c r="F248" i="4"/>
  <c r="F323" i="4"/>
  <c r="F181" i="4"/>
  <c r="F39" i="4"/>
  <c r="F224" i="4"/>
  <c r="F98" i="4"/>
  <c r="F40" i="4"/>
  <c r="F212" i="4"/>
  <c r="F122" i="4"/>
  <c r="F196" i="4"/>
  <c r="F118" i="4"/>
  <c r="F232" i="4"/>
  <c r="F148" i="4"/>
  <c r="F186" i="4"/>
  <c r="F268" i="4"/>
  <c r="F190" i="4"/>
  <c r="F48" i="4"/>
  <c r="F241" i="4"/>
  <c r="F84" i="4"/>
  <c r="F35" i="4"/>
  <c r="F284" i="4"/>
  <c r="F270" i="4"/>
  <c r="F256" i="4"/>
  <c r="F130" i="4"/>
  <c r="F81" i="4"/>
  <c r="F285" i="4"/>
  <c r="F44" i="4"/>
  <c r="F187" i="4"/>
  <c r="F230" i="4"/>
  <c r="F152" i="4"/>
  <c r="F58" i="4"/>
  <c r="F309" i="4"/>
  <c r="F33" i="4"/>
  <c r="F134" i="4"/>
  <c r="F324" i="4"/>
  <c r="F169" i="4"/>
  <c r="F133" i="4"/>
  <c r="F176" i="4"/>
  <c r="F269" i="4"/>
  <c r="F149" i="4"/>
  <c r="F65" i="4"/>
  <c r="F146" i="4"/>
  <c r="F150" i="4"/>
  <c r="F138" i="4"/>
  <c r="F279" i="4"/>
  <c r="F315" i="4"/>
  <c r="F173" i="4"/>
  <c r="F31" i="4"/>
  <c r="F280" i="4"/>
  <c r="F282" i="4"/>
  <c r="F67" i="4"/>
  <c r="F252" i="4"/>
  <c r="F110" i="4"/>
  <c r="F295" i="4"/>
  <c r="F161" i="4"/>
  <c r="F54" i="4"/>
  <c r="F42" i="4"/>
  <c r="F127" i="4"/>
  <c r="F203" i="4"/>
  <c r="F125" i="4"/>
  <c r="F111" i="4"/>
  <c r="F106" i="4"/>
  <c r="F255" i="4"/>
  <c r="F275" i="4"/>
  <c r="F261" i="4"/>
  <c r="F119" i="4"/>
  <c r="F304" i="4"/>
  <c r="F178" i="4"/>
  <c r="F191" i="4"/>
  <c r="F291" i="4"/>
  <c r="F277" i="4"/>
  <c r="F263" i="4"/>
  <c r="F193" i="4"/>
  <c r="F51" i="4"/>
  <c r="F222" i="4"/>
  <c r="F107" i="4"/>
  <c r="F292" i="4"/>
  <c r="F278" i="4"/>
  <c r="F264" i="4"/>
  <c r="F266" i="4"/>
  <c r="F123" i="4"/>
  <c r="F308" i="4"/>
  <c r="F166" i="4"/>
  <c r="F88" i="4"/>
  <c r="F90" i="4"/>
  <c r="F121" i="4"/>
  <c r="F60" i="4"/>
  <c r="F245" i="4"/>
  <c r="F103" i="4"/>
  <c r="F288" i="4"/>
  <c r="F162" i="4"/>
  <c r="F296" i="4"/>
  <c r="F77" i="4"/>
  <c r="F274" i="4"/>
  <c r="F260" i="4"/>
  <c r="F182" i="4"/>
  <c r="F41" i="4"/>
  <c r="F141" i="4"/>
  <c r="F83" i="4"/>
  <c r="F69" i="4"/>
  <c r="F254" i="4"/>
  <c r="F112" i="4"/>
  <c r="F305" i="4"/>
  <c r="F276" i="4"/>
  <c r="F99" i="4"/>
  <c r="F85" i="4"/>
  <c r="F71" i="4"/>
  <c r="F320" i="4"/>
  <c r="F194" i="4"/>
  <c r="F165" i="4"/>
  <c r="F209" i="4"/>
  <c r="F100" i="4"/>
  <c r="F86" i="4"/>
  <c r="F72" i="4"/>
  <c r="F74" i="4"/>
  <c r="F172" i="4"/>
  <c r="F95" i="4"/>
  <c r="F316" i="4"/>
  <c r="F310" i="4"/>
  <c r="F189" i="4"/>
  <c r="F76" i="4"/>
  <c r="F242" i="4"/>
  <c r="F64" i="4"/>
  <c r="F171" i="4"/>
  <c r="F115" i="4"/>
  <c r="F235" i="4"/>
  <c r="F239" i="4"/>
  <c r="F257" i="4"/>
  <c r="F183" i="4"/>
  <c r="F158" i="4"/>
  <c r="F156" i="4"/>
  <c r="F120" i="4"/>
  <c r="F301" i="4"/>
  <c r="F144" i="4"/>
  <c r="F159" i="4"/>
  <c r="F53" i="4"/>
  <c r="F175" i="4"/>
  <c r="F253" i="4"/>
  <c r="F140" i="4"/>
  <c r="F306" i="4"/>
  <c r="F128" i="4"/>
  <c r="F179" i="4"/>
  <c r="F184" i="4"/>
  <c r="F93" i="4"/>
  <c r="F234" i="4"/>
  <c r="F79" i="4"/>
  <c r="F247" i="4"/>
  <c r="F267" i="4"/>
  <c r="F145" i="4"/>
  <c r="F113" i="4"/>
  <c r="F89" i="4"/>
  <c r="F174" i="4"/>
  <c r="F170" i="4"/>
  <c r="F325" i="4"/>
  <c r="F229" i="4"/>
  <c r="F96" i="4"/>
  <c r="F143" i="4"/>
  <c r="F78" i="4"/>
  <c r="F289" i="4"/>
  <c r="F137" i="4"/>
  <c r="F153" i="4"/>
  <c r="F238" i="4"/>
  <c r="F298" i="4"/>
  <c r="F104" i="4"/>
  <c r="F62" i="4"/>
  <c r="F249" i="4"/>
  <c r="F321" i="4"/>
  <c r="F157" i="4"/>
  <c r="F30" i="4"/>
  <c r="F243" i="4"/>
  <c r="F91" i="4"/>
  <c r="F225" i="4"/>
  <c r="F73" i="4"/>
  <c r="F57" i="4"/>
  <c r="F273" i="4"/>
  <c r="F52" i="4"/>
  <c r="F205" i="4"/>
  <c r="F32" i="4"/>
  <c r="F56" i="4"/>
  <c r="F92" i="4"/>
  <c r="F312" i="4"/>
  <c r="F208" i="4"/>
  <c r="F49" i="4"/>
  <c r="F195" i="4"/>
  <c r="F142" i="4"/>
  <c r="F116" i="4"/>
  <c r="F63" i="4"/>
  <c r="F108" i="4"/>
  <c r="F68" i="4"/>
  <c r="F237" i="4"/>
  <c r="F131" i="4"/>
  <c r="F151" i="4"/>
  <c r="O45" i="1"/>
  <c r="O46" i="1"/>
  <c r="O43" i="1"/>
  <c r="O44" i="1"/>
  <c r="O41" i="1"/>
  <c r="O42" i="1"/>
  <c r="G3" i="2"/>
  <c r="F4" i="2"/>
  <c r="G4" i="2" s="1"/>
  <c r="O8" i="1"/>
  <c r="O7" i="1"/>
  <c r="O9" i="1" l="1"/>
  <c r="O10" i="1" l="1"/>
  <c r="O11" i="1" l="1"/>
  <c r="O18" i="1" l="1"/>
  <c r="O13" i="1"/>
  <c r="O12" i="1"/>
  <c r="O17" i="1"/>
  <c r="O19" i="1" l="1"/>
  <c r="O20" i="1" l="1"/>
  <c r="O22" i="1"/>
  <c r="O24" i="1"/>
  <c r="O21" i="1"/>
  <c r="O23" i="1"/>
  <c r="O38" i="1" l="1"/>
  <c r="O33" i="1"/>
  <c r="O36" i="1"/>
  <c r="O26" i="1"/>
  <c r="O39" i="1"/>
  <c r="O35" i="1"/>
  <c r="O32" i="1"/>
  <c r="O27" i="1"/>
  <c r="O25" i="1"/>
  <c r="O29" i="1"/>
  <c r="O34" i="1"/>
  <c r="O37" i="1"/>
  <c r="O28" i="1"/>
  <c r="O40" i="1" l="1"/>
</calcChain>
</file>

<file path=xl/sharedStrings.xml><?xml version="1.0" encoding="utf-8"?>
<sst xmlns="http://schemas.openxmlformats.org/spreadsheetml/2006/main" count="550" uniqueCount="226">
  <si>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</si>
  <si>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</si>
  <si>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</si>
  <si>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</si>
  <si>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</si>
  <si>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</si>
  <si>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</si>
  <si>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</si>
  <si>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</si>
  <si>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</si>
  <si>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</si>
  <si>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</si>
  <si>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</si>
  <si>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</si>
  <si>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</si>
  <si>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</si>
  <si>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</si>
  <si>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</si>
  <si>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</si>
  <si>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</si>
  <si>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</si>
  <si>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</si>
  <si>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</si>
  <si>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</si>
  <si>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</si>
  <si>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</si>
  <si>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</si>
  <si>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</si>
  <si>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</si>
  <si>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</si>
  <si>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</si>
  <si>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</si>
  <si>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</si>
  <si>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</si>
  <si>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</si>
  <si>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</si>
  <si>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</si>
  <si>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</si>
  <si>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</si>
  <si>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</si>
  <si>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</si>
  <si>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</si>
  <si>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</si>
  <si>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</si>
  <si>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</si>
  <si>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</si>
  <si>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</si>
  <si>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</si>
  <si>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</si>
  <si>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</si>
  <si>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</si>
  <si>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</si>
  <si>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</si>
  <si>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</si>
  <si>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</si>
  <si>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</si>
  <si>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</si>
  <si>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</si>
  <si>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</si>
  <si>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</si>
  <si>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</si>
  <si>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</si>
  <si>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</si>
  <si>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</si>
  <si>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</si>
  <si>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</si>
  <si>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</si>
  <si>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</si>
  <si>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</si>
  <si>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</si>
  <si>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</si>
  <si>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</si>
  <si>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</si>
  <si>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</si>
  <si>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</si>
  <si>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</si>
  <si>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</si>
  <si>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</si>
  <si>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</si>
  <si>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</si>
  <si>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</si>
  <si>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</si>
  <si>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</si>
  <si>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</si>
  <si>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</si>
  <si>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</si>
  <si>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</si>
  <si>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</si>
  <si>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</si>
  <si>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</si>
  <si>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</si>
  <si>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</si>
  <si>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</si>
  <si>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</si>
  <si>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</si>
  <si>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</si>
  <si>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</si>
  <si>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</si>
  <si>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</si>
  <si>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</si>
  <si>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</si>
  <si>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</si>
  <si>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</si>
  <si>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</si>
  <si>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</si>
  <si>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</si>
  <si>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</si>
  <si>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</si>
  <si>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</si>
  <si>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</si>
  <si>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</si>
  <si>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</si>
  <si>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</si>
  <si>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</si>
  <si>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</si>
  <si>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</si>
  <si>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</si>
  <si>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</si>
  <si>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</si>
  <si>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</si>
  <si>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</si>
  <si>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</si>
  <si>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</si>
  <si>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</si>
  <si>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</si>
  <si>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</si>
  <si>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</si>
  <si>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</si>
  <si>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</si>
  <si>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</si>
  <si>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</si>
  <si>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</si>
  <si>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</si>
  <si>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</si>
  <si>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</si>
  <si>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</si>
  <si>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</si>
  <si>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</si>
  <si>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</si>
  <si>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</si>
  <si>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</si>
  <si>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</si>
  <si>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</si>
  <si>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</si>
  <si>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</si>
  <si>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</si>
  <si>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</si>
  <si>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</si>
  <si>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</si>
  <si>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</si>
  <si>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</si>
  <si>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</si>
  <si>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</si>
  <si>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</si>
  <si>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</si>
  <si>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</si>
  <si>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</si>
  <si>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</si>
  <si>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</si>
  <si>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</si>
  <si>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</si>
  <si>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</si>
  <si>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</si>
  <si>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</si>
  <si>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</si>
  <si>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</si>
  <si>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</si>
  <si>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</si>
  <si>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</si>
  <si>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</si>
  <si>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</si>
  <si>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</si>
  <si>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</si>
  <si>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</si>
  <si>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</si>
  <si>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</si>
  <si>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</si>
  <si>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</si>
  <si>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</si>
  <si>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</si>
  <si>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</si>
  <si>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</si>
  <si>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</si>
  <si>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</si>
  <si>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</si>
  <si>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</si>
  <si>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</si>
  <si>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</si>
  <si>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</si>
  <si>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</si>
  <si>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</si>
  <si>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</si>
  <si>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</si>
  <si>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</si>
  <si>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</si>
  <si>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</si>
  <si>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</si>
  <si>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</si>
  <si>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Pick_x000D_
Parlay_x000D_
Prop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</si>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</sst>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29"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15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15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695324</xdr:colOff>
      <xdr:row>15</xdr:row>
      <xdr:rowOff>138111</xdr:rowOff>
    </xdr:from>
    <xdr:to>
      <xdr:col>22</xdr:col>
      <xdr:colOff>19049</xdr:colOff>
      <xdr:row>345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G63" activePane="bottomRight" state="frozen"/>
      <selection pane="topRight" activeCell="B1" sqref="B1"/>
      <selection pane="bottomLeft" activeCell="A2" sqref="A2"/>
      <selection pane="bottomRight" activeCell="O83" sqref="O83"/>
    </sheetView>
  </sheetViews>
  <sheetFormatPr defaultRowHeight="14.4" x14ac:dyDescent="0.3"/>
  <cols>
    <col min="1" max="1" width="5.6640625" bestFit="1" customWidth="1"/>
    <col min="2" max="2" width="11.88671875" bestFit="1" customWidth="1"/>
    <col min="3" max="3" width="14.6640625" bestFit="1" customWidth="1"/>
    <col min="4" max="4" width="7.33203125" style="1" bestFit="1" customWidth="1"/>
    <col min="5" max="5" width="6.44140625" bestFit="1" customWidth="1"/>
    <col min="6" max="6" width="24.6640625" customWidth="1"/>
    <col min="7" max="7" width="23.33203125" bestFit="1" customWidth="1"/>
    <col min="8" max="8" width="21.109375" customWidth="1"/>
    <col min="9" max="9" width="7.88671875" bestFit="1" customWidth="1"/>
    <col min="10" max="10" width="10.44140625" bestFit="1" customWidth="1"/>
    <col min="11" max="11" width="9" bestFit="1" customWidth="1"/>
    <col min="12" max="12" width="9.109375" bestFit="1" customWidth="1"/>
    <col min="13" max="13" width="8.88671875" bestFit="1" customWidth="1"/>
    <col min="14" max="15" width="11.6640625" bestFit="1" customWidth="1"/>
    <col min="16" max="16" width="10" bestFit="1" customWidth="1"/>
    <col min="17" max="17" width="18.109375" bestFit="1" customWidth="1"/>
    <col min="18" max="18" width="9.109375" customWidth="1"/>
  </cols>
  <sheetData>
    <row r="1" spans="1:18" s="1" customFormat="1" x14ac:dyDescent="0.3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3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3">
      <c r="A3">
        <f t="shared" ref="A3:A32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3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3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3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3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3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3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3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3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3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3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IF(F13="PARLAY",(PRODUCT(OFFSET(J13,1,0,COUNTIF(A:A,A13)-1))-1)*100)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1</v>
      </c>
    </row>
    <row r="14" spans="1:18" x14ac:dyDescent="0.3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3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3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3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3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3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3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3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3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3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3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3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1</v>
      </c>
    </row>
    <row r="26" spans="1:18" x14ac:dyDescent="0.3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3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3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3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IF(F29="PARLAY",(PRODUCT(OFFSET(J29,1,0,COUNTIF(A:A,A29)-1))-1)*100)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1</v>
      </c>
    </row>
    <row r="30" spans="1:18" x14ac:dyDescent="0.3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1</v>
      </c>
    </row>
    <row r="31" spans="1:18" x14ac:dyDescent="0.3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1</v>
      </c>
    </row>
    <row r="32" spans="1:18" x14ac:dyDescent="0.3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3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3">
      <c r="A34">
        <f t="shared" ref="A34:A97" si="6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3">
      <c r="A35">
        <f t="shared" si="6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IF(F35="PARLAY",(PRODUCT(OFFSET(J35,1,0,COUNTIF(A:A,A35)-1))-1)*100)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1</v>
      </c>
    </row>
    <row r="36" spans="1:18" x14ac:dyDescent="0.3">
      <c r="A36">
        <f t="shared" si="6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3">
      <c r="A37">
        <f t="shared" si="6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3">
      <c r="A38">
        <f t="shared" si="6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3">
      <c r="A39">
        <f t="shared" si="6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3">
      <c r="A40">
        <f t="shared" si="6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7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3">
      <c r="A41">
        <f t="shared" si="6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7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3">
      <c r="A42">
        <f t="shared" si="6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7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1</v>
      </c>
    </row>
    <row r="43" spans="1:18" x14ac:dyDescent="0.3">
      <c r="A43">
        <f t="shared" si="6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7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3">
      <c r="A44">
        <f t="shared" si="6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7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1</v>
      </c>
    </row>
    <row r="45" spans="1:18" x14ac:dyDescent="0.3">
      <c r="A45">
        <f t="shared" si="6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7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3">
      <c r="A46">
        <f t="shared" si="6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7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1</v>
      </c>
    </row>
    <row r="47" spans="1:18" x14ac:dyDescent="0.3">
      <c r="A47">
        <f t="shared" si="6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7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1</v>
      </c>
    </row>
    <row r="48" spans="1:18" x14ac:dyDescent="0.3">
      <c r="A48">
        <f t="shared" si="6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7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1</v>
      </c>
    </row>
    <row r="49" spans="1:18" x14ac:dyDescent="0.3">
      <c r="A49">
        <f t="shared" si="6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7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3">
      <c r="A50">
        <f t="shared" si="6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8">IFERROR(IF(K50=0, "", IF(I50&gt;0, K50/100*I50,K50/I50*-100)), "")</f>
        <v>25.5</v>
      </c>
      <c r="M50" t="s">
        <v>22</v>
      </c>
      <c r="N50" s="3">
        <f t="shared" si="7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3">
      <c r="A51">
        <f t="shared" si="6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8"/>
        <v>5</v>
      </c>
      <c r="M51" t="s">
        <v>25</v>
      </c>
      <c r="N51" s="3">
        <f t="shared" si="7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3">
      <c r="A52">
        <f t="shared" si="6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8"/>
        <v>5</v>
      </c>
      <c r="M52" t="s">
        <v>25</v>
      </c>
      <c r="N52" s="3">
        <f t="shared" si="7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3">
      <c r="A53">
        <f t="shared" si="6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8"/>
        <v>3</v>
      </c>
      <c r="M53" t="s">
        <v>25</v>
      </c>
      <c r="N53" s="3">
        <f t="shared" si="7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3">
      <c r="A54">
        <f t="shared" si="6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8"/>
        <v>2</v>
      </c>
      <c r="M54" t="s">
        <v>25</v>
      </c>
      <c r="N54" s="3">
        <f t="shared" si="7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3">
      <c r="A55">
        <f t="shared" si="6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8"/>
        <v>15</v>
      </c>
      <c r="M55" t="s">
        <v>25</v>
      </c>
      <c r="N55" s="3">
        <f t="shared" si="7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1</v>
      </c>
    </row>
    <row r="56" spans="1:18" x14ac:dyDescent="0.3">
      <c r="A56">
        <f t="shared" si="6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8"/>
        <v>6.9999999999999991</v>
      </c>
      <c r="M56" t="s">
        <v>25</v>
      </c>
      <c r="N56" s="3">
        <f t="shared" si="7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1</v>
      </c>
    </row>
    <row r="57" spans="1:18" x14ac:dyDescent="0.3">
      <c r="A57">
        <f t="shared" si="6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8"/>
        <v>10</v>
      </c>
      <c r="M57" t="s">
        <v>25</v>
      </c>
      <c r="N57" s="3">
        <f t="shared" si="7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3">
      <c r="A58">
        <f t="shared" si="6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8"/>
        <v>15</v>
      </c>
      <c r="M58" t="s">
        <v>178</v>
      </c>
      <c r="N58" s="3">
        <f t="shared" si="7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3">
      <c r="A59">
        <f t="shared" si="6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8"/>
        <v>47</v>
      </c>
      <c r="M59" t="s">
        <v>22</v>
      </c>
      <c r="N59" s="3">
        <f t="shared" si="7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3">
      <c r="A60">
        <f t="shared" si="6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8"/>
        <v>2.9</v>
      </c>
      <c r="M60" t="s">
        <v>22</v>
      </c>
      <c r="N60" s="3">
        <f t="shared" si="7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3">
      <c r="A61">
        <f t="shared" si="6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8"/>
        <v>16</v>
      </c>
      <c r="M61" t="s">
        <v>22</v>
      </c>
      <c r="N61" s="3">
        <f t="shared" si="7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3">
      <c r="A62">
        <f t="shared" si="6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8"/>
        <v>25</v>
      </c>
      <c r="M62" t="s">
        <v>25</v>
      </c>
      <c r="N62" s="3">
        <f t="shared" si="7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3">
      <c r="A63">
        <f t="shared" si="6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8"/>
        <v>17</v>
      </c>
      <c r="M63" t="s">
        <v>22</v>
      </c>
      <c r="N63" s="3">
        <f t="shared" si="7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3">
      <c r="A64">
        <f t="shared" si="6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8"/>
        <v>17.25</v>
      </c>
      <c r="M64" t="s">
        <v>22</v>
      </c>
      <c r="N64" s="3">
        <f t="shared" si="7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3">
      <c r="A65">
        <f t="shared" si="6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8"/>
        <v>25</v>
      </c>
      <c r="M65" t="s">
        <v>25</v>
      </c>
      <c r="N65" s="3">
        <f t="shared" si="7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1</v>
      </c>
    </row>
    <row r="66" spans="1:18" x14ac:dyDescent="0.3">
      <c r="A66">
        <f t="shared" si="6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9">IF(I66="", "", IF(I66&gt;0, I66/100 +1, -100/I66 +1))</f>
        <v>3</v>
      </c>
      <c r="K66" s="3">
        <v>5</v>
      </c>
      <c r="L66" s="3">
        <f t="shared" si="8"/>
        <v>10</v>
      </c>
      <c r="M66" t="s">
        <v>22</v>
      </c>
      <c r="N66" s="3">
        <f t="shared" si="7"/>
        <v>-5</v>
      </c>
      <c r="O66" s="6">
        <f t="shared" ref="O66:O129" ca="1" si="10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1</v>
      </c>
    </row>
    <row r="67" spans="1:18" x14ac:dyDescent="0.3">
      <c r="A67">
        <f t="shared" si="6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199</v>
      </c>
      <c r="G67" t="s">
        <v>200</v>
      </c>
      <c r="I67" s="8">
        <v>-120</v>
      </c>
      <c r="J67" s="5">
        <f t="shared" si="9"/>
        <v>1.8333333333333335</v>
      </c>
      <c r="K67" s="3">
        <v>12</v>
      </c>
      <c r="L67" s="3">
        <f t="shared" si="8"/>
        <v>10</v>
      </c>
      <c r="M67" t="s">
        <v>22</v>
      </c>
      <c r="N67" s="3">
        <f t="shared" si="7"/>
        <v>-12</v>
      </c>
      <c r="O67" s="6">
        <f t="shared" ca="1" si="10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3">
      <c r="A68">
        <f t="shared" si="6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201</v>
      </c>
      <c r="G68" t="s">
        <v>202</v>
      </c>
      <c r="I68" s="8">
        <v>175</v>
      </c>
      <c r="J68" s="5">
        <f t="shared" si="9"/>
        <v>2.75</v>
      </c>
      <c r="K68" s="3">
        <v>5</v>
      </c>
      <c r="L68" s="3">
        <f t="shared" si="8"/>
        <v>8.75</v>
      </c>
      <c r="M68" t="s">
        <v>25</v>
      </c>
      <c r="N68" s="3">
        <f t="shared" si="7"/>
        <v>8.75</v>
      </c>
      <c r="O68" s="6">
        <f t="shared" ca="1" si="10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3">
      <c r="A69">
        <f t="shared" si="6"/>
        <v>59</v>
      </c>
      <c r="B69" s="4">
        <v>43519</v>
      </c>
      <c r="C69" t="s">
        <v>203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IF(F69="PARLAY",(PRODUCT(OFFSET(J69,1,0,COUNTIF(A:A,A69)-1))-1)*100)</f>
        <v>1166.0693153000843</v>
      </c>
      <c r="J69" s="5">
        <f t="shared" ca="1" si="9"/>
        <v>12.660693153000842</v>
      </c>
      <c r="K69" s="3">
        <v>5</v>
      </c>
      <c r="L69" s="3">
        <f t="shared" ca="1" si="8"/>
        <v>58.303465765004219</v>
      </c>
      <c r="M69" t="s">
        <v>22</v>
      </c>
      <c r="N69" s="3">
        <f t="shared" ca="1" si="7"/>
        <v>-5</v>
      </c>
      <c r="O69" s="6">
        <f t="shared" ca="1" si="10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1</v>
      </c>
    </row>
    <row r="70" spans="1:18" x14ac:dyDescent="0.3">
      <c r="A70">
        <f t="shared" si="6"/>
        <v>59</v>
      </c>
      <c r="B70" s="4"/>
      <c r="D70" s="1" t="s">
        <v>88</v>
      </c>
      <c r="E70" t="s">
        <v>84</v>
      </c>
      <c r="F70" t="s">
        <v>204</v>
      </c>
      <c r="G70" t="s">
        <v>205</v>
      </c>
      <c r="I70" s="8">
        <v>-140</v>
      </c>
      <c r="J70" s="5">
        <f t="shared" si="9"/>
        <v>1.7142857142857144</v>
      </c>
      <c r="K70" s="3"/>
      <c r="L70" s="3" t="str">
        <f t="shared" si="8"/>
        <v/>
      </c>
      <c r="M70" t="s">
        <v>22</v>
      </c>
      <c r="N70" s="3" t="str">
        <f t="shared" si="7"/>
        <v/>
      </c>
      <c r="O70" s="6" t="str">
        <f t="shared" si="10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3">
      <c r="A71">
        <f t="shared" si="6"/>
        <v>59</v>
      </c>
      <c r="B71" s="4"/>
      <c r="D71" s="1" t="s">
        <v>88</v>
      </c>
      <c r="E71" t="s">
        <v>84</v>
      </c>
      <c r="F71" t="s">
        <v>206</v>
      </c>
      <c r="G71" t="s">
        <v>207</v>
      </c>
      <c r="I71" s="8">
        <v>-260</v>
      </c>
      <c r="J71" s="5">
        <f t="shared" si="9"/>
        <v>1.3846153846153846</v>
      </c>
      <c r="K71" s="3"/>
      <c r="L71" s="3" t="str">
        <f t="shared" si="8"/>
        <v/>
      </c>
      <c r="M71" t="s">
        <v>25</v>
      </c>
      <c r="N71" s="3" t="str">
        <f t="shared" si="7"/>
        <v/>
      </c>
      <c r="O71" s="6" t="str">
        <f t="shared" si="10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3">
      <c r="A72">
        <f t="shared" si="6"/>
        <v>59</v>
      </c>
      <c r="B72" s="4"/>
      <c r="D72" s="1" t="s">
        <v>88</v>
      </c>
      <c r="E72" t="s">
        <v>84</v>
      </c>
      <c r="F72" t="s">
        <v>208</v>
      </c>
      <c r="G72" t="s">
        <v>209</v>
      </c>
      <c r="I72" s="8">
        <v>120</v>
      </c>
      <c r="J72" s="5">
        <f t="shared" si="9"/>
        <v>2.2000000000000002</v>
      </c>
      <c r="K72" s="3"/>
      <c r="L72" s="3" t="str">
        <f t="shared" si="8"/>
        <v/>
      </c>
      <c r="M72" t="s">
        <v>25</v>
      </c>
      <c r="N72" s="3" t="str">
        <f t="shared" si="7"/>
        <v/>
      </c>
      <c r="O72" s="6" t="str">
        <f t="shared" si="10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3">
      <c r="A73">
        <f t="shared" si="6"/>
        <v>59</v>
      </c>
      <c r="B73" s="4"/>
      <c r="D73" s="1" t="s">
        <v>88</v>
      </c>
      <c r="E73" t="s">
        <v>84</v>
      </c>
      <c r="F73" t="s">
        <v>210</v>
      </c>
      <c r="G73" t="s">
        <v>211</v>
      </c>
      <c r="I73" s="8">
        <v>-130</v>
      </c>
      <c r="J73" s="5">
        <f t="shared" si="9"/>
        <v>1.7692307692307692</v>
      </c>
      <c r="K73" s="3"/>
      <c r="L73" s="3" t="str">
        <f t="shared" si="8"/>
        <v/>
      </c>
      <c r="M73" t="s">
        <v>22</v>
      </c>
      <c r="N73" s="3" t="str">
        <f t="shared" si="7"/>
        <v/>
      </c>
      <c r="O73" s="6" t="str">
        <f t="shared" si="10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3">
      <c r="A74">
        <f t="shared" si="6"/>
        <v>59</v>
      </c>
      <c r="B74" s="4"/>
      <c r="D74" s="1" t="s">
        <v>88</v>
      </c>
      <c r="E74" t="s">
        <v>84</v>
      </c>
      <c r="F74" t="s">
        <v>212</v>
      </c>
      <c r="G74" t="s">
        <v>213</v>
      </c>
      <c r="I74" s="8">
        <v>-270</v>
      </c>
      <c r="J74" s="5">
        <f t="shared" si="9"/>
        <v>1.3703703703703702</v>
      </c>
      <c r="K74" s="3"/>
      <c r="L74" s="3" t="str">
        <f t="shared" si="8"/>
        <v/>
      </c>
      <c r="M74" t="s">
        <v>25</v>
      </c>
      <c r="N74" s="3" t="str">
        <f t="shared" si="7"/>
        <v/>
      </c>
      <c r="O74" s="6" t="str">
        <f t="shared" si="10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3">
      <c r="A75">
        <f t="shared" si="6"/>
        <v>60</v>
      </c>
      <c r="B75" s="4">
        <v>43519</v>
      </c>
      <c r="C75" t="s">
        <v>203</v>
      </c>
      <c r="D75" s="1" t="s">
        <v>88</v>
      </c>
      <c r="E75" t="s">
        <v>84</v>
      </c>
      <c r="F75" t="s">
        <v>214</v>
      </c>
      <c r="G75" t="s">
        <v>215</v>
      </c>
      <c r="I75" s="8">
        <v>-110</v>
      </c>
      <c r="J75" s="5">
        <f t="shared" si="9"/>
        <v>1.9090909090909092</v>
      </c>
      <c r="K75" s="3">
        <v>5.5</v>
      </c>
      <c r="L75" s="3">
        <f t="shared" si="8"/>
        <v>5</v>
      </c>
      <c r="M75" t="s">
        <v>25</v>
      </c>
      <c r="N75" s="3">
        <f t="shared" si="7"/>
        <v>5</v>
      </c>
      <c r="O75" s="6">
        <f t="shared" ca="1" si="10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3">
      <c r="A76">
        <f t="shared" si="6"/>
        <v>61</v>
      </c>
      <c r="B76" s="4">
        <v>43519</v>
      </c>
      <c r="C76" t="s">
        <v>203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IF(F76="PARLAY",(PRODUCT(OFFSET(J76,1,0,COUNTIF(A:A,A76)-1))-1)*100)</f>
        <v>681.11111111111109</v>
      </c>
      <c r="J76" s="5">
        <f t="shared" ca="1" si="9"/>
        <v>7.8111111111111109</v>
      </c>
      <c r="K76" s="3">
        <v>3</v>
      </c>
      <c r="L76" s="3">
        <f t="shared" ca="1" si="8"/>
        <v>20.433333333333334</v>
      </c>
      <c r="M76" t="s">
        <v>22</v>
      </c>
      <c r="N76" s="3">
        <f t="shared" ca="1" si="7"/>
        <v>-3</v>
      </c>
      <c r="O76" s="6">
        <f t="shared" ca="1" si="10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1</v>
      </c>
    </row>
    <row r="77" spans="1:18" x14ac:dyDescent="0.3">
      <c r="A77">
        <f t="shared" si="6"/>
        <v>61</v>
      </c>
      <c r="B77" s="4"/>
      <c r="D77" s="1" t="s">
        <v>88</v>
      </c>
      <c r="E77" t="s">
        <v>84</v>
      </c>
      <c r="F77" t="s">
        <v>216</v>
      </c>
      <c r="G77" t="s">
        <v>217</v>
      </c>
      <c r="H77" t="s">
        <v>218</v>
      </c>
      <c r="I77" s="8">
        <v>470</v>
      </c>
      <c r="J77" s="5">
        <f t="shared" si="9"/>
        <v>5.7</v>
      </c>
      <c r="K77" s="3"/>
      <c r="L77" s="3" t="str">
        <f t="shared" si="8"/>
        <v/>
      </c>
      <c r="M77" t="s">
        <v>22</v>
      </c>
      <c r="N77" s="3" t="str">
        <f t="shared" si="7"/>
        <v/>
      </c>
      <c r="O77" s="6" t="str">
        <f t="shared" si="10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3">
      <c r="A78">
        <f t="shared" si="6"/>
        <v>61</v>
      </c>
      <c r="B78" s="4"/>
      <c r="D78" s="1" t="s">
        <v>88</v>
      </c>
      <c r="E78" t="s">
        <v>84</v>
      </c>
      <c r="F78" t="s">
        <v>212</v>
      </c>
      <c r="G78" t="s">
        <v>213</v>
      </c>
      <c r="I78" s="8">
        <v>-270</v>
      </c>
      <c r="J78" s="5">
        <f t="shared" si="9"/>
        <v>1.3703703703703702</v>
      </c>
      <c r="K78" s="3"/>
      <c r="L78" s="3" t="str">
        <f t="shared" si="8"/>
        <v/>
      </c>
      <c r="M78" t="s">
        <v>25</v>
      </c>
      <c r="N78" s="3" t="str">
        <f t="shared" si="7"/>
        <v/>
      </c>
      <c r="O78" s="6" t="str">
        <f t="shared" si="10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3">
      <c r="A79">
        <f t="shared" si="6"/>
        <v>62</v>
      </c>
      <c r="B79" s="4">
        <v>43519</v>
      </c>
      <c r="C79" t="s">
        <v>203</v>
      </c>
      <c r="D79" s="1" t="s">
        <v>81</v>
      </c>
      <c r="E79" t="s">
        <v>84</v>
      </c>
      <c r="F79" t="s">
        <v>219</v>
      </c>
      <c r="G79" t="s">
        <v>220</v>
      </c>
      <c r="H79" t="s">
        <v>221</v>
      </c>
      <c r="I79" s="8">
        <v>334</v>
      </c>
      <c r="J79" s="5">
        <f t="shared" si="9"/>
        <v>4.34</v>
      </c>
      <c r="K79" s="3">
        <v>7</v>
      </c>
      <c r="L79" s="3">
        <f t="shared" si="8"/>
        <v>23.380000000000003</v>
      </c>
      <c r="M79" t="s">
        <v>22</v>
      </c>
      <c r="N79" s="3">
        <f t="shared" si="7"/>
        <v>-7</v>
      </c>
      <c r="O79" s="6">
        <f t="shared" ca="1" si="10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1</v>
      </c>
    </row>
    <row r="80" spans="1:18" x14ac:dyDescent="0.3">
      <c r="A80">
        <f t="shared" si="6"/>
        <v>63</v>
      </c>
      <c r="B80" s="4">
        <v>43519</v>
      </c>
      <c r="C80" t="s">
        <v>203</v>
      </c>
      <c r="D80" s="1" t="s">
        <v>88</v>
      </c>
      <c r="E80" t="s">
        <v>84</v>
      </c>
      <c r="F80" t="s">
        <v>222</v>
      </c>
      <c r="G80" t="s">
        <v>223</v>
      </c>
      <c r="I80" s="8">
        <v>165</v>
      </c>
      <c r="J80" s="5">
        <f t="shared" si="9"/>
        <v>2.65</v>
      </c>
      <c r="K80" s="3">
        <v>5</v>
      </c>
      <c r="L80" s="3">
        <f t="shared" si="8"/>
        <v>8.25</v>
      </c>
      <c r="M80" t="s">
        <v>22</v>
      </c>
      <c r="N80" s="3">
        <f t="shared" si="7"/>
        <v>-5</v>
      </c>
      <c r="O80" s="6">
        <f t="shared" ca="1" si="10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3">
      <c r="A81">
        <f t="shared" si="6"/>
        <v>64</v>
      </c>
      <c r="B81" s="4">
        <v>43519</v>
      </c>
      <c r="C81" t="s">
        <v>203</v>
      </c>
      <c r="D81" s="1" t="s">
        <v>88</v>
      </c>
      <c r="E81" t="s">
        <v>84</v>
      </c>
      <c r="F81" t="s">
        <v>224</v>
      </c>
      <c r="G81" t="s">
        <v>225</v>
      </c>
      <c r="I81" s="8">
        <v>140</v>
      </c>
      <c r="J81" s="5">
        <f t="shared" si="9"/>
        <v>2.4</v>
      </c>
      <c r="K81" s="3">
        <v>5</v>
      </c>
      <c r="L81" s="3">
        <f t="shared" si="8"/>
        <v>7</v>
      </c>
      <c r="M81" t="s">
        <v>22</v>
      </c>
      <c r="N81" s="3">
        <f t="shared" si="7"/>
        <v>-5</v>
      </c>
      <c r="O81" s="6">
        <f t="shared" ca="1" si="10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3">
      <c r="A82">
        <f t="shared" si="6"/>
        <v>65</v>
      </c>
      <c r="B82" s="4">
        <v>43519</v>
      </c>
      <c r="C82" t="s">
        <v>203</v>
      </c>
      <c r="D82" s="1" t="s">
        <v>88</v>
      </c>
      <c r="E82" t="s">
        <v>84</v>
      </c>
      <c r="F82" t="s">
        <v>208</v>
      </c>
      <c r="G82" t="s">
        <v>209</v>
      </c>
      <c r="I82" s="8">
        <v>-120</v>
      </c>
      <c r="J82" s="5">
        <f t="shared" si="9"/>
        <v>1.8333333333333335</v>
      </c>
      <c r="K82" s="3">
        <v>4.8</v>
      </c>
      <c r="L82" s="3">
        <f t="shared" si="8"/>
        <v>4</v>
      </c>
      <c r="M82" t="s">
        <v>25</v>
      </c>
      <c r="N82" s="3">
        <f t="shared" si="7"/>
        <v>4</v>
      </c>
      <c r="O82" s="6">
        <f t="shared" ca="1" si="10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3">
      <c r="A83">
        <f t="shared" si="6"/>
        <v>66</v>
      </c>
      <c r="B83" s="4"/>
      <c r="I83" s="8"/>
      <c r="J83" s="5" t="str">
        <f t="shared" si="9"/>
        <v/>
      </c>
      <c r="K83" s="3"/>
      <c r="L83" s="3" t="str">
        <f t="shared" si="8"/>
        <v/>
      </c>
      <c r="N83" s="3" t="str">
        <f t="shared" si="7"/>
        <v/>
      </c>
      <c r="O83" s="6" t="str">
        <f t="shared" si="10"/>
        <v/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0</v>
      </c>
    </row>
    <row r="84" spans="1:18" x14ac:dyDescent="0.3">
      <c r="A84">
        <f t="shared" si="6"/>
        <v>67</v>
      </c>
      <c r="B84" s="4"/>
      <c r="I84" s="8"/>
      <c r="J84" s="5" t="str">
        <f t="shared" si="9"/>
        <v/>
      </c>
      <c r="K84" s="3"/>
      <c r="L84" s="3" t="str">
        <f t="shared" si="8"/>
        <v/>
      </c>
      <c r="N84" s="3" t="str">
        <f t="shared" si="7"/>
        <v/>
      </c>
      <c r="O84" s="6" t="str">
        <f t="shared" si="10"/>
        <v/>
      </c>
      <c r="P84" s="7">
        <f ca="1">SUMIFS($N$2:$N84,$B$2:$B84,"&lt;&gt;"&amp;B84)+SUM($Q$2:$Q84)</f>
        <v>135.05500000000001</v>
      </c>
      <c r="R84" t="b">
        <f>AND(ISNUMBER(FIND($E84,Tables!$I$2)), ISNUMBER(FIND($D84,Tables!$J$2)), $E84&lt;&gt;"")</f>
        <v>0</v>
      </c>
    </row>
    <row r="85" spans="1:18" x14ac:dyDescent="0.3">
      <c r="A85">
        <f t="shared" si="6"/>
        <v>68</v>
      </c>
      <c r="B85" s="4"/>
      <c r="I85" s="8"/>
      <c r="J85" s="5" t="str">
        <f t="shared" si="9"/>
        <v/>
      </c>
      <c r="K85" s="3"/>
      <c r="L85" s="3" t="str">
        <f t="shared" si="8"/>
        <v/>
      </c>
      <c r="N85" s="3" t="str">
        <f t="shared" si="7"/>
        <v/>
      </c>
      <c r="O85" s="6" t="str">
        <f t="shared" si="10"/>
        <v/>
      </c>
      <c r="P85" s="7">
        <f ca="1">SUMIFS($N$2:$N85,$B$2:$B85,"&lt;&gt;"&amp;B85)+SUM($Q$2:$Q85)</f>
        <v>135.05500000000001</v>
      </c>
      <c r="R85" t="b">
        <f>AND(ISNUMBER(FIND($E85,Tables!$I$2)), ISNUMBER(FIND($D85,Tables!$J$2)), $E85&lt;&gt;"")</f>
        <v>0</v>
      </c>
    </row>
    <row r="86" spans="1:18" x14ac:dyDescent="0.3">
      <c r="A86">
        <f t="shared" si="6"/>
        <v>69</v>
      </c>
      <c r="B86" s="4"/>
      <c r="I86" s="8"/>
      <c r="J86" s="5" t="str">
        <f t="shared" si="9"/>
        <v/>
      </c>
      <c r="K86" s="3"/>
      <c r="L86" s="3" t="str">
        <f t="shared" si="8"/>
        <v/>
      </c>
      <c r="N86" s="3" t="str">
        <f t="shared" si="7"/>
        <v/>
      </c>
      <c r="O86" s="6" t="str">
        <f t="shared" si="10"/>
        <v/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0</v>
      </c>
    </row>
    <row r="87" spans="1:18" x14ac:dyDescent="0.3">
      <c r="A87">
        <f t="shared" si="6"/>
        <v>70</v>
      </c>
      <c r="B87" s="4"/>
      <c r="I87" s="8"/>
      <c r="J87" s="5" t="str">
        <f t="shared" si="9"/>
        <v/>
      </c>
      <c r="K87" s="3"/>
      <c r="L87" s="3" t="str">
        <f t="shared" si="8"/>
        <v/>
      </c>
      <c r="N87" s="3" t="str">
        <f t="shared" si="7"/>
        <v/>
      </c>
      <c r="O87" s="6" t="str">
        <f t="shared" si="10"/>
        <v/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0</v>
      </c>
    </row>
    <row r="88" spans="1:18" x14ac:dyDescent="0.3">
      <c r="A88">
        <f t="shared" si="6"/>
        <v>71</v>
      </c>
      <c r="B88" s="4"/>
      <c r="I88" s="8"/>
      <c r="J88" s="5" t="str">
        <f t="shared" si="9"/>
        <v/>
      </c>
      <c r="K88" s="3"/>
      <c r="L88" s="3" t="str">
        <f t="shared" si="8"/>
        <v/>
      </c>
      <c r="N88" s="3" t="str">
        <f t="shared" si="7"/>
        <v/>
      </c>
      <c r="O88" s="6" t="str">
        <f t="shared" si="10"/>
        <v/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0</v>
      </c>
    </row>
    <row r="89" spans="1:18" x14ac:dyDescent="0.3">
      <c r="A89">
        <f t="shared" si="6"/>
        <v>72</v>
      </c>
      <c r="B89" s="4"/>
      <c r="I89" s="8"/>
      <c r="J89" s="5" t="str">
        <f t="shared" si="9"/>
        <v/>
      </c>
      <c r="K89" s="3"/>
      <c r="L89" s="3" t="str">
        <f t="shared" si="8"/>
        <v/>
      </c>
      <c r="N89" s="3" t="str">
        <f t="shared" si="7"/>
        <v/>
      </c>
      <c r="O89" s="6" t="str">
        <f t="shared" si="10"/>
        <v/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0</v>
      </c>
    </row>
    <row r="90" spans="1:18" x14ac:dyDescent="0.3">
      <c r="A90">
        <f t="shared" si="6"/>
        <v>73</v>
      </c>
      <c r="B90" s="4"/>
      <c r="I90" s="8"/>
      <c r="J90" s="5" t="str">
        <f t="shared" si="9"/>
        <v/>
      </c>
      <c r="K90" s="3"/>
      <c r="L90" s="3" t="str">
        <f t="shared" si="8"/>
        <v/>
      </c>
      <c r="N90" s="3" t="str">
        <f t="shared" si="7"/>
        <v/>
      </c>
      <c r="O90" s="6" t="str">
        <f t="shared" si="10"/>
        <v/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3">
      <c r="A91">
        <f t="shared" si="6"/>
        <v>74</v>
      </c>
      <c r="B91" s="4"/>
      <c r="I91" s="8"/>
      <c r="J91" s="5" t="str">
        <f t="shared" si="9"/>
        <v/>
      </c>
      <c r="K91" s="3"/>
      <c r="L91" s="3" t="str">
        <f t="shared" si="8"/>
        <v/>
      </c>
      <c r="N91" s="3" t="str">
        <f t="shared" si="7"/>
        <v/>
      </c>
      <c r="O91" s="6" t="str">
        <f t="shared" si="10"/>
        <v/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0</v>
      </c>
    </row>
    <row r="92" spans="1:18" x14ac:dyDescent="0.3">
      <c r="A92">
        <f t="shared" si="6"/>
        <v>75</v>
      </c>
      <c r="B92" s="4"/>
      <c r="I92" s="8"/>
      <c r="J92" s="5" t="str">
        <f t="shared" si="9"/>
        <v/>
      </c>
      <c r="K92" s="3"/>
      <c r="L92" s="3" t="str">
        <f t="shared" si="8"/>
        <v/>
      </c>
      <c r="N92" s="3" t="str">
        <f t="shared" si="7"/>
        <v/>
      </c>
      <c r="O92" s="6" t="str">
        <f t="shared" si="10"/>
        <v/>
      </c>
      <c r="P92" s="7">
        <f ca="1">SUMIFS($N$2:$N92,$B$2:$B92,"&lt;&gt;"&amp;B92)+SUM($Q$2:$Q92)</f>
        <v>135.05500000000001</v>
      </c>
      <c r="R92" t="b">
        <f>AND(ISNUMBER(FIND($E92,Tables!$I$2)), ISNUMBER(FIND($D92,Tables!$J$2)), $E92&lt;&gt;"")</f>
        <v>0</v>
      </c>
    </row>
    <row r="93" spans="1:18" x14ac:dyDescent="0.3">
      <c r="A93">
        <f t="shared" si="6"/>
        <v>76</v>
      </c>
      <c r="B93" s="4"/>
      <c r="I93" s="8"/>
      <c r="J93" s="5" t="str">
        <f t="shared" si="9"/>
        <v/>
      </c>
      <c r="K93" s="3"/>
      <c r="L93" s="3" t="str">
        <f t="shared" si="8"/>
        <v/>
      </c>
      <c r="N93" s="3" t="str">
        <f t="shared" si="7"/>
        <v/>
      </c>
      <c r="O93" s="6" t="str">
        <f t="shared" si="10"/>
        <v/>
      </c>
      <c r="P93" s="7">
        <f ca="1">SUMIFS($N$2:$N93,$B$2:$B93,"&lt;&gt;"&amp;B93)+SUM($Q$2:$Q93)</f>
        <v>135.05500000000001</v>
      </c>
      <c r="R93" t="b">
        <f>AND(ISNUMBER(FIND($E93,Tables!$I$2)), ISNUMBER(FIND($D93,Tables!$J$2)), $E93&lt;&gt;"")</f>
        <v>0</v>
      </c>
    </row>
    <row r="94" spans="1:18" x14ac:dyDescent="0.3">
      <c r="A94">
        <f t="shared" si="6"/>
        <v>77</v>
      </c>
      <c r="B94" s="4"/>
      <c r="I94" s="8"/>
      <c r="J94" s="5" t="str">
        <f t="shared" si="9"/>
        <v/>
      </c>
      <c r="K94" s="3"/>
      <c r="L94" s="3" t="str">
        <f t="shared" si="8"/>
        <v/>
      </c>
      <c r="N94" s="3" t="str">
        <f t="shared" si="7"/>
        <v/>
      </c>
      <c r="O94" s="6" t="str">
        <f t="shared" si="10"/>
        <v/>
      </c>
      <c r="P94" s="7">
        <f ca="1">SUMIFS($N$2:$N94,$B$2:$B94,"&lt;&gt;"&amp;B94)+SUM($Q$2:$Q94)</f>
        <v>135.05500000000001</v>
      </c>
      <c r="R94" t="b">
        <f>AND(ISNUMBER(FIND($E94,Tables!$I$2)), ISNUMBER(FIND($D94,Tables!$J$2)), $E94&lt;&gt;"")</f>
        <v>0</v>
      </c>
    </row>
    <row r="95" spans="1:18" x14ac:dyDescent="0.3">
      <c r="A95">
        <f t="shared" si="6"/>
        <v>78</v>
      </c>
      <c r="B95" s="4"/>
      <c r="I95" s="8"/>
      <c r="J95" s="5" t="str">
        <f t="shared" si="9"/>
        <v/>
      </c>
      <c r="K95" s="3"/>
      <c r="L95" s="3" t="str">
        <f t="shared" si="8"/>
        <v/>
      </c>
      <c r="N95" s="3" t="str">
        <f t="shared" si="7"/>
        <v/>
      </c>
      <c r="O95" s="6" t="str">
        <f t="shared" si="10"/>
        <v/>
      </c>
      <c r="P95" s="7">
        <f ca="1">SUMIFS($N$2:$N95,$B$2:$B95,"&lt;&gt;"&amp;B95)+SUM($Q$2:$Q95)</f>
        <v>135.05500000000001</v>
      </c>
      <c r="R95" t="b">
        <f>AND(ISNUMBER(FIND($E95,Tables!$I$2)), ISNUMBER(FIND($D95,Tables!$J$2)), $E95&lt;&gt;"")</f>
        <v>0</v>
      </c>
    </row>
    <row r="96" spans="1:18" x14ac:dyDescent="0.3">
      <c r="A96">
        <f t="shared" si="6"/>
        <v>79</v>
      </c>
      <c r="B96" s="4"/>
      <c r="I96" s="8"/>
      <c r="J96" s="5" t="str">
        <f t="shared" si="9"/>
        <v/>
      </c>
      <c r="K96" s="3"/>
      <c r="L96" s="3" t="str">
        <f t="shared" si="8"/>
        <v/>
      </c>
      <c r="N96" s="3" t="str">
        <f t="shared" si="7"/>
        <v/>
      </c>
      <c r="O96" s="6" t="str">
        <f t="shared" si="10"/>
        <v/>
      </c>
      <c r="P96" s="7">
        <f ca="1">SUMIFS($N$2:$N96,$B$2:$B96,"&lt;&gt;"&amp;B96)+SUM($Q$2:$Q96)</f>
        <v>135.05500000000001</v>
      </c>
      <c r="R96" t="b">
        <f>AND(ISNUMBER(FIND($E96,Tables!$I$2)), ISNUMBER(FIND($D96,Tables!$J$2)), $E96&lt;&gt;"")</f>
        <v>0</v>
      </c>
    </row>
    <row r="97" spans="1:18" x14ac:dyDescent="0.3">
      <c r="A97">
        <f t="shared" si="6"/>
        <v>80</v>
      </c>
      <c r="B97" s="4"/>
      <c r="I97" s="8"/>
      <c r="J97" s="5" t="str">
        <f t="shared" si="9"/>
        <v/>
      </c>
      <c r="K97" s="3"/>
      <c r="L97" s="3" t="str">
        <f t="shared" si="8"/>
        <v/>
      </c>
      <c r="N97" s="3" t="str">
        <f t="shared" si="7"/>
        <v/>
      </c>
      <c r="O97" s="6" t="str">
        <f t="shared" si="10"/>
        <v/>
      </c>
      <c r="P97" s="7">
        <f ca="1">SUMIFS($N$2:$N97,$B$2:$B97,"&lt;&gt;"&amp;B97)+SUM($Q$2:$Q97)</f>
        <v>135.05500000000001</v>
      </c>
      <c r="R97" t="b">
        <f>AND(ISNUMBER(FIND($E97,Tables!$I$2)), ISNUMBER(FIND($D97,Tables!$J$2)), $E97&lt;&gt;"")</f>
        <v>0</v>
      </c>
    </row>
    <row r="98" spans="1:18" x14ac:dyDescent="0.3">
      <c r="A98">
        <f t="shared" ref="A98:A161" si="11">IF(AND(B98="", D98&lt;&gt;""), A97, A97+1)</f>
        <v>81</v>
      </c>
      <c r="B98" s="4"/>
      <c r="I98" s="8"/>
      <c r="J98" s="5" t="str">
        <f t="shared" si="9"/>
        <v/>
      </c>
      <c r="K98" s="3"/>
      <c r="L98" s="3" t="str">
        <f t="shared" si="8"/>
        <v/>
      </c>
      <c r="N98" s="3" t="str">
        <f t="shared" si="7"/>
        <v/>
      </c>
      <c r="O98" s="6" t="str">
        <f t="shared" si="10"/>
        <v/>
      </c>
      <c r="P98" s="7">
        <f ca="1">SUMIFS($N$2:$N98,$B$2:$B98,"&lt;&gt;"&amp;B98)+SUM($Q$2:$Q98)</f>
        <v>135.05500000000001</v>
      </c>
      <c r="R98" t="b">
        <f>AND(ISNUMBER(FIND($E98,Tables!$I$2)), ISNUMBER(FIND($D98,Tables!$J$2)), $E98&lt;&gt;"")</f>
        <v>0</v>
      </c>
    </row>
    <row r="99" spans="1:18" x14ac:dyDescent="0.3">
      <c r="A99">
        <f t="shared" si="11"/>
        <v>82</v>
      </c>
      <c r="B99" s="4"/>
      <c r="I99" s="8"/>
      <c r="J99" s="5" t="str">
        <f t="shared" si="9"/>
        <v/>
      </c>
      <c r="K99" s="3"/>
      <c r="L99" s="3" t="str">
        <f t="shared" si="8"/>
        <v/>
      </c>
      <c r="N99" s="3" t="str">
        <f t="shared" si="7"/>
        <v/>
      </c>
      <c r="O99" s="6" t="str">
        <f t="shared" si="10"/>
        <v/>
      </c>
      <c r="P99" s="7">
        <f ca="1">SUMIFS($N$2:$N99,$B$2:$B99,"&lt;&gt;"&amp;B99)+SUM($Q$2:$Q99)</f>
        <v>135.05500000000001</v>
      </c>
      <c r="R99" t="b">
        <f>AND(ISNUMBER(FIND($E99,Tables!$I$2)), ISNUMBER(FIND($D99,Tables!$J$2)), $E99&lt;&gt;"")</f>
        <v>0</v>
      </c>
    </row>
    <row r="100" spans="1:18" x14ac:dyDescent="0.3">
      <c r="A100">
        <f t="shared" si="11"/>
        <v>83</v>
      </c>
      <c r="B100" s="4"/>
      <c r="I100" s="8"/>
      <c r="J100" s="5" t="str">
        <f t="shared" si="9"/>
        <v/>
      </c>
      <c r="K100" s="3"/>
      <c r="L100" s="3" t="str">
        <f t="shared" si="8"/>
        <v/>
      </c>
      <c r="N100" s="3" t="str">
        <f t="shared" si="7"/>
        <v/>
      </c>
      <c r="O100" s="6" t="str">
        <f t="shared" si="10"/>
        <v/>
      </c>
      <c r="P100" s="7">
        <f ca="1">SUMIFS($N$2:$N100,$B$2:$B100,"&lt;&gt;"&amp;B100)+SUM($Q$2:$Q100)</f>
        <v>135.05500000000001</v>
      </c>
      <c r="R100" t="b">
        <f>AND(ISNUMBER(FIND($E100,Tables!$I$2)), ISNUMBER(FIND($D100,Tables!$J$2)), $E100&lt;&gt;"")</f>
        <v>0</v>
      </c>
    </row>
    <row r="101" spans="1:18" x14ac:dyDescent="0.3">
      <c r="A101">
        <f t="shared" si="11"/>
        <v>84</v>
      </c>
      <c r="B101" s="4"/>
      <c r="I101" s="8"/>
      <c r="J101" s="5" t="str">
        <f t="shared" si="9"/>
        <v/>
      </c>
      <c r="K101" s="3"/>
      <c r="L101" s="3" t="str">
        <f t="shared" si="8"/>
        <v/>
      </c>
      <c r="N101" s="3" t="str">
        <f t="shared" si="7"/>
        <v/>
      </c>
      <c r="O101" s="6" t="str">
        <f t="shared" si="10"/>
        <v/>
      </c>
      <c r="P101" s="7">
        <f ca="1">SUMIFS($N$2:$N101,$B$2:$B101,"&lt;&gt;"&amp;B101)+SUM($Q$2:$Q101)</f>
        <v>135.05500000000001</v>
      </c>
      <c r="R101" t="b">
        <f>AND(ISNUMBER(FIND($E101,Tables!$I$2)), ISNUMBER(FIND($D101,Tables!$J$2)), $E101&lt;&gt;"")</f>
        <v>0</v>
      </c>
    </row>
    <row r="102" spans="1:18" x14ac:dyDescent="0.3">
      <c r="A102">
        <f t="shared" si="11"/>
        <v>85</v>
      </c>
      <c r="B102" s="4"/>
      <c r="I102" s="8"/>
      <c r="J102" s="5" t="str">
        <f t="shared" si="9"/>
        <v/>
      </c>
      <c r="K102" s="3"/>
      <c r="L102" s="3" t="str">
        <f t="shared" si="8"/>
        <v/>
      </c>
      <c r="N102" s="3" t="str">
        <f t="shared" si="7"/>
        <v/>
      </c>
      <c r="O102" s="6" t="str">
        <f t="shared" si="10"/>
        <v/>
      </c>
      <c r="P102" s="7">
        <f ca="1">SUMIFS($N$2:$N102,$B$2:$B102,"&lt;&gt;"&amp;B102)+SUM($Q$2:$Q102)</f>
        <v>135.05500000000001</v>
      </c>
      <c r="R102" t="b">
        <f>AND(ISNUMBER(FIND($E102,Tables!$I$2)), ISNUMBER(FIND($D102,Tables!$J$2)), $E102&lt;&gt;"")</f>
        <v>0</v>
      </c>
    </row>
    <row r="103" spans="1:18" x14ac:dyDescent="0.3">
      <c r="A103">
        <f t="shared" si="11"/>
        <v>86</v>
      </c>
      <c r="B103" s="4"/>
      <c r="I103" s="8"/>
      <c r="J103" s="5" t="str">
        <f t="shared" si="9"/>
        <v/>
      </c>
      <c r="K103" s="3"/>
      <c r="L103" s="3" t="str">
        <f t="shared" si="8"/>
        <v/>
      </c>
      <c r="N103" s="3" t="str">
        <f t="shared" si="7"/>
        <v/>
      </c>
      <c r="O103" s="6" t="str">
        <f t="shared" si="10"/>
        <v/>
      </c>
      <c r="P103" s="7">
        <f ca="1">SUMIFS($N$2:$N103,$B$2:$B103,"&lt;&gt;"&amp;B103)+SUM($Q$2:$Q103)</f>
        <v>135.05500000000001</v>
      </c>
      <c r="R103" t="b">
        <f>AND(ISNUMBER(FIND($E103,Tables!$I$2)), ISNUMBER(FIND($D103,Tables!$J$2)), $E103&lt;&gt;"")</f>
        <v>0</v>
      </c>
    </row>
    <row r="104" spans="1:18" x14ac:dyDescent="0.3">
      <c r="A104">
        <f t="shared" si="11"/>
        <v>87</v>
      </c>
      <c r="B104" s="4"/>
      <c r="I104" s="8"/>
      <c r="J104" s="5" t="str">
        <f t="shared" si="9"/>
        <v/>
      </c>
      <c r="K104" s="3"/>
      <c r="L104" s="3" t="str">
        <f t="shared" si="8"/>
        <v/>
      </c>
      <c r="N104" s="3" t="str">
        <f t="shared" ref="N104:N167" si="12">IF(L104 = "", "", IF(M104="", "", IF(OR(M104="Draw",M104="NC"), 0, IF(M104="win", L104, -1*K104))))</f>
        <v/>
      </c>
      <c r="O104" s="6" t="str">
        <f t="shared" si="10"/>
        <v/>
      </c>
      <c r="P104" s="7">
        <f ca="1">SUMIFS($N$2:$N104,$B$2:$B104,"&lt;&gt;"&amp;B104)+SUM($Q$2:$Q104)</f>
        <v>135.05500000000001</v>
      </c>
      <c r="R104" t="b">
        <f>AND(ISNUMBER(FIND($E104,Tables!$I$2)), ISNUMBER(FIND($D104,Tables!$J$2)), $E104&lt;&gt;"")</f>
        <v>0</v>
      </c>
    </row>
    <row r="105" spans="1:18" x14ac:dyDescent="0.3">
      <c r="A105">
        <f t="shared" si="11"/>
        <v>88</v>
      </c>
      <c r="B105" s="4"/>
      <c r="I105" s="8"/>
      <c r="J105" s="5" t="str">
        <f t="shared" si="9"/>
        <v/>
      </c>
      <c r="K105" s="3"/>
      <c r="L105" s="3" t="str">
        <f t="shared" si="8"/>
        <v/>
      </c>
      <c r="N105" s="3" t="str">
        <f t="shared" si="12"/>
        <v/>
      </c>
      <c r="O105" s="6" t="str">
        <f t="shared" si="10"/>
        <v/>
      </c>
      <c r="P105" s="7">
        <f ca="1">SUMIFS($N$2:$N105,$B$2:$B105,"&lt;&gt;"&amp;B105)+SUM($Q$2:$Q105)</f>
        <v>135.05500000000001</v>
      </c>
      <c r="R105" t="b">
        <f>AND(ISNUMBER(FIND($E105,Tables!$I$2)), ISNUMBER(FIND($D105,Tables!$J$2)), $E105&lt;&gt;"")</f>
        <v>0</v>
      </c>
    </row>
    <row r="106" spans="1:18" x14ac:dyDescent="0.3">
      <c r="A106">
        <f t="shared" si="11"/>
        <v>89</v>
      </c>
      <c r="B106" s="4"/>
      <c r="I106" s="8"/>
      <c r="J106" s="5" t="str">
        <f t="shared" si="9"/>
        <v/>
      </c>
      <c r="K106" s="3"/>
      <c r="L106" s="3" t="str">
        <f t="shared" si="8"/>
        <v/>
      </c>
      <c r="N106" s="3" t="str">
        <f t="shared" si="12"/>
        <v/>
      </c>
      <c r="O106" s="6" t="str">
        <f t="shared" si="10"/>
        <v/>
      </c>
      <c r="P106" s="7">
        <f ca="1">SUMIFS($N$2:$N106,$B$2:$B106,"&lt;&gt;"&amp;B106)+SUM($Q$2:$Q106)</f>
        <v>135.05500000000001</v>
      </c>
      <c r="R106" t="b">
        <f>AND(ISNUMBER(FIND($E106,Tables!$I$2)), ISNUMBER(FIND($D106,Tables!$J$2)), $E106&lt;&gt;"")</f>
        <v>0</v>
      </c>
    </row>
    <row r="107" spans="1:18" x14ac:dyDescent="0.3">
      <c r="A107">
        <f t="shared" si="11"/>
        <v>90</v>
      </c>
      <c r="B107" s="4"/>
      <c r="I107" s="8"/>
      <c r="J107" s="5" t="str">
        <f t="shared" si="9"/>
        <v/>
      </c>
      <c r="K107" s="3"/>
      <c r="L107" s="3" t="str">
        <f t="shared" si="8"/>
        <v/>
      </c>
      <c r="N107" s="3" t="str">
        <f t="shared" si="12"/>
        <v/>
      </c>
      <c r="O107" s="6" t="str">
        <f t="shared" si="10"/>
        <v/>
      </c>
      <c r="P107" s="7">
        <f ca="1">SUMIFS($N$2:$N107,$B$2:$B107,"&lt;&gt;"&amp;B107)+SUM($Q$2:$Q107)</f>
        <v>135.05500000000001</v>
      </c>
      <c r="R107" t="b">
        <f>AND(ISNUMBER(FIND($E107,Tables!$I$2)), ISNUMBER(FIND($D107,Tables!$J$2)), $E107&lt;&gt;"")</f>
        <v>0</v>
      </c>
    </row>
    <row r="108" spans="1:18" x14ac:dyDescent="0.3">
      <c r="A108">
        <f t="shared" si="11"/>
        <v>91</v>
      </c>
      <c r="B108" s="4"/>
      <c r="I108" s="8"/>
      <c r="J108" s="5" t="str">
        <f t="shared" si="9"/>
        <v/>
      </c>
      <c r="K108" s="3"/>
      <c r="L108" s="3" t="str">
        <f t="shared" si="8"/>
        <v/>
      </c>
      <c r="N108" s="3" t="str">
        <f t="shared" si="12"/>
        <v/>
      </c>
      <c r="O108" s="6" t="str">
        <f t="shared" si="10"/>
        <v/>
      </c>
      <c r="P108" s="7">
        <f ca="1">SUMIFS($N$2:$N108,$B$2:$B108,"&lt;&gt;"&amp;B108)+SUM($Q$2:$Q108)</f>
        <v>135.05500000000001</v>
      </c>
      <c r="R108" t="b">
        <f>AND(ISNUMBER(FIND($E108,Tables!$I$2)), ISNUMBER(FIND($D108,Tables!$J$2)), $E108&lt;&gt;"")</f>
        <v>0</v>
      </c>
    </row>
    <row r="109" spans="1:18" x14ac:dyDescent="0.3">
      <c r="A109">
        <f t="shared" si="11"/>
        <v>92</v>
      </c>
      <c r="B109" s="4"/>
      <c r="I109" s="8"/>
      <c r="J109" s="5" t="str">
        <f t="shared" si="9"/>
        <v/>
      </c>
      <c r="K109" s="3"/>
      <c r="L109" s="3" t="str">
        <f t="shared" si="8"/>
        <v/>
      </c>
      <c r="N109" s="3" t="str">
        <f t="shared" si="12"/>
        <v/>
      </c>
      <c r="O109" s="6" t="str">
        <f t="shared" si="10"/>
        <v/>
      </c>
      <c r="P109" s="7">
        <f ca="1">SUMIFS($N$2:$N109,$B$2:$B109,"&lt;&gt;"&amp;B109)+SUM($Q$2:$Q109)</f>
        <v>135.05500000000001</v>
      </c>
      <c r="R109" t="b">
        <f>AND(ISNUMBER(FIND($E109,Tables!$I$2)), ISNUMBER(FIND($D109,Tables!$J$2)), $E109&lt;&gt;"")</f>
        <v>0</v>
      </c>
    </row>
    <row r="110" spans="1:18" x14ac:dyDescent="0.3">
      <c r="A110">
        <f t="shared" si="11"/>
        <v>93</v>
      </c>
      <c r="B110" s="4"/>
      <c r="I110" s="8"/>
      <c r="J110" s="5" t="str">
        <f t="shared" si="9"/>
        <v/>
      </c>
      <c r="K110" s="3"/>
      <c r="L110" s="3" t="str">
        <f t="shared" si="8"/>
        <v/>
      </c>
      <c r="N110" s="3" t="str">
        <f t="shared" si="12"/>
        <v/>
      </c>
      <c r="O110" s="6" t="str">
        <f t="shared" si="10"/>
        <v/>
      </c>
      <c r="P110" s="7">
        <f ca="1">SUMIFS($N$2:$N110,$B$2:$B110,"&lt;&gt;"&amp;B110)+SUM($Q$2:$Q110)</f>
        <v>135.05500000000001</v>
      </c>
      <c r="R110" t="b">
        <f>AND(ISNUMBER(FIND($E110,Tables!$I$2)), ISNUMBER(FIND($D110,Tables!$J$2)), $E110&lt;&gt;"")</f>
        <v>0</v>
      </c>
    </row>
    <row r="111" spans="1:18" x14ac:dyDescent="0.3">
      <c r="A111">
        <f t="shared" si="11"/>
        <v>94</v>
      </c>
      <c r="B111" s="4"/>
      <c r="I111" s="8"/>
      <c r="J111" s="5" t="str">
        <f t="shared" si="9"/>
        <v/>
      </c>
      <c r="K111" s="3"/>
      <c r="L111" s="3" t="str">
        <f t="shared" si="8"/>
        <v/>
      </c>
      <c r="N111" s="3" t="str">
        <f t="shared" si="12"/>
        <v/>
      </c>
      <c r="O111" s="6" t="str">
        <f t="shared" si="10"/>
        <v/>
      </c>
      <c r="P111" s="7">
        <f ca="1">SUMIFS($N$2:$N111,$B$2:$B111,"&lt;&gt;"&amp;B111)+SUM($Q$2:$Q111)</f>
        <v>135.05500000000001</v>
      </c>
      <c r="R111" t="b">
        <f>AND(ISNUMBER(FIND($E111,Tables!$I$2)), ISNUMBER(FIND($D111,Tables!$J$2)), $E111&lt;&gt;"")</f>
        <v>0</v>
      </c>
    </row>
    <row r="112" spans="1:18" x14ac:dyDescent="0.3">
      <c r="A112">
        <f t="shared" si="11"/>
        <v>95</v>
      </c>
      <c r="B112" s="4"/>
      <c r="I112" s="8"/>
      <c r="J112" s="5" t="str">
        <f t="shared" si="9"/>
        <v/>
      </c>
      <c r="K112" s="3"/>
      <c r="L112" s="3" t="str">
        <f t="shared" si="8"/>
        <v/>
      </c>
      <c r="N112" s="3" t="str">
        <f t="shared" si="12"/>
        <v/>
      </c>
      <c r="O112" s="6" t="str">
        <f t="shared" si="10"/>
        <v/>
      </c>
      <c r="P112" s="7">
        <f ca="1">SUMIFS($N$2:$N112,$B$2:$B112,"&lt;&gt;"&amp;B112)+SUM($Q$2:$Q112)</f>
        <v>135.05500000000001</v>
      </c>
      <c r="R112" t="b">
        <f>AND(ISNUMBER(FIND($E112,Tables!$I$2)), ISNUMBER(FIND($D112,Tables!$J$2)), $E112&lt;&gt;"")</f>
        <v>0</v>
      </c>
    </row>
    <row r="113" spans="1:18" x14ac:dyDescent="0.3">
      <c r="A113">
        <f t="shared" si="11"/>
        <v>96</v>
      </c>
      <c r="B113" s="4"/>
      <c r="I113" s="8"/>
      <c r="J113" s="5" t="str">
        <f t="shared" si="9"/>
        <v/>
      </c>
      <c r="K113" s="3"/>
      <c r="L113" s="3" t="str">
        <f t="shared" si="8"/>
        <v/>
      </c>
      <c r="N113" s="3" t="str">
        <f t="shared" si="12"/>
        <v/>
      </c>
      <c r="O113" s="6" t="str">
        <f t="shared" si="10"/>
        <v/>
      </c>
      <c r="P113" s="7">
        <f ca="1">SUMIFS($N$2:$N113,$B$2:$B113,"&lt;&gt;"&amp;B113)+SUM($Q$2:$Q113)</f>
        <v>135.05500000000001</v>
      </c>
      <c r="R113" t="b">
        <f>AND(ISNUMBER(FIND($E113,Tables!$I$2)), ISNUMBER(FIND($D113,Tables!$J$2)), $E113&lt;&gt;"")</f>
        <v>0</v>
      </c>
    </row>
    <row r="114" spans="1:18" x14ac:dyDescent="0.3">
      <c r="A114">
        <f t="shared" si="11"/>
        <v>97</v>
      </c>
      <c r="B114" s="4"/>
      <c r="I114" s="8"/>
      <c r="J114" s="5" t="str">
        <f t="shared" si="9"/>
        <v/>
      </c>
      <c r="K114" s="3"/>
      <c r="L114" s="3" t="str">
        <f t="shared" ref="L114:L177" si="13">IFERROR(IF(K114=0, "", IF(I114&gt;0, K114/100*I114,K114/I114*-100)), "")</f>
        <v/>
      </c>
      <c r="N114" s="3" t="str">
        <f t="shared" si="12"/>
        <v/>
      </c>
      <c r="O114" s="6" t="str">
        <f t="shared" si="10"/>
        <v/>
      </c>
      <c r="P114" s="7">
        <f ca="1">SUMIFS($N$2:$N114,$B$2:$B114,"&lt;&gt;"&amp;B114)+SUM($Q$2:$Q114)</f>
        <v>135.05500000000001</v>
      </c>
      <c r="R114" t="b">
        <f>AND(ISNUMBER(FIND($E114,Tables!$I$2)), ISNUMBER(FIND($D114,Tables!$J$2)), $E114&lt;&gt;"")</f>
        <v>0</v>
      </c>
    </row>
    <row r="115" spans="1:18" x14ac:dyDescent="0.3">
      <c r="A115">
        <f t="shared" si="11"/>
        <v>98</v>
      </c>
      <c r="B115" s="4"/>
      <c r="I115" s="8"/>
      <c r="J115" s="5" t="str">
        <f t="shared" si="9"/>
        <v/>
      </c>
      <c r="K115" s="3"/>
      <c r="L115" s="3" t="str">
        <f t="shared" si="13"/>
        <v/>
      </c>
      <c r="N115" s="3" t="str">
        <f t="shared" si="12"/>
        <v/>
      </c>
      <c r="O115" s="6" t="str">
        <f t="shared" si="10"/>
        <v/>
      </c>
      <c r="P115" s="7">
        <f ca="1">SUMIFS($N$2:$N115,$B$2:$B115,"&lt;&gt;"&amp;B115)+SUM($Q$2:$Q115)</f>
        <v>135.05500000000001</v>
      </c>
      <c r="R115" t="b">
        <f>AND(ISNUMBER(FIND($E115,Tables!$I$2)), ISNUMBER(FIND($D115,Tables!$J$2)), $E115&lt;&gt;"")</f>
        <v>0</v>
      </c>
    </row>
    <row r="116" spans="1:18" x14ac:dyDescent="0.3">
      <c r="A116">
        <f t="shared" si="11"/>
        <v>99</v>
      </c>
      <c r="B116" s="4"/>
      <c r="I116" s="8"/>
      <c r="J116" s="5" t="str">
        <f t="shared" si="9"/>
        <v/>
      </c>
      <c r="K116" s="3"/>
      <c r="L116" s="3" t="str">
        <f t="shared" si="13"/>
        <v/>
      </c>
      <c r="N116" s="3" t="str">
        <f t="shared" si="12"/>
        <v/>
      </c>
      <c r="O116" s="6" t="str">
        <f t="shared" si="10"/>
        <v/>
      </c>
      <c r="P116" s="7">
        <f ca="1">SUMIFS($N$2:$N116,$B$2:$B116,"&lt;&gt;"&amp;B116)+SUM($Q$2:$Q116)</f>
        <v>135.05500000000001</v>
      </c>
      <c r="R116" t="b">
        <f>AND(ISNUMBER(FIND($E116,Tables!$I$2)), ISNUMBER(FIND($D116,Tables!$J$2)), $E116&lt;&gt;"")</f>
        <v>0</v>
      </c>
    </row>
    <row r="117" spans="1:18" x14ac:dyDescent="0.3">
      <c r="A117">
        <f t="shared" si="11"/>
        <v>100</v>
      </c>
      <c r="B117" s="4"/>
      <c r="I117" s="8"/>
      <c r="J117" s="5" t="str">
        <f t="shared" si="9"/>
        <v/>
      </c>
      <c r="K117" s="3"/>
      <c r="L117" s="3" t="str">
        <f t="shared" si="13"/>
        <v/>
      </c>
      <c r="N117" s="3" t="str">
        <f t="shared" si="12"/>
        <v/>
      </c>
      <c r="O117" s="6" t="str">
        <f t="shared" si="10"/>
        <v/>
      </c>
      <c r="P117" s="7">
        <f ca="1">SUMIFS($N$2:$N117,$B$2:$B117,"&lt;&gt;"&amp;B117)+SUM($Q$2:$Q117)</f>
        <v>135.05500000000001</v>
      </c>
      <c r="R117" t="b">
        <f>AND(ISNUMBER(FIND($E117,Tables!$I$2)), ISNUMBER(FIND($D117,Tables!$J$2)), $E117&lt;&gt;"")</f>
        <v>0</v>
      </c>
    </row>
    <row r="118" spans="1:18" x14ac:dyDescent="0.3">
      <c r="A118">
        <f t="shared" si="11"/>
        <v>101</v>
      </c>
      <c r="B118" s="4"/>
      <c r="I118" s="8"/>
      <c r="J118" s="5" t="str">
        <f t="shared" si="9"/>
        <v/>
      </c>
      <c r="K118" s="3"/>
      <c r="L118" s="3" t="str">
        <f t="shared" si="13"/>
        <v/>
      </c>
      <c r="N118" s="3" t="str">
        <f t="shared" si="12"/>
        <v/>
      </c>
      <c r="O118" s="6" t="str">
        <f t="shared" si="10"/>
        <v/>
      </c>
      <c r="P118" s="7">
        <f ca="1">SUMIFS($N$2:$N118,$B$2:$B118,"&lt;&gt;"&amp;B118)+SUM($Q$2:$Q118)</f>
        <v>135.05500000000001</v>
      </c>
      <c r="R118" t="b">
        <f>AND(ISNUMBER(FIND($E118,Tables!$I$2)), ISNUMBER(FIND($D118,Tables!$J$2)), $E118&lt;&gt;"")</f>
        <v>0</v>
      </c>
    </row>
    <row r="119" spans="1:18" x14ac:dyDescent="0.3">
      <c r="A119">
        <f t="shared" si="11"/>
        <v>102</v>
      </c>
      <c r="B119" s="4"/>
      <c r="I119" s="8"/>
      <c r="J119" s="5" t="str">
        <f t="shared" si="9"/>
        <v/>
      </c>
      <c r="K119" s="3"/>
      <c r="L119" s="3" t="str">
        <f t="shared" si="13"/>
        <v/>
      </c>
      <c r="N119" s="3" t="str">
        <f t="shared" si="12"/>
        <v/>
      </c>
      <c r="O119" s="6" t="str">
        <f t="shared" si="10"/>
        <v/>
      </c>
      <c r="P119" s="7">
        <f ca="1">SUMIFS($N$2:$N119,$B$2:$B119,"&lt;&gt;"&amp;B119)+SUM($Q$2:$Q119)</f>
        <v>135.05500000000001</v>
      </c>
      <c r="R119" t="b">
        <f>AND(ISNUMBER(FIND($E119,Tables!$I$2)), ISNUMBER(FIND($D119,Tables!$J$2)), $E119&lt;&gt;"")</f>
        <v>0</v>
      </c>
    </row>
    <row r="120" spans="1:18" x14ac:dyDescent="0.3">
      <c r="A120">
        <f t="shared" si="11"/>
        <v>103</v>
      </c>
      <c r="B120" s="4"/>
      <c r="I120" s="8"/>
      <c r="J120" s="5" t="str">
        <f t="shared" si="9"/>
        <v/>
      </c>
      <c r="K120" s="3"/>
      <c r="L120" s="3" t="str">
        <f t="shared" si="13"/>
        <v/>
      </c>
      <c r="N120" s="3" t="str">
        <f t="shared" si="12"/>
        <v/>
      </c>
      <c r="O120" s="6" t="str">
        <f t="shared" si="10"/>
        <v/>
      </c>
      <c r="P120" s="7">
        <f ca="1">SUMIFS($N$2:$N120,$B$2:$B120,"&lt;&gt;"&amp;B120)+SUM($Q$2:$Q120)</f>
        <v>135.05500000000001</v>
      </c>
      <c r="R120" t="b">
        <f>AND(ISNUMBER(FIND($E120,Tables!$I$2)), ISNUMBER(FIND($D120,Tables!$J$2)), $E120&lt;&gt;"")</f>
        <v>0</v>
      </c>
    </row>
    <row r="121" spans="1:18" x14ac:dyDescent="0.3">
      <c r="A121">
        <f t="shared" si="11"/>
        <v>104</v>
      </c>
      <c r="B121" s="4"/>
      <c r="I121" s="8"/>
      <c r="J121" s="5" t="str">
        <f t="shared" si="9"/>
        <v/>
      </c>
      <c r="K121" s="3"/>
      <c r="L121" s="3" t="str">
        <f t="shared" si="13"/>
        <v/>
      </c>
      <c r="N121" s="3" t="str">
        <f t="shared" si="12"/>
        <v/>
      </c>
      <c r="O121" s="6" t="str">
        <f t="shared" si="10"/>
        <v/>
      </c>
      <c r="P121" s="7">
        <f ca="1">SUMIFS($N$2:$N121,$B$2:$B121,"&lt;&gt;"&amp;B121)+SUM($Q$2:$Q121)</f>
        <v>135.05500000000001</v>
      </c>
      <c r="R121" t="b">
        <f>AND(ISNUMBER(FIND($E121,Tables!$I$2)), ISNUMBER(FIND($D121,Tables!$J$2)), $E121&lt;&gt;"")</f>
        <v>0</v>
      </c>
    </row>
    <row r="122" spans="1:18" x14ac:dyDescent="0.3">
      <c r="A122">
        <f t="shared" si="11"/>
        <v>105</v>
      </c>
      <c r="B122" s="4"/>
      <c r="I122" s="8"/>
      <c r="J122" s="5" t="str">
        <f t="shared" si="9"/>
        <v/>
      </c>
      <c r="K122" s="3"/>
      <c r="L122" s="3" t="str">
        <f t="shared" si="13"/>
        <v/>
      </c>
      <c r="N122" s="3" t="str">
        <f t="shared" si="12"/>
        <v/>
      </c>
      <c r="O122" s="6" t="str">
        <f t="shared" si="10"/>
        <v/>
      </c>
      <c r="P122" s="7">
        <f ca="1">SUMIFS($N$2:$N122,$B$2:$B122,"&lt;&gt;"&amp;B122)+SUM($Q$2:$Q122)</f>
        <v>135.05500000000001</v>
      </c>
      <c r="R122" t="b">
        <f>AND(ISNUMBER(FIND($E122,Tables!$I$2)), ISNUMBER(FIND($D122,Tables!$J$2)), $E122&lt;&gt;"")</f>
        <v>0</v>
      </c>
    </row>
    <row r="123" spans="1:18" x14ac:dyDescent="0.3">
      <c r="A123">
        <f t="shared" si="11"/>
        <v>106</v>
      </c>
      <c r="B123" s="4"/>
      <c r="I123" s="8"/>
      <c r="J123" s="5" t="str">
        <f t="shared" si="9"/>
        <v/>
      </c>
      <c r="K123" s="3"/>
      <c r="L123" s="3" t="str">
        <f t="shared" si="13"/>
        <v/>
      </c>
      <c r="N123" s="3" t="str">
        <f t="shared" si="12"/>
        <v/>
      </c>
      <c r="O123" s="6" t="str">
        <f t="shared" si="10"/>
        <v/>
      </c>
      <c r="P123" s="7">
        <f ca="1">SUMIFS($N$2:$N123,$B$2:$B123,"&lt;&gt;"&amp;B123)+SUM($Q$2:$Q123)</f>
        <v>135.05500000000001</v>
      </c>
      <c r="R123" t="b">
        <f>AND(ISNUMBER(FIND($E123,Tables!$I$2)), ISNUMBER(FIND($D123,Tables!$J$2)), $E123&lt;&gt;"")</f>
        <v>0</v>
      </c>
    </row>
    <row r="124" spans="1:18" x14ac:dyDescent="0.3">
      <c r="A124">
        <f t="shared" si="11"/>
        <v>107</v>
      </c>
      <c r="B124" s="4"/>
      <c r="I124" s="8"/>
      <c r="J124" s="5" t="str">
        <f t="shared" si="9"/>
        <v/>
      </c>
      <c r="K124" s="3"/>
      <c r="L124" s="3" t="str">
        <f t="shared" si="13"/>
        <v/>
      </c>
      <c r="N124" s="3" t="str">
        <f t="shared" si="12"/>
        <v/>
      </c>
      <c r="O124" s="6" t="str">
        <f t="shared" si="10"/>
        <v/>
      </c>
      <c r="P124" s="7">
        <f ca="1">SUMIFS($N$2:$N124,$B$2:$B124,"&lt;&gt;"&amp;B124)+SUM($Q$2:$Q124)</f>
        <v>135.05500000000001</v>
      </c>
      <c r="R124" t="b">
        <f>AND(ISNUMBER(FIND($E124,Tables!$I$2)), ISNUMBER(FIND($D124,Tables!$J$2)), $E124&lt;&gt;"")</f>
        <v>0</v>
      </c>
    </row>
    <row r="125" spans="1:18" x14ac:dyDescent="0.3">
      <c r="A125">
        <f t="shared" si="11"/>
        <v>108</v>
      </c>
      <c r="B125" s="4"/>
      <c r="I125" s="8"/>
      <c r="J125" s="5" t="str">
        <f t="shared" si="9"/>
        <v/>
      </c>
      <c r="K125" s="3"/>
      <c r="L125" s="3" t="str">
        <f t="shared" si="13"/>
        <v/>
      </c>
      <c r="N125" s="3" t="str">
        <f t="shared" si="12"/>
        <v/>
      </c>
      <c r="O125" s="6" t="str">
        <f t="shared" si="10"/>
        <v/>
      </c>
      <c r="P125" s="7">
        <f ca="1">SUMIFS($N$2:$N125,$B$2:$B125,"&lt;&gt;"&amp;B125)+SUM($Q$2:$Q125)</f>
        <v>135.05500000000001</v>
      </c>
      <c r="R125" t="b">
        <f>AND(ISNUMBER(FIND($E125,Tables!$I$2)), ISNUMBER(FIND($D125,Tables!$J$2)), $E125&lt;&gt;"")</f>
        <v>0</v>
      </c>
    </row>
    <row r="126" spans="1:18" x14ac:dyDescent="0.3">
      <c r="A126">
        <f t="shared" si="11"/>
        <v>109</v>
      </c>
      <c r="B126" s="4"/>
      <c r="I126" s="8"/>
      <c r="J126" s="5" t="str">
        <f t="shared" si="9"/>
        <v/>
      </c>
      <c r="K126" s="3"/>
      <c r="L126" s="3" t="str">
        <f t="shared" si="13"/>
        <v/>
      </c>
      <c r="N126" s="3" t="str">
        <f t="shared" si="12"/>
        <v/>
      </c>
      <c r="O126" s="6" t="str">
        <f t="shared" si="10"/>
        <v/>
      </c>
      <c r="P126" s="7">
        <f ca="1">SUMIFS($N$2:$N126,$B$2:$B126,"&lt;&gt;"&amp;B126)+SUM($Q$2:$Q126)</f>
        <v>135.05500000000001</v>
      </c>
      <c r="R126" t="b">
        <f>AND(ISNUMBER(FIND($E126,Tables!$I$2)), ISNUMBER(FIND($D126,Tables!$J$2)), $E126&lt;&gt;"")</f>
        <v>0</v>
      </c>
    </row>
    <row r="127" spans="1:18" x14ac:dyDescent="0.3">
      <c r="A127">
        <f t="shared" si="11"/>
        <v>110</v>
      </c>
      <c r="B127" s="4"/>
      <c r="I127" s="8"/>
      <c r="J127" s="5" t="str">
        <f t="shared" si="9"/>
        <v/>
      </c>
      <c r="K127" s="3"/>
      <c r="L127" s="3" t="str">
        <f t="shared" si="13"/>
        <v/>
      </c>
      <c r="N127" s="3" t="str">
        <f t="shared" si="12"/>
        <v/>
      </c>
      <c r="O127" s="6" t="str">
        <f t="shared" si="10"/>
        <v/>
      </c>
      <c r="P127" s="7">
        <f ca="1">SUMIFS($N$2:$N127,$B$2:$B127,"&lt;&gt;"&amp;B127)+SUM($Q$2:$Q127)</f>
        <v>135.05500000000001</v>
      </c>
      <c r="R127" t="b">
        <f>AND(ISNUMBER(FIND($E127,Tables!$I$2)), ISNUMBER(FIND($D127,Tables!$J$2)), $E127&lt;&gt;"")</f>
        <v>0</v>
      </c>
    </row>
    <row r="128" spans="1:18" x14ac:dyDescent="0.3">
      <c r="A128">
        <f t="shared" si="11"/>
        <v>111</v>
      </c>
      <c r="B128" s="4"/>
      <c r="I128" s="8"/>
      <c r="J128" s="5" t="str">
        <f t="shared" si="9"/>
        <v/>
      </c>
      <c r="K128" s="3"/>
      <c r="L128" s="3" t="str">
        <f t="shared" si="13"/>
        <v/>
      </c>
      <c r="N128" s="3" t="str">
        <f t="shared" si="12"/>
        <v/>
      </c>
      <c r="O128" s="6" t="str">
        <f t="shared" si="10"/>
        <v/>
      </c>
      <c r="P128" s="7">
        <f ca="1">SUMIFS($N$2:$N128,$B$2:$B128,"&lt;&gt;"&amp;B128)+SUM($Q$2:$Q128)</f>
        <v>135.05500000000001</v>
      </c>
      <c r="R128" t="b">
        <f>AND(ISNUMBER(FIND($E128,Tables!$I$2)), ISNUMBER(FIND($D128,Tables!$J$2)), $E128&lt;&gt;"")</f>
        <v>0</v>
      </c>
    </row>
    <row r="129" spans="1:18" x14ac:dyDescent="0.3">
      <c r="A129">
        <f t="shared" si="11"/>
        <v>112</v>
      </c>
      <c r="B129" s="4"/>
      <c r="I129" s="8"/>
      <c r="J129" s="5" t="str">
        <f t="shared" si="9"/>
        <v/>
      </c>
      <c r="K129" s="3"/>
      <c r="L129" s="3" t="str">
        <f t="shared" si="13"/>
        <v/>
      </c>
      <c r="N129" s="3" t="str">
        <f t="shared" si="12"/>
        <v/>
      </c>
      <c r="O129" s="6" t="str">
        <f t="shared" si="10"/>
        <v/>
      </c>
      <c r="P129" s="7">
        <f ca="1">SUMIFS($N$2:$N129,$B$2:$B129,"&lt;&gt;"&amp;B129)+SUM($Q$2:$Q129)</f>
        <v>135.05500000000001</v>
      </c>
      <c r="R129" t="b">
        <f>AND(ISNUMBER(FIND($E129,Tables!$I$2)), ISNUMBER(FIND($D129,Tables!$J$2)), $E129&lt;&gt;"")</f>
        <v>0</v>
      </c>
    </row>
    <row r="130" spans="1:18" x14ac:dyDescent="0.3">
      <c r="A130">
        <f t="shared" si="11"/>
        <v>113</v>
      </c>
      <c r="B130" s="4"/>
      <c r="I130" s="8"/>
      <c r="J130" s="5" t="str">
        <f t="shared" ref="J130:J193" si="14">IF(I130="", "", IF(I130&gt;0, I130/100 +1, -100/I130 +1))</f>
        <v/>
      </c>
      <c r="K130" s="3"/>
      <c r="L130" s="3" t="str">
        <f t="shared" si="13"/>
        <v/>
      </c>
      <c r="N130" s="3" t="str">
        <f t="shared" si="12"/>
        <v/>
      </c>
      <c r="O130" s="6" t="str">
        <f t="shared" ref="O130:O193" si="15">IFERROR(K130/VLOOKUP(_xlfn.MINIFS(A:A,B:B,B130,C:C,C130),A:P,16),"")</f>
        <v/>
      </c>
      <c r="P130" s="7">
        <f ca="1">SUMIFS($N$2:$N130,$B$2:$B130,"&lt;&gt;"&amp;B130)+SUM($Q$2:$Q130)</f>
        <v>135.05500000000001</v>
      </c>
      <c r="R130" t="b">
        <f>AND(ISNUMBER(FIND($E130,Tables!$I$2)), ISNUMBER(FIND($D130,Tables!$J$2)), $E130&lt;&gt;"")</f>
        <v>0</v>
      </c>
    </row>
    <row r="131" spans="1:18" x14ac:dyDescent="0.3">
      <c r="A131">
        <f t="shared" si="11"/>
        <v>114</v>
      </c>
      <c r="B131" s="4"/>
      <c r="I131" s="8"/>
      <c r="J131" s="5" t="str">
        <f t="shared" si="14"/>
        <v/>
      </c>
      <c r="K131" s="3"/>
      <c r="L131" s="3" t="str">
        <f t="shared" si="13"/>
        <v/>
      </c>
      <c r="N131" s="3" t="str">
        <f t="shared" si="12"/>
        <v/>
      </c>
      <c r="O131" s="6" t="str">
        <f t="shared" si="15"/>
        <v/>
      </c>
      <c r="P131" s="7">
        <f ca="1">SUMIFS($N$2:$N131,$B$2:$B131,"&lt;&gt;"&amp;B131)+SUM($Q$2:$Q131)</f>
        <v>135.05500000000001</v>
      </c>
      <c r="R131" t="b">
        <f>AND(ISNUMBER(FIND($E131,Tables!$I$2)), ISNUMBER(FIND($D131,Tables!$J$2)), $E131&lt;&gt;"")</f>
        <v>0</v>
      </c>
    </row>
    <row r="132" spans="1:18" x14ac:dyDescent="0.3">
      <c r="A132">
        <f t="shared" si="11"/>
        <v>115</v>
      </c>
      <c r="B132" s="4"/>
      <c r="I132" s="8"/>
      <c r="J132" s="5" t="str">
        <f t="shared" si="14"/>
        <v/>
      </c>
      <c r="K132" s="3"/>
      <c r="L132" s="3" t="str">
        <f t="shared" si="13"/>
        <v/>
      </c>
      <c r="N132" s="3" t="str">
        <f t="shared" si="12"/>
        <v/>
      </c>
      <c r="O132" s="6" t="str">
        <f t="shared" si="15"/>
        <v/>
      </c>
      <c r="P132" s="7">
        <f ca="1">SUMIFS($N$2:$N132,$B$2:$B132,"&lt;&gt;"&amp;B132)+SUM($Q$2:$Q132)</f>
        <v>135.05500000000001</v>
      </c>
      <c r="R132" t="b">
        <f>AND(ISNUMBER(FIND($E132,Tables!$I$2)), ISNUMBER(FIND($D132,Tables!$J$2)), $E132&lt;&gt;"")</f>
        <v>0</v>
      </c>
    </row>
    <row r="133" spans="1:18" x14ac:dyDescent="0.3">
      <c r="A133">
        <f t="shared" si="11"/>
        <v>116</v>
      </c>
      <c r="B133" s="4"/>
      <c r="I133" s="8"/>
      <c r="J133" s="5" t="str">
        <f t="shared" si="14"/>
        <v/>
      </c>
      <c r="K133" s="3"/>
      <c r="L133" s="3" t="str">
        <f t="shared" si="13"/>
        <v/>
      </c>
      <c r="N133" s="3" t="str">
        <f t="shared" si="12"/>
        <v/>
      </c>
      <c r="O133" s="6" t="str">
        <f t="shared" si="15"/>
        <v/>
      </c>
      <c r="P133" s="7">
        <f ca="1">SUMIFS($N$2:$N133,$B$2:$B133,"&lt;&gt;"&amp;B133)+SUM($Q$2:$Q133)</f>
        <v>135.05500000000001</v>
      </c>
      <c r="R133" t="b">
        <f>AND(ISNUMBER(FIND($E133,Tables!$I$2)), ISNUMBER(FIND($D133,Tables!$J$2)), $E133&lt;&gt;"")</f>
        <v>0</v>
      </c>
    </row>
    <row r="134" spans="1:18" x14ac:dyDescent="0.3">
      <c r="A134">
        <f t="shared" si="11"/>
        <v>117</v>
      </c>
      <c r="B134" s="4"/>
      <c r="I134" s="8"/>
      <c r="J134" s="5" t="str">
        <f t="shared" si="14"/>
        <v/>
      </c>
      <c r="K134" s="3"/>
      <c r="L134" s="3" t="str">
        <f t="shared" si="13"/>
        <v/>
      </c>
      <c r="N134" s="3" t="str">
        <f t="shared" si="12"/>
        <v/>
      </c>
      <c r="O134" s="6" t="str">
        <f t="shared" si="15"/>
        <v/>
      </c>
      <c r="P134" s="7">
        <f ca="1">SUMIFS($N$2:$N134,$B$2:$B134,"&lt;&gt;"&amp;B134)+SUM($Q$2:$Q134)</f>
        <v>135.05500000000001</v>
      </c>
      <c r="R134" t="b">
        <f>AND(ISNUMBER(FIND($E134,Tables!$I$2)), ISNUMBER(FIND($D134,Tables!$J$2)), $E134&lt;&gt;"")</f>
        <v>0</v>
      </c>
    </row>
    <row r="135" spans="1:18" x14ac:dyDescent="0.3">
      <c r="A135">
        <f t="shared" si="11"/>
        <v>118</v>
      </c>
      <c r="B135" s="4"/>
      <c r="I135" s="8"/>
      <c r="J135" s="5" t="str">
        <f t="shared" si="14"/>
        <v/>
      </c>
      <c r="K135" s="3"/>
      <c r="L135" s="3" t="str">
        <f t="shared" si="13"/>
        <v/>
      </c>
      <c r="N135" s="3" t="str">
        <f t="shared" si="12"/>
        <v/>
      </c>
      <c r="O135" s="6" t="str">
        <f t="shared" si="15"/>
        <v/>
      </c>
      <c r="P135" s="7">
        <f ca="1">SUMIFS($N$2:$N135,$B$2:$B135,"&lt;&gt;"&amp;B135)+SUM($Q$2:$Q135)</f>
        <v>135.05500000000001</v>
      </c>
      <c r="R135" t="b">
        <f>AND(ISNUMBER(FIND($E135,Tables!$I$2)), ISNUMBER(FIND($D135,Tables!$J$2)), $E135&lt;&gt;"")</f>
        <v>0</v>
      </c>
    </row>
    <row r="136" spans="1:18" x14ac:dyDescent="0.3">
      <c r="A136">
        <f t="shared" si="11"/>
        <v>119</v>
      </c>
      <c r="B136" s="4"/>
      <c r="I136" s="8"/>
      <c r="J136" s="5" t="str">
        <f t="shared" si="14"/>
        <v/>
      </c>
      <c r="K136" s="3"/>
      <c r="L136" s="3" t="str">
        <f t="shared" si="13"/>
        <v/>
      </c>
      <c r="N136" s="3" t="str">
        <f t="shared" si="12"/>
        <v/>
      </c>
      <c r="O136" s="6" t="str">
        <f t="shared" si="15"/>
        <v/>
      </c>
      <c r="P136" s="7">
        <f ca="1">SUMIFS($N$2:$N136,$B$2:$B136,"&lt;&gt;"&amp;B136)+SUM($Q$2:$Q136)</f>
        <v>135.05500000000001</v>
      </c>
      <c r="R136" t="b">
        <f>AND(ISNUMBER(FIND($E136,Tables!$I$2)), ISNUMBER(FIND($D136,Tables!$J$2)), $E136&lt;&gt;"")</f>
        <v>0</v>
      </c>
    </row>
    <row r="137" spans="1:18" x14ac:dyDescent="0.3">
      <c r="A137">
        <f t="shared" si="11"/>
        <v>120</v>
      </c>
      <c r="B137" s="4"/>
      <c r="I137" s="8"/>
      <c r="J137" s="5" t="str">
        <f t="shared" si="14"/>
        <v/>
      </c>
      <c r="K137" s="3"/>
      <c r="L137" s="3" t="str">
        <f t="shared" si="13"/>
        <v/>
      </c>
      <c r="N137" s="3" t="str">
        <f t="shared" si="12"/>
        <v/>
      </c>
      <c r="O137" s="6" t="str">
        <f t="shared" si="15"/>
        <v/>
      </c>
      <c r="P137" s="7">
        <f ca="1">SUMIFS($N$2:$N137,$B$2:$B137,"&lt;&gt;"&amp;B137)+SUM($Q$2:$Q137)</f>
        <v>135.05500000000001</v>
      </c>
      <c r="R137" t="b">
        <f>AND(ISNUMBER(FIND($E137,Tables!$I$2)), ISNUMBER(FIND($D137,Tables!$J$2)), $E137&lt;&gt;"")</f>
        <v>0</v>
      </c>
    </row>
    <row r="138" spans="1:18" x14ac:dyDescent="0.3">
      <c r="A138">
        <f t="shared" si="11"/>
        <v>121</v>
      </c>
      <c r="B138" s="4"/>
      <c r="I138" s="8"/>
      <c r="J138" s="5" t="str">
        <f t="shared" si="14"/>
        <v/>
      </c>
      <c r="K138" s="3"/>
      <c r="L138" s="3" t="str">
        <f t="shared" si="13"/>
        <v/>
      </c>
      <c r="N138" s="3" t="str">
        <f t="shared" si="12"/>
        <v/>
      </c>
      <c r="O138" s="6" t="str">
        <f t="shared" si="15"/>
        <v/>
      </c>
      <c r="P138" s="7">
        <f ca="1">SUMIFS($N$2:$N138,$B$2:$B138,"&lt;&gt;"&amp;B138)+SUM($Q$2:$Q138)</f>
        <v>135.05500000000001</v>
      </c>
      <c r="R138" t="b">
        <f>AND(ISNUMBER(FIND($E138,Tables!$I$2)), ISNUMBER(FIND($D138,Tables!$J$2)), $E138&lt;&gt;"")</f>
        <v>0</v>
      </c>
    </row>
    <row r="139" spans="1:18" x14ac:dyDescent="0.3">
      <c r="A139">
        <f t="shared" si="11"/>
        <v>122</v>
      </c>
      <c r="B139" s="4"/>
      <c r="I139" s="8"/>
      <c r="J139" s="5" t="str">
        <f t="shared" si="14"/>
        <v/>
      </c>
      <c r="K139" s="3"/>
      <c r="L139" s="3" t="str">
        <f t="shared" si="13"/>
        <v/>
      </c>
      <c r="N139" s="3" t="str">
        <f t="shared" si="12"/>
        <v/>
      </c>
      <c r="O139" s="6" t="str">
        <f t="shared" si="15"/>
        <v/>
      </c>
      <c r="P139" s="7">
        <f ca="1">SUMIFS($N$2:$N139,$B$2:$B139,"&lt;&gt;"&amp;B139)+SUM($Q$2:$Q139)</f>
        <v>135.05500000000001</v>
      </c>
      <c r="R139" t="b">
        <f>AND(ISNUMBER(FIND($E139,Tables!$I$2)), ISNUMBER(FIND($D139,Tables!$J$2)), $E139&lt;&gt;"")</f>
        <v>0</v>
      </c>
    </row>
    <row r="140" spans="1:18" x14ac:dyDescent="0.3">
      <c r="A140">
        <f t="shared" si="11"/>
        <v>123</v>
      </c>
      <c r="B140" s="4"/>
      <c r="I140" s="8"/>
      <c r="J140" s="5" t="str">
        <f t="shared" si="14"/>
        <v/>
      </c>
      <c r="K140" s="3"/>
      <c r="L140" s="3" t="str">
        <f t="shared" si="13"/>
        <v/>
      </c>
      <c r="N140" s="3" t="str">
        <f t="shared" si="12"/>
        <v/>
      </c>
      <c r="O140" s="6" t="str">
        <f t="shared" si="15"/>
        <v/>
      </c>
      <c r="P140" s="7">
        <f ca="1">SUMIFS($N$2:$N140,$B$2:$B140,"&lt;&gt;"&amp;B140)+SUM($Q$2:$Q140)</f>
        <v>135.05500000000001</v>
      </c>
      <c r="R140" t="b">
        <f>AND(ISNUMBER(FIND($E140,Tables!$I$2)), ISNUMBER(FIND($D140,Tables!$J$2)), $E140&lt;&gt;"")</f>
        <v>0</v>
      </c>
    </row>
    <row r="141" spans="1:18" x14ac:dyDescent="0.3">
      <c r="A141">
        <f t="shared" si="11"/>
        <v>124</v>
      </c>
      <c r="B141" s="4"/>
      <c r="I141" s="8"/>
      <c r="J141" s="5" t="str">
        <f t="shared" si="14"/>
        <v/>
      </c>
      <c r="K141" s="3"/>
      <c r="L141" s="3" t="str">
        <f t="shared" si="13"/>
        <v/>
      </c>
      <c r="N141" s="3" t="str">
        <f t="shared" si="12"/>
        <v/>
      </c>
      <c r="O141" s="6" t="str">
        <f t="shared" si="15"/>
        <v/>
      </c>
      <c r="P141" s="7">
        <f ca="1">SUMIFS($N$2:$N141,$B$2:$B141,"&lt;&gt;"&amp;B141)+SUM($Q$2:$Q141)</f>
        <v>135.05500000000001</v>
      </c>
      <c r="R141" t="b">
        <f>AND(ISNUMBER(FIND($E141,Tables!$I$2)), ISNUMBER(FIND($D141,Tables!$J$2)), $E141&lt;&gt;"")</f>
        <v>0</v>
      </c>
    </row>
    <row r="142" spans="1:18" x14ac:dyDescent="0.3">
      <c r="A142">
        <f t="shared" si="11"/>
        <v>125</v>
      </c>
      <c r="B142" s="4"/>
      <c r="I142" s="8"/>
      <c r="J142" s="5" t="str">
        <f t="shared" si="14"/>
        <v/>
      </c>
      <c r="K142" s="3"/>
      <c r="L142" s="3" t="str">
        <f t="shared" si="13"/>
        <v/>
      </c>
      <c r="N142" s="3" t="str">
        <f t="shared" si="12"/>
        <v/>
      </c>
      <c r="O142" s="6" t="str">
        <f t="shared" si="15"/>
        <v/>
      </c>
      <c r="P142" s="7">
        <f ca="1">SUMIFS($N$2:$N142,$B$2:$B142,"&lt;&gt;"&amp;B142)+SUM($Q$2:$Q142)</f>
        <v>135.05500000000001</v>
      </c>
      <c r="R142" t="b">
        <f>AND(ISNUMBER(FIND($E142,Tables!$I$2)), ISNUMBER(FIND($D142,Tables!$J$2)), $E142&lt;&gt;"")</f>
        <v>0</v>
      </c>
    </row>
    <row r="143" spans="1:18" x14ac:dyDescent="0.3">
      <c r="A143">
        <f t="shared" si="11"/>
        <v>126</v>
      </c>
      <c r="B143" s="4"/>
      <c r="I143" s="8"/>
      <c r="J143" s="5" t="str">
        <f t="shared" si="14"/>
        <v/>
      </c>
      <c r="K143" s="3"/>
      <c r="L143" s="3" t="str">
        <f t="shared" si="13"/>
        <v/>
      </c>
      <c r="N143" s="3" t="str">
        <f t="shared" si="12"/>
        <v/>
      </c>
      <c r="O143" s="6" t="str">
        <f t="shared" si="15"/>
        <v/>
      </c>
      <c r="P143" s="7">
        <f ca="1">SUMIFS($N$2:$N143,$B$2:$B143,"&lt;&gt;"&amp;B143)+SUM($Q$2:$Q143)</f>
        <v>135.05500000000001</v>
      </c>
      <c r="R143" t="b">
        <f>AND(ISNUMBER(FIND($E143,Tables!$I$2)), ISNUMBER(FIND($D143,Tables!$J$2)), $E143&lt;&gt;"")</f>
        <v>0</v>
      </c>
    </row>
    <row r="144" spans="1:18" x14ac:dyDescent="0.3">
      <c r="A144">
        <f t="shared" si="11"/>
        <v>127</v>
      </c>
      <c r="B144" s="4"/>
      <c r="I144" s="8"/>
      <c r="J144" s="5" t="str">
        <f t="shared" si="14"/>
        <v/>
      </c>
      <c r="K144" s="3"/>
      <c r="L144" s="3" t="str">
        <f t="shared" si="13"/>
        <v/>
      </c>
      <c r="N144" s="3" t="str">
        <f t="shared" si="12"/>
        <v/>
      </c>
      <c r="O144" s="6" t="str">
        <f t="shared" si="15"/>
        <v/>
      </c>
      <c r="P144" s="7">
        <f ca="1">SUMIFS($N$2:$N144,$B$2:$B144,"&lt;&gt;"&amp;B144)+SUM($Q$2:$Q144)</f>
        <v>135.05500000000001</v>
      </c>
      <c r="R144" t="b">
        <f>AND(ISNUMBER(FIND($E144,Tables!$I$2)), ISNUMBER(FIND($D144,Tables!$J$2)), $E144&lt;&gt;"")</f>
        <v>0</v>
      </c>
    </row>
    <row r="145" spans="1:18" x14ac:dyDescent="0.3">
      <c r="A145">
        <f t="shared" si="11"/>
        <v>128</v>
      </c>
      <c r="B145" s="4"/>
      <c r="I145" s="8"/>
      <c r="J145" s="5" t="str">
        <f t="shared" si="14"/>
        <v/>
      </c>
      <c r="K145" s="3"/>
      <c r="L145" s="3" t="str">
        <f t="shared" si="13"/>
        <v/>
      </c>
      <c r="N145" s="3" t="str">
        <f t="shared" si="12"/>
        <v/>
      </c>
      <c r="O145" s="6" t="str">
        <f t="shared" si="15"/>
        <v/>
      </c>
      <c r="P145" s="7">
        <f ca="1">SUMIFS($N$2:$N145,$B$2:$B145,"&lt;&gt;"&amp;B145)+SUM($Q$2:$Q145)</f>
        <v>135.05500000000001</v>
      </c>
      <c r="R145" t="b">
        <f>AND(ISNUMBER(FIND($E145,Tables!$I$2)), ISNUMBER(FIND($D145,Tables!$J$2)), $E145&lt;&gt;"")</f>
        <v>0</v>
      </c>
    </row>
    <row r="146" spans="1:18" x14ac:dyDescent="0.3">
      <c r="A146">
        <f t="shared" si="11"/>
        <v>129</v>
      </c>
      <c r="B146" s="4"/>
      <c r="I146" s="8"/>
      <c r="J146" s="5" t="str">
        <f t="shared" si="14"/>
        <v/>
      </c>
      <c r="K146" s="3"/>
      <c r="L146" s="3" t="str">
        <f t="shared" si="13"/>
        <v/>
      </c>
      <c r="N146" s="3" t="str">
        <f t="shared" si="12"/>
        <v/>
      </c>
      <c r="O146" s="6" t="str">
        <f t="shared" si="15"/>
        <v/>
      </c>
      <c r="P146" s="7">
        <f ca="1">SUMIFS($N$2:$N146,$B$2:$B146,"&lt;&gt;"&amp;B146)+SUM($Q$2:$Q146)</f>
        <v>135.05500000000001</v>
      </c>
      <c r="R146" t="b">
        <f>AND(ISNUMBER(FIND($E146,Tables!$I$2)), ISNUMBER(FIND($D146,Tables!$J$2)), $E146&lt;&gt;"")</f>
        <v>0</v>
      </c>
    </row>
    <row r="147" spans="1:18" x14ac:dyDescent="0.3">
      <c r="A147">
        <f t="shared" si="11"/>
        <v>130</v>
      </c>
      <c r="B147" s="4"/>
      <c r="I147" s="8"/>
      <c r="J147" s="5" t="str">
        <f t="shared" si="14"/>
        <v/>
      </c>
      <c r="K147" s="3"/>
      <c r="L147" s="3" t="str">
        <f t="shared" si="13"/>
        <v/>
      </c>
      <c r="N147" s="3" t="str">
        <f t="shared" si="12"/>
        <v/>
      </c>
      <c r="O147" s="6" t="str">
        <f t="shared" si="15"/>
        <v/>
      </c>
      <c r="P147" s="7">
        <f ca="1">SUMIFS($N$2:$N147,$B$2:$B147,"&lt;&gt;"&amp;B147)+SUM($Q$2:$Q147)</f>
        <v>135.05500000000001</v>
      </c>
      <c r="R147" t="b">
        <f>AND(ISNUMBER(FIND($E147,Tables!$I$2)), ISNUMBER(FIND($D147,Tables!$J$2)), $E147&lt;&gt;"")</f>
        <v>0</v>
      </c>
    </row>
    <row r="148" spans="1:18" x14ac:dyDescent="0.3">
      <c r="A148">
        <f t="shared" si="11"/>
        <v>131</v>
      </c>
      <c r="B148" s="4"/>
      <c r="I148" s="8"/>
      <c r="J148" s="5" t="str">
        <f t="shared" si="14"/>
        <v/>
      </c>
      <c r="K148" s="3"/>
      <c r="L148" s="3" t="str">
        <f t="shared" si="13"/>
        <v/>
      </c>
      <c r="N148" s="3" t="str">
        <f t="shared" si="12"/>
        <v/>
      </c>
      <c r="O148" s="6" t="str">
        <f t="shared" si="15"/>
        <v/>
      </c>
      <c r="P148" s="7">
        <f ca="1">SUMIFS($N$2:$N148,$B$2:$B148,"&lt;&gt;"&amp;B148)+SUM($Q$2:$Q148)</f>
        <v>135.05500000000001</v>
      </c>
      <c r="R148" t="b">
        <f>AND(ISNUMBER(FIND($E148,Tables!$I$2)), ISNUMBER(FIND($D148,Tables!$J$2)), $E148&lt;&gt;"")</f>
        <v>0</v>
      </c>
    </row>
    <row r="149" spans="1:18" x14ac:dyDescent="0.3">
      <c r="A149">
        <f t="shared" si="11"/>
        <v>132</v>
      </c>
      <c r="B149" s="4"/>
      <c r="I149" s="8"/>
      <c r="J149" s="5" t="str">
        <f t="shared" si="14"/>
        <v/>
      </c>
      <c r="K149" s="3"/>
      <c r="L149" s="3" t="str">
        <f t="shared" si="13"/>
        <v/>
      </c>
      <c r="N149" s="3" t="str">
        <f t="shared" si="12"/>
        <v/>
      </c>
      <c r="O149" s="6" t="str">
        <f t="shared" si="15"/>
        <v/>
      </c>
      <c r="P149" s="7">
        <f ca="1">SUMIFS($N$2:$N149,$B$2:$B149,"&lt;&gt;"&amp;B149)+SUM($Q$2:$Q149)</f>
        <v>135.05500000000001</v>
      </c>
      <c r="R149" t="b">
        <f>AND(ISNUMBER(FIND($E149,Tables!$I$2)), ISNUMBER(FIND($D149,Tables!$J$2)), $E149&lt;&gt;"")</f>
        <v>0</v>
      </c>
    </row>
    <row r="150" spans="1:18" x14ac:dyDescent="0.3">
      <c r="A150">
        <f t="shared" si="11"/>
        <v>133</v>
      </c>
      <c r="B150" s="4"/>
      <c r="I150" s="8"/>
      <c r="J150" s="5" t="str">
        <f t="shared" si="14"/>
        <v/>
      </c>
      <c r="K150" s="3"/>
      <c r="L150" s="3" t="str">
        <f t="shared" si="13"/>
        <v/>
      </c>
      <c r="N150" s="3" t="str">
        <f t="shared" si="12"/>
        <v/>
      </c>
      <c r="O150" s="6" t="str">
        <f t="shared" si="15"/>
        <v/>
      </c>
      <c r="P150" s="7">
        <f ca="1">SUMIFS($N$2:$N150,$B$2:$B150,"&lt;&gt;"&amp;B150)+SUM($Q$2:$Q150)</f>
        <v>135.05500000000001</v>
      </c>
      <c r="R150" t="b">
        <f>AND(ISNUMBER(FIND($E150,Tables!$I$2)), ISNUMBER(FIND($D150,Tables!$J$2)), $E150&lt;&gt;"")</f>
        <v>0</v>
      </c>
    </row>
    <row r="151" spans="1:18" x14ac:dyDescent="0.3">
      <c r="A151">
        <f t="shared" si="11"/>
        <v>134</v>
      </c>
      <c r="B151" s="4"/>
      <c r="I151" s="8"/>
      <c r="J151" s="5" t="str">
        <f t="shared" si="14"/>
        <v/>
      </c>
      <c r="K151" s="3"/>
      <c r="L151" s="3" t="str">
        <f t="shared" si="13"/>
        <v/>
      </c>
      <c r="N151" s="3" t="str">
        <f t="shared" si="12"/>
        <v/>
      </c>
      <c r="O151" s="6" t="str">
        <f t="shared" si="15"/>
        <v/>
      </c>
      <c r="P151" s="7">
        <f ca="1">SUMIFS($N$2:$N151,$B$2:$B151,"&lt;&gt;"&amp;B151)+SUM($Q$2:$Q151)</f>
        <v>135.05500000000001</v>
      </c>
      <c r="R151" t="b">
        <f>AND(ISNUMBER(FIND($E151,Tables!$I$2)), ISNUMBER(FIND($D151,Tables!$J$2)), $E151&lt;&gt;"")</f>
        <v>0</v>
      </c>
    </row>
    <row r="152" spans="1:18" x14ac:dyDescent="0.3">
      <c r="A152">
        <f t="shared" si="11"/>
        <v>135</v>
      </c>
      <c r="B152" s="4"/>
      <c r="I152" s="8"/>
      <c r="J152" s="5" t="str">
        <f t="shared" si="14"/>
        <v/>
      </c>
      <c r="K152" s="3"/>
      <c r="L152" s="3" t="str">
        <f t="shared" si="13"/>
        <v/>
      </c>
      <c r="N152" s="3" t="str">
        <f t="shared" si="12"/>
        <v/>
      </c>
      <c r="O152" s="6" t="str">
        <f t="shared" si="15"/>
        <v/>
      </c>
      <c r="P152" s="7">
        <f ca="1">SUMIFS($N$2:$N152,$B$2:$B152,"&lt;&gt;"&amp;B152)+SUM($Q$2:$Q152)</f>
        <v>135.05500000000001</v>
      </c>
      <c r="R152" t="b">
        <f>AND(ISNUMBER(FIND($E152,Tables!$I$2)), ISNUMBER(FIND($D152,Tables!$J$2)), $E152&lt;&gt;"")</f>
        <v>0</v>
      </c>
    </row>
    <row r="153" spans="1:18" x14ac:dyDescent="0.3">
      <c r="A153">
        <f t="shared" si="11"/>
        <v>136</v>
      </c>
      <c r="B153" s="4"/>
      <c r="I153" s="8"/>
      <c r="J153" s="5" t="str">
        <f t="shared" si="14"/>
        <v/>
      </c>
      <c r="K153" s="3"/>
      <c r="L153" s="3" t="str">
        <f t="shared" si="13"/>
        <v/>
      </c>
      <c r="N153" s="3" t="str">
        <f t="shared" si="12"/>
        <v/>
      </c>
      <c r="O153" s="6" t="str">
        <f t="shared" si="15"/>
        <v/>
      </c>
      <c r="P153" s="7">
        <f ca="1">SUMIFS($N$2:$N153,$B$2:$B153,"&lt;&gt;"&amp;B153)+SUM($Q$2:$Q153)</f>
        <v>135.05500000000001</v>
      </c>
      <c r="R153" t="b">
        <f>AND(ISNUMBER(FIND($E153,Tables!$I$2)), ISNUMBER(FIND($D153,Tables!$J$2)), $E153&lt;&gt;"")</f>
        <v>0</v>
      </c>
    </row>
    <row r="154" spans="1:18" x14ac:dyDescent="0.3">
      <c r="A154">
        <f t="shared" si="11"/>
        <v>137</v>
      </c>
      <c r="B154" s="4"/>
      <c r="I154" s="8"/>
      <c r="J154" s="5" t="str">
        <f t="shared" si="14"/>
        <v/>
      </c>
      <c r="K154" s="3"/>
      <c r="L154" s="3" t="str">
        <f t="shared" si="13"/>
        <v/>
      </c>
      <c r="N154" s="3" t="str">
        <f t="shared" si="12"/>
        <v/>
      </c>
      <c r="O154" s="6" t="str">
        <f t="shared" si="15"/>
        <v/>
      </c>
      <c r="P154" s="7">
        <f ca="1">SUMIFS($N$2:$N154,$B$2:$B154,"&lt;&gt;"&amp;B154)+SUM($Q$2:$Q154)</f>
        <v>135.05500000000001</v>
      </c>
      <c r="R154" t="b">
        <f>AND(ISNUMBER(FIND($E154,Tables!$I$2)), ISNUMBER(FIND($D154,Tables!$J$2)), $E154&lt;&gt;"")</f>
        <v>0</v>
      </c>
    </row>
    <row r="155" spans="1:18" x14ac:dyDescent="0.3">
      <c r="A155">
        <f t="shared" si="11"/>
        <v>138</v>
      </c>
      <c r="B155" s="4"/>
      <c r="I155" s="8"/>
      <c r="J155" s="5" t="str">
        <f t="shared" si="14"/>
        <v/>
      </c>
      <c r="K155" s="3"/>
      <c r="L155" s="3" t="str">
        <f t="shared" si="13"/>
        <v/>
      </c>
      <c r="N155" s="3" t="str">
        <f t="shared" si="12"/>
        <v/>
      </c>
      <c r="O155" s="6" t="str">
        <f t="shared" si="15"/>
        <v/>
      </c>
      <c r="P155" s="7">
        <f ca="1">SUMIFS($N$2:$N155,$B$2:$B155,"&lt;&gt;"&amp;B155)+SUM($Q$2:$Q155)</f>
        <v>135.05500000000001</v>
      </c>
      <c r="R155" t="b">
        <f>AND(ISNUMBER(FIND($E155,Tables!$I$2)), ISNUMBER(FIND($D155,Tables!$J$2)), $E155&lt;&gt;"")</f>
        <v>0</v>
      </c>
    </row>
    <row r="156" spans="1:18" x14ac:dyDescent="0.3">
      <c r="A156">
        <f t="shared" si="11"/>
        <v>139</v>
      </c>
      <c r="B156" s="4"/>
      <c r="I156" s="8"/>
      <c r="J156" s="5" t="str">
        <f t="shared" si="14"/>
        <v/>
      </c>
      <c r="K156" s="3"/>
      <c r="L156" s="3" t="str">
        <f t="shared" si="13"/>
        <v/>
      </c>
      <c r="N156" s="3" t="str">
        <f t="shared" si="12"/>
        <v/>
      </c>
      <c r="O156" s="6" t="str">
        <f t="shared" si="15"/>
        <v/>
      </c>
      <c r="P156" s="7">
        <f ca="1">SUMIFS($N$2:$N156,$B$2:$B156,"&lt;&gt;"&amp;B156)+SUM($Q$2:$Q156)</f>
        <v>135.05500000000001</v>
      </c>
      <c r="R156" t="b">
        <f>AND(ISNUMBER(FIND($E156,Tables!$I$2)), ISNUMBER(FIND($D156,Tables!$J$2)), $E156&lt;&gt;"")</f>
        <v>0</v>
      </c>
    </row>
    <row r="157" spans="1:18" x14ac:dyDescent="0.3">
      <c r="A157">
        <f t="shared" si="11"/>
        <v>140</v>
      </c>
      <c r="B157" s="4"/>
      <c r="I157" s="8"/>
      <c r="J157" s="5" t="str">
        <f t="shared" si="14"/>
        <v/>
      </c>
      <c r="K157" s="3"/>
      <c r="L157" s="3" t="str">
        <f t="shared" si="13"/>
        <v/>
      </c>
      <c r="N157" s="3" t="str">
        <f t="shared" si="12"/>
        <v/>
      </c>
      <c r="O157" s="6" t="str">
        <f t="shared" si="15"/>
        <v/>
      </c>
      <c r="P157" s="7">
        <f ca="1">SUMIFS($N$2:$N157,$B$2:$B157,"&lt;&gt;"&amp;B157)+SUM($Q$2:$Q157)</f>
        <v>135.05500000000001</v>
      </c>
      <c r="R157" t="b">
        <f>AND(ISNUMBER(FIND($E157,Tables!$I$2)), ISNUMBER(FIND($D157,Tables!$J$2)), $E157&lt;&gt;"")</f>
        <v>0</v>
      </c>
    </row>
    <row r="158" spans="1:18" x14ac:dyDescent="0.3">
      <c r="A158">
        <f t="shared" si="11"/>
        <v>141</v>
      </c>
      <c r="B158" s="4"/>
      <c r="I158" s="8"/>
      <c r="J158" s="5" t="str">
        <f t="shared" si="14"/>
        <v/>
      </c>
      <c r="K158" s="3"/>
      <c r="L158" s="3" t="str">
        <f t="shared" si="13"/>
        <v/>
      </c>
      <c r="N158" s="3" t="str">
        <f t="shared" si="12"/>
        <v/>
      </c>
      <c r="O158" s="6" t="str">
        <f t="shared" si="15"/>
        <v/>
      </c>
      <c r="P158" s="7">
        <f ca="1">SUMIFS($N$2:$N158,$B$2:$B158,"&lt;&gt;"&amp;B158)+SUM($Q$2:$Q158)</f>
        <v>135.05500000000001</v>
      </c>
      <c r="R158" t="b">
        <f>AND(ISNUMBER(FIND($E158,Tables!$I$2)), ISNUMBER(FIND($D158,Tables!$J$2)), $E158&lt;&gt;"")</f>
        <v>0</v>
      </c>
    </row>
    <row r="159" spans="1:18" x14ac:dyDescent="0.3">
      <c r="A159">
        <f t="shared" si="11"/>
        <v>142</v>
      </c>
      <c r="B159" s="4"/>
      <c r="I159" s="8"/>
      <c r="J159" s="5" t="str">
        <f t="shared" si="14"/>
        <v/>
      </c>
      <c r="K159" s="3"/>
      <c r="L159" s="3" t="str">
        <f t="shared" si="13"/>
        <v/>
      </c>
      <c r="N159" s="3" t="str">
        <f t="shared" si="12"/>
        <v/>
      </c>
      <c r="O159" s="6" t="str">
        <f t="shared" si="15"/>
        <v/>
      </c>
      <c r="P159" s="7">
        <f ca="1">SUMIFS($N$2:$N159,$B$2:$B159,"&lt;&gt;"&amp;B159)+SUM($Q$2:$Q159)</f>
        <v>135.05500000000001</v>
      </c>
      <c r="R159" t="b">
        <f>AND(ISNUMBER(FIND($E159,Tables!$I$2)), ISNUMBER(FIND($D159,Tables!$J$2)), $E159&lt;&gt;"")</f>
        <v>0</v>
      </c>
    </row>
    <row r="160" spans="1:18" x14ac:dyDescent="0.3">
      <c r="A160">
        <f t="shared" si="11"/>
        <v>143</v>
      </c>
      <c r="B160" s="4"/>
      <c r="I160" s="8"/>
      <c r="J160" s="5" t="str">
        <f t="shared" si="14"/>
        <v/>
      </c>
      <c r="K160" s="3"/>
      <c r="L160" s="3" t="str">
        <f t="shared" si="13"/>
        <v/>
      </c>
      <c r="N160" s="3" t="str">
        <f t="shared" si="12"/>
        <v/>
      </c>
      <c r="O160" s="6" t="str">
        <f t="shared" si="15"/>
        <v/>
      </c>
      <c r="P160" s="7">
        <f ca="1">SUMIFS($N$2:$N160,$B$2:$B160,"&lt;&gt;"&amp;B160)+SUM($Q$2:$Q160)</f>
        <v>135.05500000000001</v>
      </c>
      <c r="R160" t="b">
        <f>AND(ISNUMBER(FIND($E160,Tables!$I$2)), ISNUMBER(FIND($D160,Tables!$J$2)), $E160&lt;&gt;"")</f>
        <v>0</v>
      </c>
    </row>
    <row r="161" spans="1:18" x14ac:dyDescent="0.3">
      <c r="A161">
        <f t="shared" si="11"/>
        <v>144</v>
      </c>
      <c r="B161" s="4"/>
      <c r="I161" s="8"/>
      <c r="J161" s="5" t="str">
        <f t="shared" si="14"/>
        <v/>
      </c>
      <c r="K161" s="3"/>
      <c r="L161" s="3" t="str">
        <f t="shared" si="13"/>
        <v/>
      </c>
      <c r="N161" s="3" t="str">
        <f t="shared" si="12"/>
        <v/>
      </c>
      <c r="O161" s="6" t="str">
        <f t="shared" si="15"/>
        <v/>
      </c>
      <c r="P161" s="7">
        <f ca="1">SUMIFS($N$2:$N161,$B$2:$B161,"&lt;&gt;"&amp;B161)+SUM($Q$2:$Q161)</f>
        <v>135.05500000000001</v>
      </c>
      <c r="R161" t="b">
        <f>AND(ISNUMBER(FIND($E161,Tables!$I$2)), ISNUMBER(FIND($D161,Tables!$J$2)), $E161&lt;&gt;"")</f>
        <v>0</v>
      </c>
    </row>
    <row r="162" spans="1:18" x14ac:dyDescent="0.3">
      <c r="A162">
        <f t="shared" ref="A162:A225" si="16">IF(AND(B162="", D162&lt;&gt;""), A161, A161+1)</f>
        <v>145</v>
      </c>
      <c r="B162" s="4"/>
      <c r="I162" s="8"/>
      <c r="J162" s="5" t="str">
        <f t="shared" si="14"/>
        <v/>
      </c>
      <c r="K162" s="3"/>
      <c r="L162" s="3" t="str">
        <f t="shared" si="13"/>
        <v/>
      </c>
      <c r="N162" s="3" t="str">
        <f t="shared" si="12"/>
        <v/>
      </c>
      <c r="O162" s="6" t="str">
        <f t="shared" si="15"/>
        <v/>
      </c>
      <c r="P162" s="7">
        <f ca="1">SUMIFS($N$2:$N162,$B$2:$B162,"&lt;&gt;"&amp;B162)+SUM($Q$2:$Q162)</f>
        <v>135.05500000000001</v>
      </c>
      <c r="R162" t="b">
        <f>AND(ISNUMBER(FIND($E162,Tables!$I$2)), ISNUMBER(FIND($D162,Tables!$J$2)), $E162&lt;&gt;"")</f>
        <v>0</v>
      </c>
    </row>
    <row r="163" spans="1:18" x14ac:dyDescent="0.3">
      <c r="A163">
        <f t="shared" si="16"/>
        <v>146</v>
      </c>
      <c r="B163" s="4"/>
      <c r="I163" s="8"/>
      <c r="J163" s="5" t="str">
        <f t="shared" si="14"/>
        <v/>
      </c>
      <c r="K163" s="3"/>
      <c r="L163" s="3" t="str">
        <f t="shared" si="13"/>
        <v/>
      </c>
      <c r="N163" s="3" t="str">
        <f t="shared" si="12"/>
        <v/>
      </c>
      <c r="O163" s="6" t="str">
        <f t="shared" si="15"/>
        <v/>
      </c>
      <c r="P163" s="7">
        <f ca="1">SUMIFS($N$2:$N163,$B$2:$B163,"&lt;&gt;"&amp;B163)+SUM($Q$2:$Q163)</f>
        <v>135.05500000000001</v>
      </c>
      <c r="R163" t="b">
        <f>AND(ISNUMBER(FIND($E163,Tables!$I$2)), ISNUMBER(FIND($D163,Tables!$J$2)), $E163&lt;&gt;"")</f>
        <v>0</v>
      </c>
    </row>
    <row r="164" spans="1:18" x14ac:dyDescent="0.3">
      <c r="A164">
        <f t="shared" si="16"/>
        <v>147</v>
      </c>
      <c r="B164" s="4"/>
      <c r="I164" s="8"/>
      <c r="J164" s="5" t="str">
        <f t="shared" si="14"/>
        <v/>
      </c>
      <c r="K164" s="3"/>
      <c r="L164" s="3" t="str">
        <f t="shared" si="13"/>
        <v/>
      </c>
      <c r="N164" s="3" t="str">
        <f t="shared" si="12"/>
        <v/>
      </c>
      <c r="O164" s="6" t="str">
        <f t="shared" si="15"/>
        <v/>
      </c>
      <c r="P164" s="7">
        <f ca="1">SUMIFS($N$2:$N164,$B$2:$B164,"&lt;&gt;"&amp;B164)+SUM($Q$2:$Q164)</f>
        <v>135.05500000000001</v>
      </c>
      <c r="R164" t="b">
        <f>AND(ISNUMBER(FIND($E164,Tables!$I$2)), ISNUMBER(FIND($D164,Tables!$J$2)), $E164&lt;&gt;"")</f>
        <v>0</v>
      </c>
    </row>
    <row r="165" spans="1:18" x14ac:dyDescent="0.3">
      <c r="A165">
        <f t="shared" si="16"/>
        <v>148</v>
      </c>
      <c r="B165" s="4"/>
      <c r="I165" s="8"/>
      <c r="J165" s="5" t="str">
        <f t="shared" si="14"/>
        <v/>
      </c>
      <c r="K165" s="3"/>
      <c r="L165" s="3" t="str">
        <f t="shared" si="13"/>
        <v/>
      </c>
      <c r="N165" s="3" t="str">
        <f t="shared" si="12"/>
        <v/>
      </c>
      <c r="O165" s="6" t="str">
        <f t="shared" si="15"/>
        <v/>
      </c>
      <c r="P165" s="7">
        <f ca="1">SUMIFS($N$2:$N165,$B$2:$B165,"&lt;&gt;"&amp;B165)+SUM($Q$2:$Q165)</f>
        <v>135.05500000000001</v>
      </c>
      <c r="R165" t="b">
        <f>AND(ISNUMBER(FIND($E165,Tables!$I$2)), ISNUMBER(FIND($D165,Tables!$J$2)), $E165&lt;&gt;"")</f>
        <v>0</v>
      </c>
    </row>
    <row r="166" spans="1:18" x14ac:dyDescent="0.3">
      <c r="A166">
        <f t="shared" si="16"/>
        <v>149</v>
      </c>
      <c r="B166" s="4"/>
      <c r="I166" s="8"/>
      <c r="J166" s="5" t="str">
        <f t="shared" si="14"/>
        <v/>
      </c>
      <c r="K166" s="3"/>
      <c r="L166" s="3" t="str">
        <f t="shared" si="13"/>
        <v/>
      </c>
      <c r="N166" s="3" t="str">
        <f t="shared" si="12"/>
        <v/>
      </c>
      <c r="O166" s="6" t="str">
        <f t="shared" si="15"/>
        <v/>
      </c>
      <c r="P166" s="7">
        <f ca="1">SUMIFS($N$2:$N166,$B$2:$B166,"&lt;&gt;"&amp;B166)+SUM($Q$2:$Q166)</f>
        <v>135.05500000000001</v>
      </c>
      <c r="R166" t="b">
        <f>AND(ISNUMBER(FIND($E166,Tables!$I$2)), ISNUMBER(FIND($D166,Tables!$J$2)), $E166&lt;&gt;"")</f>
        <v>0</v>
      </c>
    </row>
    <row r="167" spans="1:18" x14ac:dyDescent="0.3">
      <c r="A167">
        <f t="shared" si="16"/>
        <v>150</v>
      </c>
      <c r="B167" s="4"/>
      <c r="I167" s="8"/>
      <c r="J167" s="5" t="str">
        <f t="shared" si="14"/>
        <v/>
      </c>
      <c r="K167" s="3"/>
      <c r="L167" s="3" t="str">
        <f t="shared" si="13"/>
        <v/>
      </c>
      <c r="N167" s="3" t="str">
        <f t="shared" si="12"/>
        <v/>
      </c>
      <c r="O167" s="6" t="str">
        <f t="shared" si="15"/>
        <v/>
      </c>
      <c r="P167" s="7">
        <f ca="1">SUMIFS($N$2:$N167,$B$2:$B167,"&lt;&gt;"&amp;B167)+SUM($Q$2:$Q167)</f>
        <v>135.05500000000001</v>
      </c>
      <c r="R167" t="b">
        <f>AND(ISNUMBER(FIND($E167,Tables!$I$2)), ISNUMBER(FIND($D167,Tables!$J$2)), $E167&lt;&gt;"")</f>
        <v>0</v>
      </c>
    </row>
    <row r="168" spans="1:18" x14ac:dyDescent="0.3">
      <c r="A168">
        <f t="shared" si="16"/>
        <v>151</v>
      </c>
      <c r="B168" s="4"/>
      <c r="I168" s="8"/>
      <c r="J168" s="5" t="str">
        <f t="shared" si="14"/>
        <v/>
      </c>
      <c r="K168" s="3"/>
      <c r="L168" s="3" t="str">
        <f t="shared" si="13"/>
        <v/>
      </c>
      <c r="N168" s="3" t="str">
        <f t="shared" ref="N168:N231" si="17">IF(L168 = "", "", IF(M168="", "", IF(OR(M168="Draw",M168="NC"), 0, IF(M168="win", L168, -1*K168))))</f>
        <v/>
      </c>
      <c r="O168" s="6" t="str">
        <f t="shared" si="15"/>
        <v/>
      </c>
      <c r="P168" s="7">
        <f ca="1">SUMIFS($N$2:$N168,$B$2:$B168,"&lt;&gt;"&amp;B168)+SUM($Q$2:$Q168)</f>
        <v>135.05500000000001</v>
      </c>
      <c r="R168" t="b">
        <f>AND(ISNUMBER(FIND($E168,Tables!$I$2)), ISNUMBER(FIND($D168,Tables!$J$2)), $E168&lt;&gt;"")</f>
        <v>0</v>
      </c>
    </row>
    <row r="169" spans="1:18" x14ac:dyDescent="0.3">
      <c r="A169">
        <f t="shared" si="16"/>
        <v>152</v>
      </c>
      <c r="B169" s="4"/>
      <c r="I169" s="8"/>
      <c r="J169" s="5" t="str">
        <f t="shared" si="14"/>
        <v/>
      </c>
      <c r="K169" s="3"/>
      <c r="L169" s="3" t="str">
        <f t="shared" si="13"/>
        <v/>
      </c>
      <c r="N169" s="3" t="str">
        <f t="shared" si="17"/>
        <v/>
      </c>
      <c r="O169" s="6" t="str">
        <f t="shared" si="15"/>
        <v/>
      </c>
      <c r="P169" s="7">
        <f ca="1">SUMIFS($N$2:$N169,$B$2:$B169,"&lt;&gt;"&amp;B169)+SUM($Q$2:$Q169)</f>
        <v>135.05500000000001</v>
      </c>
      <c r="R169" t="b">
        <f>AND(ISNUMBER(FIND($E169,Tables!$I$2)), ISNUMBER(FIND($D169,Tables!$J$2)), $E169&lt;&gt;"")</f>
        <v>0</v>
      </c>
    </row>
    <row r="170" spans="1:18" x14ac:dyDescent="0.3">
      <c r="A170">
        <f t="shared" si="16"/>
        <v>153</v>
      </c>
      <c r="B170" s="4"/>
      <c r="I170" s="8"/>
      <c r="J170" s="5" t="str">
        <f t="shared" si="14"/>
        <v/>
      </c>
      <c r="K170" s="3"/>
      <c r="L170" s="3" t="str">
        <f t="shared" si="13"/>
        <v/>
      </c>
      <c r="N170" s="3" t="str">
        <f t="shared" si="17"/>
        <v/>
      </c>
      <c r="O170" s="6" t="str">
        <f t="shared" si="15"/>
        <v/>
      </c>
      <c r="P170" s="7">
        <f ca="1">SUMIFS($N$2:$N170,$B$2:$B170,"&lt;&gt;"&amp;B170)+SUM($Q$2:$Q170)</f>
        <v>135.05500000000001</v>
      </c>
      <c r="R170" t="b">
        <f>AND(ISNUMBER(FIND($E170,Tables!$I$2)), ISNUMBER(FIND($D170,Tables!$J$2)), $E170&lt;&gt;"")</f>
        <v>0</v>
      </c>
    </row>
    <row r="171" spans="1:18" x14ac:dyDescent="0.3">
      <c r="A171">
        <f t="shared" si="16"/>
        <v>154</v>
      </c>
      <c r="B171" s="4"/>
      <c r="I171" s="8"/>
      <c r="J171" s="5" t="str">
        <f t="shared" si="14"/>
        <v/>
      </c>
      <c r="K171" s="3"/>
      <c r="L171" s="3" t="str">
        <f t="shared" si="13"/>
        <v/>
      </c>
      <c r="N171" s="3" t="str">
        <f t="shared" si="17"/>
        <v/>
      </c>
      <c r="O171" s="6" t="str">
        <f t="shared" si="15"/>
        <v/>
      </c>
      <c r="P171" s="7">
        <f ca="1">SUMIFS($N$2:$N171,$B$2:$B171,"&lt;&gt;"&amp;B171)+SUM($Q$2:$Q171)</f>
        <v>135.05500000000001</v>
      </c>
      <c r="R171" t="b">
        <f>AND(ISNUMBER(FIND($E171,Tables!$I$2)), ISNUMBER(FIND($D171,Tables!$J$2)), $E171&lt;&gt;"")</f>
        <v>0</v>
      </c>
    </row>
    <row r="172" spans="1:18" x14ac:dyDescent="0.3">
      <c r="A172">
        <f t="shared" si="16"/>
        <v>155</v>
      </c>
      <c r="B172" s="4"/>
      <c r="I172" s="8"/>
      <c r="J172" s="5" t="str">
        <f t="shared" si="14"/>
        <v/>
      </c>
      <c r="K172" s="3"/>
      <c r="L172" s="3" t="str">
        <f t="shared" si="13"/>
        <v/>
      </c>
      <c r="N172" s="3" t="str">
        <f t="shared" si="17"/>
        <v/>
      </c>
      <c r="O172" s="6" t="str">
        <f t="shared" si="15"/>
        <v/>
      </c>
      <c r="P172" s="7">
        <f ca="1">SUMIFS($N$2:$N172,$B$2:$B172,"&lt;&gt;"&amp;B172)+SUM($Q$2:$Q172)</f>
        <v>135.05500000000001</v>
      </c>
      <c r="R172" t="b">
        <f>AND(ISNUMBER(FIND($E172,Tables!$I$2)), ISNUMBER(FIND($D172,Tables!$J$2)), $E172&lt;&gt;"")</f>
        <v>0</v>
      </c>
    </row>
    <row r="173" spans="1:18" x14ac:dyDescent="0.3">
      <c r="A173">
        <f t="shared" si="16"/>
        <v>156</v>
      </c>
      <c r="B173" s="4"/>
      <c r="I173" s="8"/>
      <c r="J173" s="5" t="str">
        <f t="shared" si="14"/>
        <v/>
      </c>
      <c r="K173" s="3"/>
      <c r="L173" s="3" t="str">
        <f t="shared" si="13"/>
        <v/>
      </c>
      <c r="N173" s="3" t="str">
        <f t="shared" si="17"/>
        <v/>
      </c>
      <c r="O173" s="6" t="str">
        <f t="shared" si="15"/>
        <v/>
      </c>
      <c r="P173" s="7">
        <f ca="1">SUMIFS($N$2:$N173,$B$2:$B173,"&lt;&gt;"&amp;B173)+SUM($Q$2:$Q173)</f>
        <v>135.05500000000001</v>
      </c>
      <c r="R173" t="b">
        <f>AND(ISNUMBER(FIND($E173,Tables!$I$2)), ISNUMBER(FIND($D173,Tables!$J$2)), $E173&lt;&gt;"")</f>
        <v>0</v>
      </c>
    </row>
    <row r="174" spans="1:18" x14ac:dyDescent="0.3">
      <c r="A174">
        <f t="shared" si="16"/>
        <v>157</v>
      </c>
      <c r="B174" s="4"/>
      <c r="I174" s="8"/>
      <c r="J174" s="5" t="str">
        <f t="shared" si="14"/>
        <v/>
      </c>
      <c r="K174" s="3"/>
      <c r="L174" s="3" t="str">
        <f t="shared" si="13"/>
        <v/>
      </c>
      <c r="N174" s="3" t="str">
        <f t="shared" si="17"/>
        <v/>
      </c>
      <c r="O174" s="6" t="str">
        <f t="shared" si="15"/>
        <v/>
      </c>
      <c r="P174" s="7">
        <f ca="1">SUMIFS($N$2:$N174,$B$2:$B174,"&lt;&gt;"&amp;B174)+SUM($Q$2:$Q174)</f>
        <v>135.05500000000001</v>
      </c>
      <c r="R174" t="b">
        <f>AND(ISNUMBER(FIND($E174,Tables!$I$2)), ISNUMBER(FIND($D174,Tables!$J$2)), $E174&lt;&gt;"")</f>
        <v>0</v>
      </c>
    </row>
    <row r="175" spans="1:18" x14ac:dyDescent="0.3">
      <c r="A175">
        <f t="shared" si="16"/>
        <v>158</v>
      </c>
      <c r="B175" s="4"/>
      <c r="I175" s="8"/>
      <c r="J175" s="5" t="str">
        <f t="shared" si="14"/>
        <v/>
      </c>
      <c r="K175" s="3"/>
      <c r="L175" s="3" t="str">
        <f t="shared" si="13"/>
        <v/>
      </c>
      <c r="N175" s="3" t="str">
        <f t="shared" si="17"/>
        <v/>
      </c>
      <c r="O175" s="6" t="str">
        <f t="shared" si="15"/>
        <v/>
      </c>
      <c r="P175" s="7">
        <f ca="1">SUMIFS($N$2:$N175,$B$2:$B175,"&lt;&gt;"&amp;B175)+SUM($Q$2:$Q175)</f>
        <v>135.05500000000001</v>
      </c>
      <c r="R175" t="b">
        <f>AND(ISNUMBER(FIND($E175,Tables!$I$2)), ISNUMBER(FIND($D175,Tables!$J$2)), $E175&lt;&gt;"")</f>
        <v>0</v>
      </c>
    </row>
    <row r="176" spans="1:18" x14ac:dyDescent="0.3">
      <c r="A176">
        <f t="shared" si="16"/>
        <v>159</v>
      </c>
      <c r="B176" s="4"/>
      <c r="I176" s="8"/>
      <c r="J176" s="5" t="str">
        <f t="shared" si="14"/>
        <v/>
      </c>
      <c r="K176" s="3"/>
      <c r="L176" s="3" t="str">
        <f t="shared" si="13"/>
        <v/>
      </c>
      <c r="N176" s="3" t="str">
        <f t="shared" si="17"/>
        <v/>
      </c>
      <c r="O176" s="6" t="str">
        <f t="shared" si="15"/>
        <v/>
      </c>
      <c r="P176" s="7">
        <f ca="1">SUMIFS($N$2:$N176,$B$2:$B176,"&lt;&gt;"&amp;B176)+SUM($Q$2:$Q176)</f>
        <v>135.05500000000001</v>
      </c>
      <c r="R176" t="b">
        <f>AND(ISNUMBER(FIND($E176,Tables!$I$2)), ISNUMBER(FIND($D176,Tables!$J$2)), $E176&lt;&gt;"")</f>
        <v>0</v>
      </c>
    </row>
    <row r="177" spans="1:18" x14ac:dyDescent="0.3">
      <c r="A177">
        <f t="shared" si="16"/>
        <v>160</v>
      </c>
      <c r="B177" s="4"/>
      <c r="I177" s="8"/>
      <c r="J177" s="5" t="str">
        <f t="shared" si="14"/>
        <v/>
      </c>
      <c r="K177" s="3"/>
      <c r="L177" s="3" t="str">
        <f t="shared" si="13"/>
        <v/>
      </c>
      <c r="N177" s="3" t="str">
        <f t="shared" si="17"/>
        <v/>
      </c>
      <c r="O177" s="6" t="str">
        <f t="shared" si="15"/>
        <v/>
      </c>
      <c r="P177" s="7">
        <f ca="1">SUMIFS($N$2:$N177,$B$2:$B177,"&lt;&gt;"&amp;B177)+SUM($Q$2:$Q177)</f>
        <v>135.05500000000001</v>
      </c>
      <c r="R177" t="b">
        <f>AND(ISNUMBER(FIND($E177,Tables!$I$2)), ISNUMBER(FIND($D177,Tables!$J$2)), $E177&lt;&gt;"")</f>
        <v>0</v>
      </c>
    </row>
    <row r="178" spans="1:18" x14ac:dyDescent="0.3">
      <c r="A178">
        <f t="shared" si="16"/>
        <v>161</v>
      </c>
      <c r="B178" s="4"/>
      <c r="I178" s="8"/>
      <c r="J178" s="5" t="str">
        <f t="shared" si="14"/>
        <v/>
      </c>
      <c r="K178" s="3"/>
      <c r="L178" s="3" t="str">
        <f t="shared" ref="L178:L241" si="18">IFERROR(IF(K178=0, "", IF(I178&gt;0, K178/100*I178,K178/I178*-100)), "")</f>
        <v/>
      </c>
      <c r="N178" s="3" t="str">
        <f t="shared" si="17"/>
        <v/>
      </c>
      <c r="O178" s="6" t="str">
        <f t="shared" si="15"/>
        <v/>
      </c>
      <c r="P178" s="7">
        <f ca="1">SUMIFS($N$2:$N178,$B$2:$B178,"&lt;&gt;"&amp;B178)+SUM($Q$2:$Q178)</f>
        <v>135.05500000000001</v>
      </c>
      <c r="R178" t="b">
        <f>AND(ISNUMBER(FIND($E178,Tables!$I$2)), ISNUMBER(FIND($D178,Tables!$J$2)), $E178&lt;&gt;"")</f>
        <v>0</v>
      </c>
    </row>
    <row r="179" spans="1:18" x14ac:dyDescent="0.3">
      <c r="A179">
        <f t="shared" si="16"/>
        <v>162</v>
      </c>
      <c r="B179" s="4"/>
      <c r="I179" s="8"/>
      <c r="J179" s="5" t="str">
        <f t="shared" si="14"/>
        <v/>
      </c>
      <c r="K179" s="3"/>
      <c r="L179" s="3" t="str">
        <f t="shared" si="18"/>
        <v/>
      </c>
      <c r="N179" s="3" t="str">
        <f t="shared" si="17"/>
        <v/>
      </c>
      <c r="O179" s="6" t="str">
        <f t="shared" si="15"/>
        <v/>
      </c>
      <c r="P179" s="7">
        <f ca="1">SUMIFS($N$2:$N179,$B$2:$B179,"&lt;&gt;"&amp;B179)+SUM($Q$2:$Q179)</f>
        <v>135.05500000000001</v>
      </c>
      <c r="R179" t="b">
        <f>AND(ISNUMBER(FIND($E179,Tables!$I$2)), ISNUMBER(FIND($D179,Tables!$J$2)), $E179&lt;&gt;"")</f>
        <v>0</v>
      </c>
    </row>
    <row r="180" spans="1:18" x14ac:dyDescent="0.3">
      <c r="A180">
        <f t="shared" si="16"/>
        <v>163</v>
      </c>
      <c r="B180" s="4"/>
      <c r="I180" s="8"/>
      <c r="J180" s="5" t="str">
        <f t="shared" si="14"/>
        <v/>
      </c>
      <c r="K180" s="3"/>
      <c r="L180" s="3" t="str">
        <f t="shared" si="18"/>
        <v/>
      </c>
      <c r="N180" s="3" t="str">
        <f t="shared" si="17"/>
        <v/>
      </c>
      <c r="O180" s="6" t="str">
        <f t="shared" si="15"/>
        <v/>
      </c>
      <c r="P180" s="7">
        <f ca="1">SUMIFS($N$2:$N180,$B$2:$B180,"&lt;&gt;"&amp;B180)+SUM($Q$2:$Q180)</f>
        <v>135.05500000000001</v>
      </c>
      <c r="R180" t="b">
        <f>AND(ISNUMBER(FIND($E180,Tables!$I$2)), ISNUMBER(FIND($D180,Tables!$J$2)), $E180&lt;&gt;"")</f>
        <v>0</v>
      </c>
    </row>
    <row r="181" spans="1:18" x14ac:dyDescent="0.3">
      <c r="A181">
        <f t="shared" si="16"/>
        <v>164</v>
      </c>
      <c r="B181" s="4"/>
      <c r="I181" s="8"/>
      <c r="J181" s="5" t="str">
        <f t="shared" si="14"/>
        <v/>
      </c>
      <c r="K181" s="3"/>
      <c r="L181" s="3" t="str">
        <f t="shared" si="18"/>
        <v/>
      </c>
      <c r="N181" s="3" t="str">
        <f t="shared" si="17"/>
        <v/>
      </c>
      <c r="O181" s="6" t="str">
        <f t="shared" si="15"/>
        <v/>
      </c>
      <c r="P181" s="7">
        <f ca="1">SUMIFS($N$2:$N181,$B$2:$B181,"&lt;&gt;"&amp;B181)+SUM($Q$2:$Q181)</f>
        <v>135.05500000000001</v>
      </c>
      <c r="R181" t="b">
        <f>AND(ISNUMBER(FIND($E181,Tables!$I$2)), ISNUMBER(FIND($D181,Tables!$J$2)), $E181&lt;&gt;"")</f>
        <v>0</v>
      </c>
    </row>
    <row r="182" spans="1:18" x14ac:dyDescent="0.3">
      <c r="A182">
        <f t="shared" si="16"/>
        <v>165</v>
      </c>
      <c r="B182" s="4"/>
      <c r="I182" s="8"/>
      <c r="J182" s="5" t="str">
        <f t="shared" si="14"/>
        <v/>
      </c>
      <c r="K182" s="3"/>
      <c r="L182" s="3" t="str">
        <f t="shared" si="18"/>
        <v/>
      </c>
      <c r="N182" s="3" t="str">
        <f t="shared" si="17"/>
        <v/>
      </c>
      <c r="O182" s="6" t="str">
        <f t="shared" si="15"/>
        <v/>
      </c>
      <c r="P182" s="7">
        <f ca="1">SUMIFS($N$2:$N182,$B$2:$B182,"&lt;&gt;"&amp;B182)+SUM($Q$2:$Q182)</f>
        <v>135.05500000000001</v>
      </c>
      <c r="R182" t="b">
        <f>AND(ISNUMBER(FIND($E182,Tables!$I$2)), ISNUMBER(FIND($D182,Tables!$J$2)), $E182&lt;&gt;"")</f>
        <v>0</v>
      </c>
    </row>
    <row r="183" spans="1:18" x14ac:dyDescent="0.3">
      <c r="A183">
        <f t="shared" si="16"/>
        <v>166</v>
      </c>
      <c r="B183" s="4"/>
      <c r="I183" s="8"/>
      <c r="J183" s="5" t="str">
        <f t="shared" si="14"/>
        <v/>
      </c>
      <c r="K183" s="3"/>
      <c r="L183" s="3" t="str">
        <f t="shared" si="18"/>
        <v/>
      </c>
      <c r="N183" s="3" t="str">
        <f t="shared" si="17"/>
        <v/>
      </c>
      <c r="O183" s="6" t="str">
        <f t="shared" si="15"/>
        <v/>
      </c>
      <c r="P183" s="7">
        <f ca="1">SUMIFS($N$2:$N183,$B$2:$B183,"&lt;&gt;"&amp;B183)+SUM($Q$2:$Q183)</f>
        <v>135.05500000000001</v>
      </c>
      <c r="R183" t="b">
        <f>AND(ISNUMBER(FIND($E183,Tables!$I$2)), ISNUMBER(FIND($D183,Tables!$J$2)), $E183&lt;&gt;"")</f>
        <v>0</v>
      </c>
    </row>
    <row r="184" spans="1:18" x14ac:dyDescent="0.3">
      <c r="A184">
        <f t="shared" si="16"/>
        <v>167</v>
      </c>
      <c r="B184" s="4"/>
      <c r="I184" s="8"/>
      <c r="J184" s="5" t="str">
        <f t="shared" si="14"/>
        <v/>
      </c>
      <c r="K184" s="3"/>
      <c r="L184" s="3" t="str">
        <f t="shared" si="18"/>
        <v/>
      </c>
      <c r="N184" s="3" t="str">
        <f t="shared" si="17"/>
        <v/>
      </c>
      <c r="O184" s="6" t="str">
        <f t="shared" si="15"/>
        <v/>
      </c>
      <c r="P184" s="7">
        <f ca="1">SUMIFS($N$2:$N184,$B$2:$B184,"&lt;&gt;"&amp;B184)+SUM($Q$2:$Q184)</f>
        <v>135.05500000000001</v>
      </c>
      <c r="R184" t="b">
        <f>AND(ISNUMBER(FIND($E184,Tables!$I$2)), ISNUMBER(FIND($D184,Tables!$J$2)), $E184&lt;&gt;"")</f>
        <v>0</v>
      </c>
    </row>
    <row r="185" spans="1:18" x14ac:dyDescent="0.3">
      <c r="A185">
        <f t="shared" si="16"/>
        <v>168</v>
      </c>
      <c r="B185" s="4"/>
      <c r="I185" s="8"/>
      <c r="J185" s="5" t="str">
        <f t="shared" si="14"/>
        <v/>
      </c>
      <c r="K185" s="3"/>
      <c r="L185" s="3" t="str">
        <f t="shared" si="18"/>
        <v/>
      </c>
      <c r="N185" s="3" t="str">
        <f t="shared" si="17"/>
        <v/>
      </c>
      <c r="O185" s="6" t="str">
        <f t="shared" si="15"/>
        <v/>
      </c>
      <c r="P185" s="7">
        <f ca="1">SUMIFS($N$2:$N185,$B$2:$B185,"&lt;&gt;"&amp;B185)+SUM($Q$2:$Q185)</f>
        <v>135.05500000000001</v>
      </c>
      <c r="R185" t="b">
        <f>AND(ISNUMBER(FIND($E185,Tables!$I$2)), ISNUMBER(FIND($D185,Tables!$J$2)), $E185&lt;&gt;"")</f>
        <v>0</v>
      </c>
    </row>
    <row r="186" spans="1:18" x14ac:dyDescent="0.3">
      <c r="A186">
        <f t="shared" si="16"/>
        <v>169</v>
      </c>
      <c r="B186" s="4"/>
      <c r="I186" s="8"/>
      <c r="J186" s="5" t="str">
        <f t="shared" si="14"/>
        <v/>
      </c>
      <c r="K186" s="3"/>
      <c r="L186" s="3" t="str">
        <f t="shared" si="18"/>
        <v/>
      </c>
      <c r="N186" s="3" t="str">
        <f t="shared" si="17"/>
        <v/>
      </c>
      <c r="O186" s="6" t="str">
        <f t="shared" si="15"/>
        <v/>
      </c>
      <c r="P186" s="7">
        <f ca="1">SUMIFS($N$2:$N186,$B$2:$B186,"&lt;&gt;"&amp;B186)+SUM($Q$2:$Q186)</f>
        <v>135.05500000000001</v>
      </c>
      <c r="R186" t="b">
        <f>AND(ISNUMBER(FIND($E186,Tables!$I$2)), ISNUMBER(FIND($D186,Tables!$J$2)), $E186&lt;&gt;"")</f>
        <v>0</v>
      </c>
    </row>
    <row r="187" spans="1:18" x14ac:dyDescent="0.3">
      <c r="A187">
        <f t="shared" si="16"/>
        <v>170</v>
      </c>
      <c r="B187" s="4"/>
      <c r="I187" s="8"/>
      <c r="J187" s="5" t="str">
        <f t="shared" si="14"/>
        <v/>
      </c>
      <c r="K187" s="3"/>
      <c r="L187" s="3" t="str">
        <f t="shared" si="18"/>
        <v/>
      </c>
      <c r="N187" s="3" t="str">
        <f t="shared" si="17"/>
        <v/>
      </c>
      <c r="O187" s="6" t="str">
        <f t="shared" si="15"/>
        <v/>
      </c>
      <c r="P187" s="7">
        <f ca="1">SUMIFS($N$2:$N187,$B$2:$B187,"&lt;&gt;"&amp;B187)+SUM($Q$2:$Q187)</f>
        <v>135.05500000000001</v>
      </c>
      <c r="R187" t="b">
        <f>AND(ISNUMBER(FIND($E187,Tables!$I$2)), ISNUMBER(FIND($D187,Tables!$J$2)), $E187&lt;&gt;"")</f>
        <v>0</v>
      </c>
    </row>
    <row r="188" spans="1:18" x14ac:dyDescent="0.3">
      <c r="A188">
        <f t="shared" si="16"/>
        <v>171</v>
      </c>
      <c r="B188" s="4"/>
      <c r="I188" s="8"/>
      <c r="J188" s="5" t="str">
        <f t="shared" si="14"/>
        <v/>
      </c>
      <c r="K188" s="3"/>
      <c r="L188" s="3" t="str">
        <f t="shared" si="18"/>
        <v/>
      </c>
      <c r="N188" s="3" t="str">
        <f t="shared" si="17"/>
        <v/>
      </c>
      <c r="O188" s="6" t="str">
        <f t="shared" si="15"/>
        <v/>
      </c>
      <c r="P188" s="7">
        <f ca="1">SUMIFS($N$2:$N188,$B$2:$B188,"&lt;&gt;"&amp;B188)+SUM($Q$2:$Q188)</f>
        <v>135.05500000000001</v>
      </c>
      <c r="R188" t="b">
        <f>AND(ISNUMBER(FIND($E188,Tables!$I$2)), ISNUMBER(FIND($D188,Tables!$J$2)), $E188&lt;&gt;"")</f>
        <v>0</v>
      </c>
    </row>
    <row r="189" spans="1:18" x14ac:dyDescent="0.3">
      <c r="A189">
        <f t="shared" si="16"/>
        <v>172</v>
      </c>
      <c r="B189" s="4"/>
      <c r="I189" s="8"/>
      <c r="J189" s="5" t="str">
        <f t="shared" si="14"/>
        <v/>
      </c>
      <c r="K189" s="3"/>
      <c r="L189" s="3" t="str">
        <f t="shared" si="18"/>
        <v/>
      </c>
      <c r="N189" s="3" t="str">
        <f t="shared" si="17"/>
        <v/>
      </c>
      <c r="O189" s="6" t="str">
        <f t="shared" si="15"/>
        <v/>
      </c>
      <c r="P189" s="7">
        <f ca="1">SUMIFS($N$2:$N189,$B$2:$B189,"&lt;&gt;"&amp;B189)+SUM($Q$2:$Q189)</f>
        <v>135.05500000000001</v>
      </c>
      <c r="R189" t="b">
        <f>AND(ISNUMBER(FIND($E189,Tables!$I$2)), ISNUMBER(FIND($D189,Tables!$J$2)), $E189&lt;&gt;"")</f>
        <v>0</v>
      </c>
    </row>
    <row r="190" spans="1:18" x14ac:dyDescent="0.3">
      <c r="A190">
        <f t="shared" si="16"/>
        <v>173</v>
      </c>
      <c r="B190" s="4"/>
      <c r="I190" s="8"/>
      <c r="J190" s="5" t="str">
        <f t="shared" si="14"/>
        <v/>
      </c>
      <c r="K190" s="3"/>
      <c r="L190" s="3" t="str">
        <f t="shared" si="18"/>
        <v/>
      </c>
      <c r="N190" s="3" t="str">
        <f t="shared" si="17"/>
        <v/>
      </c>
      <c r="O190" s="6" t="str">
        <f t="shared" si="15"/>
        <v/>
      </c>
      <c r="P190" s="7">
        <f ca="1">SUMIFS($N$2:$N190,$B$2:$B190,"&lt;&gt;"&amp;B190)+SUM($Q$2:$Q190)</f>
        <v>135.05500000000001</v>
      </c>
      <c r="R190" t="b">
        <f>AND(ISNUMBER(FIND($E190,Tables!$I$2)), ISNUMBER(FIND($D190,Tables!$J$2)), $E190&lt;&gt;"")</f>
        <v>0</v>
      </c>
    </row>
    <row r="191" spans="1:18" x14ac:dyDescent="0.3">
      <c r="A191">
        <f t="shared" si="16"/>
        <v>174</v>
      </c>
      <c r="B191" s="4"/>
      <c r="I191" s="8"/>
      <c r="J191" s="5" t="str">
        <f t="shared" si="14"/>
        <v/>
      </c>
      <c r="K191" s="3"/>
      <c r="L191" s="3" t="str">
        <f t="shared" si="18"/>
        <v/>
      </c>
      <c r="N191" s="3" t="str">
        <f t="shared" si="17"/>
        <v/>
      </c>
      <c r="O191" s="6" t="str">
        <f t="shared" si="15"/>
        <v/>
      </c>
      <c r="P191" s="7">
        <f ca="1">SUMIFS($N$2:$N191,$B$2:$B191,"&lt;&gt;"&amp;B191)+SUM($Q$2:$Q191)</f>
        <v>135.05500000000001</v>
      </c>
      <c r="R191" t="b">
        <f>AND(ISNUMBER(FIND($E191,Tables!$I$2)), ISNUMBER(FIND($D191,Tables!$J$2)), $E191&lt;&gt;"")</f>
        <v>0</v>
      </c>
    </row>
    <row r="192" spans="1:18" x14ac:dyDescent="0.3">
      <c r="A192">
        <f t="shared" si="16"/>
        <v>175</v>
      </c>
      <c r="B192" s="4"/>
      <c r="I192" s="8"/>
      <c r="J192" s="5" t="str">
        <f t="shared" si="14"/>
        <v/>
      </c>
      <c r="K192" s="3"/>
      <c r="L192" s="3" t="str">
        <f t="shared" si="18"/>
        <v/>
      </c>
      <c r="N192" s="3" t="str">
        <f t="shared" si="17"/>
        <v/>
      </c>
      <c r="O192" s="6" t="str">
        <f t="shared" si="15"/>
        <v/>
      </c>
      <c r="P192" s="7">
        <f ca="1">SUMIFS($N$2:$N192,$B$2:$B192,"&lt;&gt;"&amp;B192)+SUM($Q$2:$Q192)</f>
        <v>135.05500000000001</v>
      </c>
      <c r="R192" t="b">
        <f>AND(ISNUMBER(FIND($E192,Tables!$I$2)), ISNUMBER(FIND($D192,Tables!$J$2)), $E192&lt;&gt;"")</f>
        <v>0</v>
      </c>
    </row>
    <row r="193" spans="1:18" x14ac:dyDescent="0.3">
      <c r="A193">
        <f t="shared" si="16"/>
        <v>176</v>
      </c>
      <c r="B193" s="4"/>
      <c r="I193" s="8"/>
      <c r="J193" s="5" t="str">
        <f t="shared" si="14"/>
        <v/>
      </c>
      <c r="K193" s="3"/>
      <c r="L193" s="3" t="str">
        <f t="shared" si="18"/>
        <v/>
      </c>
      <c r="N193" s="3" t="str">
        <f t="shared" si="17"/>
        <v/>
      </c>
      <c r="O193" s="6" t="str">
        <f t="shared" si="15"/>
        <v/>
      </c>
      <c r="P193" s="7">
        <f ca="1">SUMIFS($N$2:$N193,$B$2:$B193,"&lt;&gt;"&amp;B193)+SUM($Q$2:$Q193)</f>
        <v>135.05500000000001</v>
      </c>
      <c r="R193" t="b">
        <f>AND(ISNUMBER(FIND($E193,Tables!$I$2)), ISNUMBER(FIND($D193,Tables!$J$2)), $E193&lt;&gt;"")</f>
        <v>0</v>
      </c>
    </row>
    <row r="194" spans="1:18" x14ac:dyDescent="0.3">
      <c r="A194">
        <f t="shared" si="16"/>
        <v>177</v>
      </c>
      <c r="B194" s="4"/>
      <c r="I194" s="8"/>
      <c r="J194" s="5" t="str">
        <f t="shared" ref="J194:J257" si="19">IF(I194="", "", IF(I194&gt;0, I194/100 +1, -100/I194 +1))</f>
        <v/>
      </c>
      <c r="K194" s="3"/>
      <c r="L194" s="3" t="str">
        <f t="shared" si="18"/>
        <v/>
      </c>
      <c r="N194" s="3" t="str">
        <f t="shared" si="17"/>
        <v/>
      </c>
      <c r="O194" s="6" t="str">
        <f t="shared" ref="O194:O257" si="20">IFERROR(K194/VLOOKUP(_xlfn.MINIFS(A:A,B:B,B194,C:C,C194),A:P,16),"")</f>
        <v/>
      </c>
      <c r="P194" s="7">
        <f ca="1">SUMIFS($N$2:$N194,$B$2:$B194,"&lt;&gt;"&amp;B194)+SUM($Q$2:$Q194)</f>
        <v>135.05500000000001</v>
      </c>
      <c r="R194" t="b">
        <f>AND(ISNUMBER(FIND($E194,Tables!$I$2)), ISNUMBER(FIND($D194,Tables!$J$2)), $E194&lt;&gt;"")</f>
        <v>0</v>
      </c>
    </row>
    <row r="195" spans="1:18" x14ac:dyDescent="0.3">
      <c r="A195">
        <f t="shared" si="16"/>
        <v>178</v>
      </c>
      <c r="B195" s="4"/>
      <c r="I195" s="8"/>
      <c r="J195" s="5" t="str">
        <f t="shared" si="19"/>
        <v/>
      </c>
      <c r="K195" s="3"/>
      <c r="L195" s="3" t="str">
        <f t="shared" si="18"/>
        <v/>
      </c>
      <c r="N195" s="3" t="str">
        <f t="shared" si="17"/>
        <v/>
      </c>
      <c r="O195" s="6" t="str">
        <f t="shared" si="20"/>
        <v/>
      </c>
      <c r="P195" s="7">
        <f ca="1">SUMIFS($N$2:$N195,$B$2:$B195,"&lt;&gt;"&amp;B195)+SUM($Q$2:$Q195)</f>
        <v>135.05500000000001</v>
      </c>
      <c r="R195" t="b">
        <f>AND(ISNUMBER(FIND($E195,Tables!$I$2)), ISNUMBER(FIND($D195,Tables!$J$2)), $E195&lt;&gt;"")</f>
        <v>0</v>
      </c>
    </row>
    <row r="196" spans="1:18" x14ac:dyDescent="0.3">
      <c r="A196">
        <f t="shared" si="16"/>
        <v>179</v>
      </c>
      <c r="B196" s="4"/>
      <c r="I196" s="8"/>
      <c r="J196" s="5" t="str">
        <f t="shared" si="19"/>
        <v/>
      </c>
      <c r="K196" s="3"/>
      <c r="L196" s="3" t="str">
        <f t="shared" si="18"/>
        <v/>
      </c>
      <c r="N196" s="3" t="str">
        <f t="shared" si="17"/>
        <v/>
      </c>
      <c r="O196" s="6" t="str">
        <f t="shared" si="20"/>
        <v/>
      </c>
      <c r="P196" s="7">
        <f ca="1">SUMIFS($N$2:$N196,$B$2:$B196,"&lt;&gt;"&amp;B196)+SUM($Q$2:$Q196)</f>
        <v>135.05500000000001</v>
      </c>
      <c r="R196" t="b">
        <f>AND(ISNUMBER(FIND($E196,Tables!$I$2)), ISNUMBER(FIND($D196,Tables!$J$2)), $E196&lt;&gt;"")</f>
        <v>0</v>
      </c>
    </row>
    <row r="197" spans="1:18" x14ac:dyDescent="0.3">
      <c r="A197">
        <f t="shared" si="16"/>
        <v>180</v>
      </c>
      <c r="B197" s="4"/>
      <c r="I197" s="8"/>
      <c r="J197" s="5" t="str">
        <f t="shared" si="19"/>
        <v/>
      </c>
      <c r="K197" s="3"/>
      <c r="L197" s="3" t="str">
        <f t="shared" si="18"/>
        <v/>
      </c>
      <c r="N197" s="3" t="str">
        <f t="shared" si="17"/>
        <v/>
      </c>
      <c r="O197" s="6" t="str">
        <f t="shared" si="20"/>
        <v/>
      </c>
      <c r="P197" s="7">
        <f ca="1">SUMIFS($N$2:$N197,$B$2:$B197,"&lt;&gt;"&amp;B197)+SUM($Q$2:$Q197)</f>
        <v>135.05500000000001</v>
      </c>
      <c r="R197" t="b">
        <f>AND(ISNUMBER(FIND($E197,Tables!$I$2)), ISNUMBER(FIND($D197,Tables!$J$2)), $E197&lt;&gt;"")</f>
        <v>0</v>
      </c>
    </row>
    <row r="198" spans="1:18" x14ac:dyDescent="0.3">
      <c r="A198">
        <f t="shared" si="16"/>
        <v>181</v>
      </c>
      <c r="B198" s="4"/>
      <c r="I198" s="8"/>
      <c r="J198" s="5" t="str">
        <f t="shared" si="19"/>
        <v/>
      </c>
      <c r="K198" s="3"/>
      <c r="L198" s="3" t="str">
        <f t="shared" si="18"/>
        <v/>
      </c>
      <c r="N198" s="3" t="str">
        <f t="shared" si="17"/>
        <v/>
      </c>
      <c r="O198" s="6" t="str">
        <f t="shared" si="20"/>
        <v/>
      </c>
      <c r="P198" s="7">
        <f ca="1">SUMIFS($N$2:$N198,$B$2:$B198,"&lt;&gt;"&amp;B198)+SUM($Q$2:$Q198)</f>
        <v>135.05500000000001</v>
      </c>
      <c r="R198" t="b">
        <f>AND(ISNUMBER(FIND($E198,Tables!$I$2)), ISNUMBER(FIND($D198,Tables!$J$2)), $E198&lt;&gt;"")</f>
        <v>0</v>
      </c>
    </row>
    <row r="199" spans="1:18" x14ac:dyDescent="0.3">
      <c r="A199">
        <f t="shared" si="16"/>
        <v>182</v>
      </c>
      <c r="B199" s="4"/>
      <c r="I199" s="8"/>
      <c r="J199" s="5" t="str">
        <f t="shared" si="19"/>
        <v/>
      </c>
      <c r="K199" s="3"/>
      <c r="L199" s="3" t="str">
        <f t="shared" si="18"/>
        <v/>
      </c>
      <c r="N199" s="3" t="str">
        <f t="shared" si="17"/>
        <v/>
      </c>
      <c r="O199" s="6" t="str">
        <f t="shared" si="20"/>
        <v/>
      </c>
      <c r="P199" s="7">
        <f ca="1">SUMIFS($N$2:$N199,$B$2:$B199,"&lt;&gt;"&amp;B199)+SUM($Q$2:$Q199)</f>
        <v>135.05500000000001</v>
      </c>
      <c r="R199" t="b">
        <f>AND(ISNUMBER(FIND($E199,Tables!$I$2)), ISNUMBER(FIND($D199,Tables!$J$2)), $E199&lt;&gt;"")</f>
        <v>0</v>
      </c>
    </row>
    <row r="200" spans="1:18" x14ac:dyDescent="0.3">
      <c r="A200">
        <f t="shared" si="16"/>
        <v>183</v>
      </c>
      <c r="B200" s="4"/>
      <c r="I200" s="8"/>
      <c r="J200" s="5" t="str">
        <f t="shared" si="19"/>
        <v/>
      </c>
      <c r="K200" s="3"/>
      <c r="L200" s="3" t="str">
        <f t="shared" si="18"/>
        <v/>
      </c>
      <c r="N200" s="3" t="str">
        <f t="shared" si="17"/>
        <v/>
      </c>
      <c r="O200" s="6" t="str">
        <f t="shared" si="20"/>
        <v/>
      </c>
      <c r="P200" s="7">
        <f ca="1">SUMIFS($N$2:$N200,$B$2:$B200,"&lt;&gt;"&amp;B200)+SUM($Q$2:$Q200)</f>
        <v>135.05500000000001</v>
      </c>
      <c r="R200" t="b">
        <f>AND(ISNUMBER(FIND($E200,Tables!$I$2)), ISNUMBER(FIND($D200,Tables!$J$2)), $E200&lt;&gt;"")</f>
        <v>0</v>
      </c>
    </row>
    <row r="201" spans="1:18" x14ac:dyDescent="0.3">
      <c r="A201">
        <f t="shared" si="16"/>
        <v>184</v>
      </c>
      <c r="B201" s="4"/>
      <c r="I201" s="8"/>
      <c r="J201" s="5" t="str">
        <f t="shared" si="19"/>
        <v/>
      </c>
      <c r="K201" s="3"/>
      <c r="L201" s="3" t="str">
        <f t="shared" si="18"/>
        <v/>
      </c>
      <c r="N201" s="3" t="str">
        <f t="shared" si="17"/>
        <v/>
      </c>
      <c r="O201" s="6" t="str">
        <f t="shared" si="20"/>
        <v/>
      </c>
      <c r="P201" s="7">
        <f ca="1">SUMIFS($N$2:$N201,$B$2:$B201,"&lt;&gt;"&amp;B201)+SUM($Q$2:$Q201)</f>
        <v>135.05500000000001</v>
      </c>
      <c r="R201" t="b">
        <f>AND(ISNUMBER(FIND($E201,Tables!$I$2)), ISNUMBER(FIND($D201,Tables!$J$2)), $E201&lt;&gt;"")</f>
        <v>0</v>
      </c>
    </row>
    <row r="202" spans="1:18" x14ac:dyDescent="0.3">
      <c r="A202">
        <f t="shared" si="16"/>
        <v>185</v>
      </c>
      <c r="B202" s="4"/>
      <c r="I202" s="8"/>
      <c r="J202" s="5" t="str">
        <f t="shared" si="19"/>
        <v/>
      </c>
      <c r="K202" s="3"/>
      <c r="L202" s="3" t="str">
        <f t="shared" si="18"/>
        <v/>
      </c>
      <c r="N202" s="3" t="str">
        <f t="shared" si="17"/>
        <v/>
      </c>
      <c r="O202" s="6" t="str">
        <f t="shared" si="20"/>
        <v/>
      </c>
      <c r="P202" s="7">
        <f ca="1">SUMIFS($N$2:$N202,$B$2:$B202,"&lt;&gt;"&amp;B202)+SUM($Q$2:$Q202)</f>
        <v>135.05500000000001</v>
      </c>
      <c r="R202" t="b">
        <f>AND(ISNUMBER(FIND($E202,Tables!$I$2)), ISNUMBER(FIND($D202,Tables!$J$2)), $E202&lt;&gt;"")</f>
        <v>0</v>
      </c>
    </row>
    <row r="203" spans="1:18" x14ac:dyDescent="0.3">
      <c r="A203">
        <f t="shared" si="16"/>
        <v>186</v>
      </c>
      <c r="B203" s="4"/>
      <c r="I203" s="8"/>
      <c r="J203" s="5" t="str">
        <f t="shared" si="19"/>
        <v/>
      </c>
      <c r="K203" s="3"/>
      <c r="L203" s="3" t="str">
        <f t="shared" si="18"/>
        <v/>
      </c>
      <c r="N203" s="3" t="str">
        <f t="shared" si="17"/>
        <v/>
      </c>
      <c r="O203" s="6" t="str">
        <f t="shared" si="20"/>
        <v/>
      </c>
      <c r="P203" s="7">
        <f ca="1">SUMIFS($N$2:$N203,$B$2:$B203,"&lt;&gt;"&amp;B203)+SUM($Q$2:$Q203)</f>
        <v>135.05500000000001</v>
      </c>
      <c r="R203" t="b">
        <f>AND(ISNUMBER(FIND($E203,Tables!$I$2)), ISNUMBER(FIND($D203,Tables!$J$2)), $E203&lt;&gt;"")</f>
        <v>0</v>
      </c>
    </row>
    <row r="204" spans="1:18" x14ac:dyDescent="0.3">
      <c r="A204">
        <f t="shared" si="16"/>
        <v>187</v>
      </c>
      <c r="B204" s="4"/>
      <c r="I204" s="8"/>
      <c r="J204" s="5" t="str">
        <f t="shared" si="19"/>
        <v/>
      </c>
      <c r="K204" s="3"/>
      <c r="L204" s="3" t="str">
        <f t="shared" si="18"/>
        <v/>
      </c>
      <c r="N204" s="3" t="str">
        <f t="shared" si="17"/>
        <v/>
      </c>
      <c r="O204" s="6" t="str">
        <f t="shared" si="20"/>
        <v/>
      </c>
      <c r="P204" s="7">
        <f ca="1">SUMIFS($N$2:$N204,$B$2:$B204,"&lt;&gt;"&amp;B204)+SUM($Q$2:$Q204)</f>
        <v>135.05500000000001</v>
      </c>
      <c r="R204" t="b">
        <f>AND(ISNUMBER(FIND($E204,Tables!$I$2)), ISNUMBER(FIND($D204,Tables!$J$2)), $E204&lt;&gt;"")</f>
        <v>0</v>
      </c>
    </row>
    <row r="205" spans="1:18" x14ac:dyDescent="0.3">
      <c r="A205">
        <f t="shared" si="16"/>
        <v>188</v>
      </c>
      <c r="B205" s="4"/>
      <c r="I205" s="8"/>
      <c r="J205" s="5" t="str">
        <f t="shared" si="19"/>
        <v/>
      </c>
      <c r="K205" s="3"/>
      <c r="L205" s="3" t="str">
        <f t="shared" si="18"/>
        <v/>
      </c>
      <c r="N205" s="3" t="str">
        <f t="shared" si="17"/>
        <v/>
      </c>
      <c r="O205" s="6" t="str">
        <f t="shared" si="20"/>
        <v/>
      </c>
      <c r="P205" s="7">
        <f ca="1">SUMIFS($N$2:$N205,$B$2:$B205,"&lt;&gt;"&amp;B205)+SUM($Q$2:$Q205)</f>
        <v>135.05500000000001</v>
      </c>
      <c r="R205" t="b">
        <f>AND(ISNUMBER(FIND($E205,Tables!$I$2)), ISNUMBER(FIND($D205,Tables!$J$2)), $E205&lt;&gt;"")</f>
        <v>0</v>
      </c>
    </row>
    <row r="206" spans="1:18" x14ac:dyDescent="0.3">
      <c r="A206">
        <f t="shared" si="16"/>
        <v>189</v>
      </c>
      <c r="B206" s="4"/>
      <c r="I206" s="8"/>
      <c r="J206" s="5" t="str">
        <f t="shared" si="19"/>
        <v/>
      </c>
      <c r="K206" s="3"/>
      <c r="L206" s="3" t="str">
        <f t="shared" si="18"/>
        <v/>
      </c>
      <c r="N206" s="3" t="str">
        <f t="shared" si="17"/>
        <v/>
      </c>
      <c r="O206" s="6" t="str">
        <f t="shared" si="20"/>
        <v/>
      </c>
      <c r="P206" s="7">
        <f ca="1">SUMIFS($N$2:$N206,$B$2:$B206,"&lt;&gt;"&amp;B206)+SUM($Q$2:$Q206)</f>
        <v>135.05500000000001</v>
      </c>
      <c r="R206" t="b">
        <f>AND(ISNUMBER(FIND($E206,Tables!$I$2)), ISNUMBER(FIND($D206,Tables!$J$2)), $E206&lt;&gt;"")</f>
        <v>0</v>
      </c>
    </row>
    <row r="207" spans="1:18" x14ac:dyDescent="0.3">
      <c r="A207">
        <f t="shared" si="16"/>
        <v>190</v>
      </c>
      <c r="B207" s="4"/>
      <c r="I207" s="8"/>
      <c r="J207" s="5" t="str">
        <f t="shared" si="19"/>
        <v/>
      </c>
      <c r="K207" s="3"/>
      <c r="L207" s="3" t="str">
        <f t="shared" si="18"/>
        <v/>
      </c>
      <c r="N207" s="3" t="str">
        <f t="shared" si="17"/>
        <v/>
      </c>
      <c r="O207" s="6" t="str">
        <f t="shared" si="20"/>
        <v/>
      </c>
      <c r="P207" s="7">
        <f ca="1">SUMIFS($N$2:$N207,$B$2:$B207,"&lt;&gt;"&amp;B207)+SUM($Q$2:$Q207)</f>
        <v>135.05500000000001</v>
      </c>
      <c r="R207" t="b">
        <f>AND(ISNUMBER(FIND($E207,Tables!$I$2)), ISNUMBER(FIND($D207,Tables!$J$2)), $E207&lt;&gt;"")</f>
        <v>0</v>
      </c>
    </row>
    <row r="208" spans="1:18" x14ac:dyDescent="0.3">
      <c r="A208">
        <f t="shared" si="16"/>
        <v>191</v>
      </c>
      <c r="B208" s="4"/>
      <c r="I208" s="8"/>
      <c r="J208" s="5" t="str">
        <f t="shared" si="19"/>
        <v/>
      </c>
      <c r="K208" s="3"/>
      <c r="L208" s="3" t="str">
        <f t="shared" si="18"/>
        <v/>
      </c>
      <c r="N208" s="3" t="str">
        <f t="shared" si="17"/>
        <v/>
      </c>
      <c r="O208" s="6" t="str">
        <f t="shared" si="20"/>
        <v/>
      </c>
      <c r="P208" s="7">
        <f ca="1">SUMIFS($N$2:$N208,$B$2:$B208,"&lt;&gt;"&amp;B208)+SUM($Q$2:$Q208)</f>
        <v>135.05500000000001</v>
      </c>
      <c r="R208" t="b">
        <f>AND(ISNUMBER(FIND($E208,Tables!$I$2)), ISNUMBER(FIND($D208,Tables!$J$2)), $E208&lt;&gt;"")</f>
        <v>0</v>
      </c>
    </row>
    <row r="209" spans="1:18" x14ac:dyDescent="0.3">
      <c r="A209">
        <f t="shared" si="16"/>
        <v>192</v>
      </c>
      <c r="B209" s="4"/>
      <c r="I209" s="8"/>
      <c r="J209" s="5" t="str">
        <f t="shared" si="19"/>
        <v/>
      </c>
      <c r="K209" s="3"/>
      <c r="L209" s="3" t="str">
        <f t="shared" si="18"/>
        <v/>
      </c>
      <c r="N209" s="3" t="str">
        <f t="shared" si="17"/>
        <v/>
      </c>
      <c r="O209" s="6" t="str">
        <f t="shared" si="20"/>
        <v/>
      </c>
      <c r="P209" s="7">
        <f ca="1">SUMIFS($N$2:$N209,$B$2:$B209,"&lt;&gt;"&amp;B209)+SUM($Q$2:$Q209)</f>
        <v>135.05500000000001</v>
      </c>
      <c r="R209" t="b">
        <f>AND(ISNUMBER(FIND($E209,Tables!$I$2)), ISNUMBER(FIND($D209,Tables!$J$2)), $E209&lt;&gt;"")</f>
        <v>0</v>
      </c>
    </row>
    <row r="210" spans="1:18" x14ac:dyDescent="0.3">
      <c r="A210">
        <f t="shared" si="16"/>
        <v>193</v>
      </c>
      <c r="B210" s="4"/>
      <c r="I210" s="8"/>
      <c r="J210" s="5" t="str">
        <f t="shared" si="19"/>
        <v/>
      </c>
      <c r="K210" s="3"/>
      <c r="L210" s="3" t="str">
        <f t="shared" si="18"/>
        <v/>
      </c>
      <c r="N210" s="3" t="str">
        <f t="shared" si="17"/>
        <v/>
      </c>
      <c r="O210" s="6" t="str">
        <f t="shared" si="20"/>
        <v/>
      </c>
      <c r="P210" s="7">
        <f ca="1">SUMIFS($N$2:$N210,$B$2:$B210,"&lt;&gt;"&amp;B210)+SUM($Q$2:$Q210)</f>
        <v>135.05500000000001</v>
      </c>
      <c r="R210" t="b">
        <f>AND(ISNUMBER(FIND($E210,Tables!$I$2)), ISNUMBER(FIND($D210,Tables!$J$2)), $E210&lt;&gt;"")</f>
        <v>0</v>
      </c>
    </row>
    <row r="211" spans="1:18" x14ac:dyDescent="0.3">
      <c r="A211">
        <f t="shared" si="16"/>
        <v>194</v>
      </c>
      <c r="B211" s="4"/>
      <c r="I211" s="8"/>
      <c r="J211" s="5" t="str">
        <f t="shared" si="19"/>
        <v/>
      </c>
      <c r="K211" s="3"/>
      <c r="L211" s="3" t="str">
        <f t="shared" si="18"/>
        <v/>
      </c>
      <c r="N211" s="3" t="str">
        <f t="shared" si="17"/>
        <v/>
      </c>
      <c r="O211" s="6" t="str">
        <f t="shared" si="20"/>
        <v/>
      </c>
      <c r="P211" s="7">
        <f ca="1">SUMIFS($N$2:$N211,$B$2:$B211,"&lt;&gt;"&amp;B211)+SUM($Q$2:$Q211)</f>
        <v>135.05500000000001</v>
      </c>
      <c r="R211" t="b">
        <f>AND(ISNUMBER(FIND($E211,Tables!$I$2)), ISNUMBER(FIND($D211,Tables!$J$2)), $E211&lt;&gt;"")</f>
        <v>0</v>
      </c>
    </row>
    <row r="212" spans="1:18" x14ac:dyDescent="0.3">
      <c r="A212">
        <f t="shared" si="16"/>
        <v>195</v>
      </c>
      <c r="B212" s="4"/>
      <c r="I212" s="8"/>
      <c r="J212" s="5" t="str">
        <f t="shared" si="19"/>
        <v/>
      </c>
      <c r="K212" s="3"/>
      <c r="L212" s="3" t="str">
        <f t="shared" si="18"/>
        <v/>
      </c>
      <c r="N212" s="3" t="str">
        <f t="shared" si="17"/>
        <v/>
      </c>
      <c r="O212" s="6" t="str">
        <f t="shared" si="20"/>
        <v/>
      </c>
      <c r="P212" s="7">
        <f ca="1">SUMIFS($N$2:$N212,$B$2:$B212,"&lt;&gt;"&amp;B212)+SUM($Q$2:$Q212)</f>
        <v>135.05500000000001</v>
      </c>
      <c r="R212" t="b">
        <f>AND(ISNUMBER(FIND($E212,Tables!$I$2)), ISNUMBER(FIND($D212,Tables!$J$2)), $E212&lt;&gt;"")</f>
        <v>0</v>
      </c>
    </row>
    <row r="213" spans="1:18" x14ac:dyDescent="0.3">
      <c r="A213">
        <f t="shared" si="16"/>
        <v>196</v>
      </c>
      <c r="B213" s="4"/>
      <c r="I213" s="8"/>
      <c r="J213" s="5" t="str">
        <f t="shared" si="19"/>
        <v/>
      </c>
      <c r="K213" s="3"/>
      <c r="L213" s="3" t="str">
        <f t="shared" si="18"/>
        <v/>
      </c>
      <c r="N213" s="3" t="str">
        <f t="shared" si="17"/>
        <v/>
      </c>
      <c r="O213" s="6" t="str">
        <f t="shared" si="20"/>
        <v/>
      </c>
      <c r="P213" s="7">
        <f ca="1">SUMIFS($N$2:$N213,$B$2:$B213,"&lt;&gt;"&amp;B213)+SUM($Q$2:$Q213)</f>
        <v>135.05500000000001</v>
      </c>
      <c r="R213" t="b">
        <f>AND(ISNUMBER(FIND($E213,Tables!$I$2)), ISNUMBER(FIND($D213,Tables!$J$2)), $E213&lt;&gt;"")</f>
        <v>0</v>
      </c>
    </row>
    <row r="214" spans="1:18" x14ac:dyDescent="0.3">
      <c r="A214">
        <f t="shared" si="16"/>
        <v>197</v>
      </c>
      <c r="B214" s="4"/>
      <c r="I214" s="8"/>
      <c r="J214" s="5" t="str">
        <f t="shared" si="19"/>
        <v/>
      </c>
      <c r="K214" s="3"/>
      <c r="L214" s="3" t="str">
        <f t="shared" si="18"/>
        <v/>
      </c>
      <c r="N214" s="3" t="str">
        <f t="shared" si="17"/>
        <v/>
      </c>
      <c r="O214" s="6" t="str">
        <f t="shared" si="20"/>
        <v/>
      </c>
      <c r="P214" s="7">
        <f ca="1">SUMIFS($N$2:$N214,$B$2:$B214,"&lt;&gt;"&amp;B214)+SUM($Q$2:$Q214)</f>
        <v>135.05500000000001</v>
      </c>
      <c r="R214" t="b">
        <f>AND(ISNUMBER(FIND($E214,Tables!$I$2)), ISNUMBER(FIND($D214,Tables!$J$2)), $E214&lt;&gt;"")</f>
        <v>0</v>
      </c>
    </row>
    <row r="215" spans="1:18" x14ac:dyDescent="0.3">
      <c r="A215">
        <f t="shared" si="16"/>
        <v>198</v>
      </c>
      <c r="B215" s="4"/>
      <c r="I215" s="8"/>
      <c r="J215" s="5" t="str">
        <f t="shared" si="19"/>
        <v/>
      </c>
      <c r="K215" s="3"/>
      <c r="L215" s="3" t="str">
        <f t="shared" si="18"/>
        <v/>
      </c>
      <c r="N215" s="3" t="str">
        <f t="shared" si="17"/>
        <v/>
      </c>
      <c r="O215" s="6" t="str">
        <f t="shared" si="20"/>
        <v/>
      </c>
      <c r="P215" s="7">
        <f ca="1">SUMIFS($N$2:$N215,$B$2:$B215,"&lt;&gt;"&amp;B215)+SUM($Q$2:$Q215)</f>
        <v>135.05500000000001</v>
      </c>
      <c r="R215" t="b">
        <f>AND(ISNUMBER(FIND($E215,Tables!$I$2)), ISNUMBER(FIND($D215,Tables!$J$2)), $E215&lt;&gt;"")</f>
        <v>0</v>
      </c>
    </row>
    <row r="216" spans="1:18" x14ac:dyDescent="0.3">
      <c r="A216">
        <f t="shared" si="16"/>
        <v>199</v>
      </c>
      <c r="B216" s="4"/>
      <c r="I216" s="8"/>
      <c r="J216" s="5" t="str">
        <f t="shared" si="19"/>
        <v/>
      </c>
      <c r="K216" s="3"/>
      <c r="L216" s="3" t="str">
        <f t="shared" si="18"/>
        <v/>
      </c>
      <c r="N216" s="3" t="str">
        <f t="shared" si="17"/>
        <v/>
      </c>
      <c r="O216" s="6" t="str">
        <f t="shared" si="20"/>
        <v/>
      </c>
      <c r="P216" s="7">
        <f ca="1">SUMIFS($N$2:$N216,$B$2:$B216,"&lt;&gt;"&amp;B216)+SUM($Q$2:$Q216)</f>
        <v>135.05500000000001</v>
      </c>
      <c r="R216" t="b">
        <f>AND(ISNUMBER(FIND($E216,Tables!$I$2)), ISNUMBER(FIND($D216,Tables!$J$2)), $E216&lt;&gt;"")</f>
        <v>0</v>
      </c>
    </row>
    <row r="217" spans="1:18" x14ac:dyDescent="0.3">
      <c r="A217">
        <f t="shared" si="16"/>
        <v>200</v>
      </c>
      <c r="B217" s="4"/>
      <c r="I217" s="8"/>
      <c r="J217" s="5" t="str">
        <f t="shared" si="19"/>
        <v/>
      </c>
      <c r="K217" s="3"/>
      <c r="L217" s="3" t="str">
        <f t="shared" si="18"/>
        <v/>
      </c>
      <c r="N217" s="3" t="str">
        <f t="shared" si="17"/>
        <v/>
      </c>
      <c r="O217" s="6" t="str">
        <f t="shared" si="20"/>
        <v/>
      </c>
      <c r="P217" s="7">
        <f ca="1">SUMIFS($N$2:$N217,$B$2:$B217,"&lt;&gt;"&amp;B217)+SUM($Q$2:$Q217)</f>
        <v>135.05500000000001</v>
      </c>
      <c r="R217" t="b">
        <f>AND(ISNUMBER(FIND($E217,Tables!$I$2)), ISNUMBER(FIND($D217,Tables!$J$2)), $E217&lt;&gt;"")</f>
        <v>0</v>
      </c>
    </row>
    <row r="218" spans="1:18" x14ac:dyDescent="0.3">
      <c r="A218">
        <f t="shared" si="16"/>
        <v>201</v>
      </c>
      <c r="B218" s="4"/>
      <c r="I218" s="8"/>
      <c r="J218" s="5" t="str">
        <f t="shared" si="19"/>
        <v/>
      </c>
      <c r="K218" s="3"/>
      <c r="L218" s="3" t="str">
        <f t="shared" si="18"/>
        <v/>
      </c>
      <c r="N218" s="3" t="str">
        <f t="shared" si="17"/>
        <v/>
      </c>
      <c r="O218" s="6" t="str">
        <f t="shared" si="20"/>
        <v/>
      </c>
      <c r="P218" s="7">
        <f ca="1">SUMIFS($N$2:$N218,$B$2:$B218,"&lt;&gt;"&amp;B218)+SUM($Q$2:$Q218)</f>
        <v>135.05500000000001</v>
      </c>
      <c r="R218" t="b">
        <f>AND(ISNUMBER(FIND($E218,Tables!$I$2)), ISNUMBER(FIND($D218,Tables!$J$2)), $E218&lt;&gt;"")</f>
        <v>0</v>
      </c>
    </row>
    <row r="219" spans="1:18" x14ac:dyDescent="0.3">
      <c r="A219">
        <f t="shared" si="16"/>
        <v>202</v>
      </c>
      <c r="B219" s="4"/>
      <c r="I219" s="8"/>
      <c r="J219" s="5" t="str">
        <f t="shared" si="19"/>
        <v/>
      </c>
      <c r="K219" s="3"/>
      <c r="L219" s="3" t="str">
        <f t="shared" si="18"/>
        <v/>
      </c>
      <c r="N219" s="3" t="str">
        <f t="shared" si="17"/>
        <v/>
      </c>
      <c r="O219" s="6" t="str">
        <f t="shared" si="20"/>
        <v/>
      </c>
      <c r="P219" s="7">
        <f ca="1">SUMIFS($N$2:$N219,$B$2:$B219,"&lt;&gt;"&amp;B219)+SUM($Q$2:$Q219)</f>
        <v>135.05500000000001</v>
      </c>
      <c r="R219" t="b">
        <f>AND(ISNUMBER(FIND($E219,Tables!$I$2)), ISNUMBER(FIND($D219,Tables!$J$2)), $E219&lt;&gt;"")</f>
        <v>0</v>
      </c>
    </row>
    <row r="220" spans="1:18" x14ac:dyDescent="0.3">
      <c r="A220">
        <f t="shared" si="16"/>
        <v>203</v>
      </c>
      <c r="B220" s="4"/>
      <c r="I220" s="8"/>
      <c r="J220" s="5" t="str">
        <f t="shared" si="19"/>
        <v/>
      </c>
      <c r="K220" s="3"/>
      <c r="L220" s="3" t="str">
        <f t="shared" si="18"/>
        <v/>
      </c>
      <c r="N220" s="3" t="str">
        <f t="shared" si="17"/>
        <v/>
      </c>
      <c r="O220" s="6" t="str">
        <f t="shared" si="20"/>
        <v/>
      </c>
      <c r="P220" s="7">
        <f ca="1">SUMIFS($N$2:$N220,$B$2:$B220,"&lt;&gt;"&amp;B220)+SUM($Q$2:$Q220)</f>
        <v>135.05500000000001</v>
      </c>
      <c r="R220" t="b">
        <f>AND(ISNUMBER(FIND($E220,Tables!$I$2)), ISNUMBER(FIND($D220,Tables!$J$2)), $E220&lt;&gt;"")</f>
        <v>0</v>
      </c>
    </row>
    <row r="221" spans="1:18" x14ac:dyDescent="0.3">
      <c r="A221">
        <f t="shared" si="16"/>
        <v>204</v>
      </c>
      <c r="B221" s="4"/>
      <c r="I221" s="8"/>
      <c r="J221" s="5" t="str">
        <f t="shared" si="19"/>
        <v/>
      </c>
      <c r="K221" s="3"/>
      <c r="L221" s="3" t="str">
        <f t="shared" si="18"/>
        <v/>
      </c>
      <c r="N221" s="3" t="str">
        <f t="shared" si="17"/>
        <v/>
      </c>
      <c r="O221" s="6" t="str">
        <f t="shared" si="20"/>
        <v/>
      </c>
      <c r="P221" s="7">
        <f ca="1">SUMIFS($N$2:$N221,$B$2:$B221,"&lt;&gt;"&amp;B221)+SUM($Q$2:$Q221)</f>
        <v>135.05500000000001</v>
      </c>
      <c r="R221" t="b">
        <f>AND(ISNUMBER(FIND($E221,Tables!$I$2)), ISNUMBER(FIND($D221,Tables!$J$2)), $E221&lt;&gt;"")</f>
        <v>0</v>
      </c>
    </row>
    <row r="222" spans="1:18" x14ac:dyDescent="0.3">
      <c r="A222">
        <f t="shared" si="16"/>
        <v>205</v>
      </c>
      <c r="B222" s="4"/>
      <c r="I222" s="8"/>
      <c r="J222" s="5" t="str">
        <f t="shared" si="19"/>
        <v/>
      </c>
      <c r="K222" s="3"/>
      <c r="L222" s="3" t="str">
        <f t="shared" si="18"/>
        <v/>
      </c>
      <c r="N222" s="3" t="str">
        <f t="shared" si="17"/>
        <v/>
      </c>
      <c r="O222" s="6" t="str">
        <f t="shared" si="20"/>
        <v/>
      </c>
      <c r="P222" s="7">
        <f ca="1">SUMIFS($N$2:$N222,$B$2:$B222,"&lt;&gt;"&amp;B222)+SUM($Q$2:$Q222)</f>
        <v>135.05500000000001</v>
      </c>
      <c r="R222" t="b">
        <f>AND(ISNUMBER(FIND($E222,Tables!$I$2)), ISNUMBER(FIND($D222,Tables!$J$2)), $E222&lt;&gt;"")</f>
        <v>0</v>
      </c>
    </row>
    <row r="223" spans="1:18" x14ac:dyDescent="0.3">
      <c r="A223">
        <f t="shared" si="16"/>
        <v>206</v>
      </c>
      <c r="B223" s="4"/>
      <c r="I223" s="8"/>
      <c r="J223" s="5" t="str">
        <f t="shared" si="19"/>
        <v/>
      </c>
      <c r="K223" s="3"/>
      <c r="L223" s="3" t="str">
        <f t="shared" si="18"/>
        <v/>
      </c>
      <c r="N223" s="3" t="str">
        <f t="shared" si="17"/>
        <v/>
      </c>
      <c r="O223" s="6" t="str">
        <f t="shared" si="20"/>
        <v/>
      </c>
      <c r="P223" s="7">
        <f ca="1">SUMIFS($N$2:$N223,$B$2:$B223,"&lt;&gt;"&amp;B223)+SUM($Q$2:$Q223)</f>
        <v>135.05500000000001</v>
      </c>
      <c r="R223" t="b">
        <f>AND(ISNUMBER(FIND($E223,Tables!$I$2)), ISNUMBER(FIND($D223,Tables!$J$2)), $E223&lt;&gt;"")</f>
        <v>0</v>
      </c>
    </row>
    <row r="224" spans="1:18" x14ac:dyDescent="0.3">
      <c r="A224">
        <f t="shared" si="16"/>
        <v>207</v>
      </c>
      <c r="B224" s="4"/>
      <c r="I224" s="8"/>
      <c r="J224" s="5" t="str">
        <f t="shared" si="19"/>
        <v/>
      </c>
      <c r="K224" s="3"/>
      <c r="L224" s="3" t="str">
        <f t="shared" si="18"/>
        <v/>
      </c>
      <c r="N224" s="3" t="str">
        <f t="shared" si="17"/>
        <v/>
      </c>
      <c r="O224" s="6" t="str">
        <f t="shared" si="20"/>
        <v/>
      </c>
      <c r="P224" s="7">
        <f ca="1">SUMIFS($N$2:$N224,$B$2:$B224,"&lt;&gt;"&amp;B224)+SUM($Q$2:$Q224)</f>
        <v>135.05500000000001</v>
      </c>
      <c r="R224" t="b">
        <f>AND(ISNUMBER(FIND($E224,Tables!$I$2)), ISNUMBER(FIND($D224,Tables!$J$2)), $E224&lt;&gt;"")</f>
        <v>0</v>
      </c>
    </row>
    <row r="225" spans="1:18" x14ac:dyDescent="0.3">
      <c r="A225">
        <f t="shared" si="16"/>
        <v>208</v>
      </c>
      <c r="B225" s="4"/>
      <c r="I225" s="8"/>
      <c r="J225" s="5" t="str">
        <f t="shared" si="19"/>
        <v/>
      </c>
      <c r="K225" s="3"/>
      <c r="L225" s="3" t="str">
        <f t="shared" si="18"/>
        <v/>
      </c>
      <c r="N225" s="3" t="str">
        <f t="shared" si="17"/>
        <v/>
      </c>
      <c r="O225" s="6" t="str">
        <f t="shared" si="20"/>
        <v/>
      </c>
      <c r="P225" s="7">
        <f ca="1">SUMIFS($N$2:$N225,$B$2:$B225,"&lt;&gt;"&amp;B225)+SUM($Q$2:$Q225)</f>
        <v>135.05500000000001</v>
      </c>
      <c r="R225" t="b">
        <f>AND(ISNUMBER(FIND($E225,Tables!$I$2)), ISNUMBER(FIND($D225,Tables!$J$2)), $E225&lt;&gt;"")</f>
        <v>0</v>
      </c>
    </row>
    <row r="226" spans="1:18" x14ac:dyDescent="0.3">
      <c r="A226">
        <f t="shared" ref="A226:A289" si="21">IF(AND(B226="", D226&lt;&gt;""), A225, A225+1)</f>
        <v>209</v>
      </c>
      <c r="B226" s="4"/>
      <c r="I226" s="8"/>
      <c r="J226" s="5" t="str">
        <f t="shared" si="19"/>
        <v/>
      </c>
      <c r="K226" s="3"/>
      <c r="L226" s="3" t="str">
        <f t="shared" si="18"/>
        <v/>
      </c>
      <c r="N226" s="3" t="str">
        <f t="shared" si="17"/>
        <v/>
      </c>
      <c r="O226" s="6" t="str">
        <f t="shared" si="20"/>
        <v/>
      </c>
      <c r="P226" s="7">
        <f ca="1">SUMIFS($N$2:$N226,$B$2:$B226,"&lt;&gt;"&amp;B226)+SUM($Q$2:$Q226)</f>
        <v>135.05500000000001</v>
      </c>
      <c r="R226" t="b">
        <f>AND(ISNUMBER(FIND($E226,Tables!$I$2)), ISNUMBER(FIND($D226,Tables!$J$2)), $E226&lt;&gt;"")</f>
        <v>0</v>
      </c>
    </row>
    <row r="227" spans="1:18" x14ac:dyDescent="0.3">
      <c r="A227">
        <f t="shared" si="21"/>
        <v>210</v>
      </c>
      <c r="B227" s="4"/>
      <c r="I227" s="8"/>
      <c r="J227" s="5" t="str">
        <f t="shared" si="19"/>
        <v/>
      </c>
      <c r="K227" s="3"/>
      <c r="L227" s="3" t="str">
        <f t="shared" si="18"/>
        <v/>
      </c>
      <c r="N227" s="3" t="str">
        <f t="shared" si="17"/>
        <v/>
      </c>
      <c r="O227" s="6" t="str">
        <f t="shared" si="20"/>
        <v/>
      </c>
      <c r="P227" s="7">
        <f ca="1">SUMIFS($N$2:$N227,$B$2:$B227,"&lt;&gt;"&amp;B227)+SUM($Q$2:$Q227)</f>
        <v>135.05500000000001</v>
      </c>
      <c r="R227" t="b">
        <f>AND(ISNUMBER(FIND($E227,Tables!$I$2)), ISNUMBER(FIND($D227,Tables!$J$2)), $E227&lt;&gt;"")</f>
        <v>0</v>
      </c>
    </row>
    <row r="228" spans="1:18" x14ac:dyDescent="0.3">
      <c r="A228">
        <f t="shared" si="21"/>
        <v>211</v>
      </c>
      <c r="B228" s="4"/>
      <c r="I228" s="8"/>
      <c r="J228" s="5" t="str">
        <f t="shared" si="19"/>
        <v/>
      </c>
      <c r="K228" s="3"/>
      <c r="L228" s="3" t="str">
        <f t="shared" si="18"/>
        <v/>
      </c>
      <c r="N228" s="3" t="str">
        <f t="shared" si="17"/>
        <v/>
      </c>
      <c r="O228" s="6" t="str">
        <f t="shared" si="20"/>
        <v/>
      </c>
      <c r="P228" s="7">
        <f ca="1">SUMIFS($N$2:$N228,$B$2:$B228,"&lt;&gt;"&amp;B228)+SUM($Q$2:$Q228)</f>
        <v>135.05500000000001</v>
      </c>
      <c r="R228" t="b">
        <f>AND(ISNUMBER(FIND($E228,Tables!$I$2)), ISNUMBER(FIND($D228,Tables!$J$2)), $E228&lt;&gt;"")</f>
        <v>0</v>
      </c>
    </row>
    <row r="229" spans="1:18" x14ac:dyDescent="0.3">
      <c r="A229">
        <f t="shared" si="21"/>
        <v>212</v>
      </c>
      <c r="B229" s="4"/>
      <c r="I229" s="8"/>
      <c r="J229" s="5" t="str">
        <f t="shared" si="19"/>
        <v/>
      </c>
      <c r="K229" s="3"/>
      <c r="L229" s="3" t="str">
        <f t="shared" si="18"/>
        <v/>
      </c>
      <c r="N229" s="3" t="str">
        <f t="shared" si="17"/>
        <v/>
      </c>
      <c r="O229" s="6" t="str">
        <f t="shared" si="20"/>
        <v/>
      </c>
      <c r="P229" s="7">
        <f ca="1">SUMIFS($N$2:$N229,$B$2:$B229,"&lt;&gt;"&amp;B229)+SUM($Q$2:$Q229)</f>
        <v>135.05500000000001</v>
      </c>
      <c r="R229" t="b">
        <f>AND(ISNUMBER(FIND($E229,Tables!$I$2)), ISNUMBER(FIND($D229,Tables!$J$2)), $E229&lt;&gt;"")</f>
        <v>0</v>
      </c>
    </row>
    <row r="230" spans="1:18" x14ac:dyDescent="0.3">
      <c r="A230">
        <f t="shared" si="21"/>
        <v>213</v>
      </c>
      <c r="B230" s="4"/>
      <c r="I230" s="8"/>
      <c r="J230" s="5" t="str">
        <f t="shared" si="19"/>
        <v/>
      </c>
      <c r="K230" s="3"/>
      <c r="L230" s="3" t="str">
        <f t="shared" si="18"/>
        <v/>
      </c>
      <c r="N230" s="3" t="str">
        <f t="shared" si="17"/>
        <v/>
      </c>
      <c r="O230" s="6" t="str">
        <f t="shared" si="20"/>
        <v/>
      </c>
      <c r="P230" s="7">
        <f ca="1">SUMIFS($N$2:$N230,$B$2:$B230,"&lt;&gt;"&amp;B230)+SUM($Q$2:$Q230)</f>
        <v>135.05500000000001</v>
      </c>
      <c r="R230" t="b">
        <f>AND(ISNUMBER(FIND($E230,Tables!$I$2)), ISNUMBER(FIND($D230,Tables!$J$2)), $E230&lt;&gt;"")</f>
        <v>0</v>
      </c>
    </row>
    <row r="231" spans="1:18" x14ac:dyDescent="0.3">
      <c r="A231">
        <f t="shared" si="21"/>
        <v>214</v>
      </c>
      <c r="B231" s="4"/>
      <c r="I231" s="8"/>
      <c r="J231" s="5" t="str">
        <f t="shared" si="19"/>
        <v/>
      </c>
      <c r="K231" s="3"/>
      <c r="L231" s="3" t="str">
        <f t="shared" si="18"/>
        <v/>
      </c>
      <c r="N231" s="3" t="str">
        <f t="shared" si="17"/>
        <v/>
      </c>
      <c r="O231" s="6" t="str">
        <f t="shared" si="20"/>
        <v/>
      </c>
      <c r="P231" s="7">
        <f ca="1">SUMIFS($N$2:$N231,$B$2:$B231,"&lt;&gt;"&amp;B231)+SUM($Q$2:$Q231)</f>
        <v>135.05500000000001</v>
      </c>
      <c r="R231" t="b">
        <f>AND(ISNUMBER(FIND($E231,Tables!$I$2)), ISNUMBER(FIND($D231,Tables!$J$2)), $E231&lt;&gt;"")</f>
        <v>0</v>
      </c>
    </row>
    <row r="232" spans="1:18" x14ac:dyDescent="0.3">
      <c r="A232">
        <f t="shared" si="21"/>
        <v>215</v>
      </c>
      <c r="B232" s="4"/>
      <c r="I232" s="8"/>
      <c r="J232" s="5" t="str">
        <f t="shared" si="19"/>
        <v/>
      </c>
      <c r="K232" s="3"/>
      <c r="L232" s="3" t="str">
        <f t="shared" si="18"/>
        <v/>
      </c>
      <c r="N232" s="3" t="str">
        <f t="shared" ref="N232:N295" si="22">IF(L232 = "", "", IF(M232="", "", IF(OR(M232="Draw",M232="NC"), 0, IF(M232="win", L232, -1*K232))))</f>
        <v/>
      </c>
      <c r="O232" s="6" t="str">
        <f t="shared" si="20"/>
        <v/>
      </c>
      <c r="P232" s="7">
        <f ca="1">SUMIFS($N$2:$N232,$B$2:$B232,"&lt;&gt;"&amp;B232)+SUM($Q$2:$Q232)</f>
        <v>135.05500000000001</v>
      </c>
      <c r="R232" t="b">
        <f>AND(ISNUMBER(FIND($E232,Tables!$I$2)), ISNUMBER(FIND($D232,Tables!$J$2)), $E232&lt;&gt;"")</f>
        <v>0</v>
      </c>
    </row>
    <row r="233" spans="1:18" x14ac:dyDescent="0.3">
      <c r="A233">
        <f t="shared" si="21"/>
        <v>216</v>
      </c>
      <c r="B233" s="4"/>
      <c r="I233" s="8"/>
      <c r="J233" s="5" t="str">
        <f t="shared" si="19"/>
        <v/>
      </c>
      <c r="K233" s="3"/>
      <c r="L233" s="3" t="str">
        <f t="shared" si="18"/>
        <v/>
      </c>
      <c r="N233" s="3" t="str">
        <f t="shared" si="22"/>
        <v/>
      </c>
      <c r="O233" s="6" t="str">
        <f t="shared" si="20"/>
        <v/>
      </c>
      <c r="P233" s="7">
        <f ca="1">SUMIFS($N$2:$N233,$B$2:$B233,"&lt;&gt;"&amp;B233)+SUM($Q$2:$Q233)</f>
        <v>135.05500000000001</v>
      </c>
      <c r="R233" t="b">
        <f>AND(ISNUMBER(FIND($E233,Tables!$I$2)), ISNUMBER(FIND($D233,Tables!$J$2)), $E233&lt;&gt;"")</f>
        <v>0</v>
      </c>
    </row>
    <row r="234" spans="1:18" x14ac:dyDescent="0.3">
      <c r="A234">
        <f t="shared" si="21"/>
        <v>217</v>
      </c>
      <c r="B234" s="4"/>
      <c r="I234" s="8"/>
      <c r="J234" s="5" t="str">
        <f t="shared" si="19"/>
        <v/>
      </c>
      <c r="K234" s="3"/>
      <c r="L234" s="3" t="str">
        <f t="shared" si="18"/>
        <v/>
      </c>
      <c r="N234" s="3" t="str">
        <f t="shared" si="22"/>
        <v/>
      </c>
      <c r="O234" s="6" t="str">
        <f t="shared" si="20"/>
        <v/>
      </c>
      <c r="P234" s="7">
        <f ca="1">SUMIFS($N$2:$N234,$B$2:$B234,"&lt;&gt;"&amp;B234)+SUM($Q$2:$Q234)</f>
        <v>135.05500000000001</v>
      </c>
      <c r="R234" t="b">
        <f>AND(ISNUMBER(FIND($E234,Tables!$I$2)), ISNUMBER(FIND($D234,Tables!$J$2)), $E234&lt;&gt;"")</f>
        <v>0</v>
      </c>
    </row>
    <row r="235" spans="1:18" x14ac:dyDescent="0.3">
      <c r="A235">
        <f t="shared" si="21"/>
        <v>218</v>
      </c>
      <c r="B235" s="4"/>
      <c r="I235" s="8"/>
      <c r="J235" s="5" t="str">
        <f t="shared" si="19"/>
        <v/>
      </c>
      <c r="K235" s="3"/>
      <c r="L235" s="3" t="str">
        <f t="shared" si="18"/>
        <v/>
      </c>
      <c r="N235" s="3" t="str">
        <f t="shared" si="22"/>
        <v/>
      </c>
      <c r="O235" s="6" t="str">
        <f t="shared" si="20"/>
        <v/>
      </c>
      <c r="P235" s="7">
        <f ca="1">SUMIFS($N$2:$N235,$B$2:$B235,"&lt;&gt;"&amp;B235)+SUM($Q$2:$Q235)</f>
        <v>135.05500000000001</v>
      </c>
      <c r="R235" t="b">
        <f>AND(ISNUMBER(FIND($E235,Tables!$I$2)), ISNUMBER(FIND($D235,Tables!$J$2)), $E235&lt;&gt;"")</f>
        <v>0</v>
      </c>
    </row>
    <row r="236" spans="1:18" x14ac:dyDescent="0.3">
      <c r="A236">
        <f t="shared" si="21"/>
        <v>219</v>
      </c>
      <c r="B236" s="4"/>
      <c r="I236" s="8"/>
      <c r="J236" s="5" t="str">
        <f t="shared" si="19"/>
        <v/>
      </c>
      <c r="K236" s="3"/>
      <c r="L236" s="3" t="str">
        <f t="shared" si="18"/>
        <v/>
      </c>
      <c r="N236" s="3" t="str">
        <f t="shared" si="22"/>
        <v/>
      </c>
      <c r="O236" s="6" t="str">
        <f t="shared" si="20"/>
        <v/>
      </c>
      <c r="P236" s="7">
        <f ca="1">SUMIFS($N$2:$N236,$B$2:$B236,"&lt;&gt;"&amp;B236)+SUM($Q$2:$Q236)</f>
        <v>135.05500000000001</v>
      </c>
      <c r="R236" t="b">
        <f>AND(ISNUMBER(FIND($E236,Tables!$I$2)), ISNUMBER(FIND($D236,Tables!$J$2)), $E236&lt;&gt;"")</f>
        <v>0</v>
      </c>
    </row>
    <row r="237" spans="1:18" x14ac:dyDescent="0.3">
      <c r="A237">
        <f t="shared" si="21"/>
        <v>220</v>
      </c>
      <c r="B237" s="4"/>
      <c r="I237" s="8"/>
      <c r="J237" s="5" t="str">
        <f t="shared" si="19"/>
        <v/>
      </c>
      <c r="K237" s="3"/>
      <c r="L237" s="3" t="str">
        <f t="shared" si="18"/>
        <v/>
      </c>
      <c r="N237" s="3" t="str">
        <f t="shared" si="22"/>
        <v/>
      </c>
      <c r="O237" s="6" t="str">
        <f t="shared" si="20"/>
        <v/>
      </c>
      <c r="P237" s="7">
        <f ca="1">SUMIFS($N$2:$N237,$B$2:$B237,"&lt;&gt;"&amp;B237)+SUM($Q$2:$Q237)</f>
        <v>135.05500000000001</v>
      </c>
      <c r="R237" t="b">
        <f>AND(ISNUMBER(FIND($E237,Tables!$I$2)), ISNUMBER(FIND($D237,Tables!$J$2)), $E237&lt;&gt;"")</f>
        <v>0</v>
      </c>
    </row>
    <row r="238" spans="1:18" x14ac:dyDescent="0.3">
      <c r="A238">
        <f t="shared" si="21"/>
        <v>221</v>
      </c>
      <c r="B238" s="4"/>
      <c r="I238" s="8"/>
      <c r="J238" s="5" t="str">
        <f t="shared" si="19"/>
        <v/>
      </c>
      <c r="K238" s="3"/>
      <c r="L238" s="3" t="str">
        <f t="shared" si="18"/>
        <v/>
      </c>
      <c r="N238" s="3" t="str">
        <f t="shared" si="22"/>
        <v/>
      </c>
      <c r="O238" s="6" t="str">
        <f t="shared" si="20"/>
        <v/>
      </c>
      <c r="P238" s="7">
        <f ca="1">SUMIFS($N$2:$N238,$B$2:$B238,"&lt;&gt;"&amp;B238)+SUM($Q$2:$Q238)</f>
        <v>135.05500000000001</v>
      </c>
      <c r="R238" t="b">
        <f>AND(ISNUMBER(FIND($E238,Tables!$I$2)), ISNUMBER(FIND($D238,Tables!$J$2)), $E238&lt;&gt;"")</f>
        <v>0</v>
      </c>
    </row>
    <row r="239" spans="1:18" x14ac:dyDescent="0.3">
      <c r="A239">
        <f t="shared" si="21"/>
        <v>222</v>
      </c>
      <c r="B239" s="4"/>
      <c r="I239" s="8"/>
      <c r="J239" s="5" t="str">
        <f t="shared" si="19"/>
        <v/>
      </c>
      <c r="K239" s="3"/>
      <c r="L239" s="3" t="str">
        <f t="shared" si="18"/>
        <v/>
      </c>
      <c r="N239" s="3" t="str">
        <f t="shared" si="22"/>
        <v/>
      </c>
      <c r="O239" s="6" t="str">
        <f t="shared" si="20"/>
        <v/>
      </c>
      <c r="P239" s="7">
        <f ca="1">SUMIFS($N$2:$N239,$B$2:$B239,"&lt;&gt;"&amp;B239)+SUM($Q$2:$Q239)</f>
        <v>135.05500000000001</v>
      </c>
      <c r="R239" t="b">
        <f>AND(ISNUMBER(FIND($E239,Tables!$I$2)), ISNUMBER(FIND($D239,Tables!$J$2)), $E239&lt;&gt;"")</f>
        <v>0</v>
      </c>
    </row>
    <row r="240" spans="1:18" x14ac:dyDescent="0.3">
      <c r="A240">
        <f t="shared" si="21"/>
        <v>223</v>
      </c>
      <c r="B240" s="4"/>
      <c r="I240" s="8"/>
      <c r="J240" s="5" t="str">
        <f t="shared" si="19"/>
        <v/>
      </c>
      <c r="K240" s="3"/>
      <c r="L240" s="3" t="str">
        <f t="shared" si="18"/>
        <v/>
      </c>
      <c r="N240" s="3" t="str">
        <f t="shared" si="22"/>
        <v/>
      </c>
      <c r="O240" s="6" t="str">
        <f t="shared" si="20"/>
        <v/>
      </c>
      <c r="P240" s="7">
        <f ca="1">SUMIFS($N$2:$N240,$B$2:$B240,"&lt;&gt;"&amp;B240)+SUM($Q$2:$Q240)</f>
        <v>135.05500000000001</v>
      </c>
      <c r="R240" t="b">
        <f>AND(ISNUMBER(FIND($E240,Tables!$I$2)), ISNUMBER(FIND($D240,Tables!$J$2)), $E240&lt;&gt;"")</f>
        <v>0</v>
      </c>
    </row>
    <row r="241" spans="1:18" x14ac:dyDescent="0.3">
      <c r="A241">
        <f t="shared" si="21"/>
        <v>224</v>
      </c>
      <c r="B241" s="4"/>
      <c r="I241" s="8"/>
      <c r="J241" s="5" t="str">
        <f t="shared" si="19"/>
        <v/>
      </c>
      <c r="K241" s="3"/>
      <c r="L241" s="3" t="str">
        <f t="shared" si="18"/>
        <v/>
      </c>
      <c r="N241" s="3" t="str">
        <f t="shared" si="22"/>
        <v/>
      </c>
      <c r="O241" s="6" t="str">
        <f t="shared" si="20"/>
        <v/>
      </c>
      <c r="P241" s="7">
        <f ca="1">SUMIFS($N$2:$N241,$B$2:$B241,"&lt;&gt;"&amp;B241)+SUM($Q$2:$Q241)</f>
        <v>135.05500000000001</v>
      </c>
      <c r="R241" t="b">
        <f>AND(ISNUMBER(FIND($E241,Tables!$I$2)), ISNUMBER(FIND($D241,Tables!$J$2)), $E241&lt;&gt;"")</f>
        <v>0</v>
      </c>
    </row>
    <row r="242" spans="1:18" x14ac:dyDescent="0.3">
      <c r="A242">
        <f t="shared" si="21"/>
        <v>225</v>
      </c>
      <c r="B242" s="4"/>
      <c r="I242" s="8"/>
      <c r="J242" s="5" t="str">
        <f t="shared" si="19"/>
        <v/>
      </c>
      <c r="K242" s="3"/>
      <c r="L242" s="3" t="str">
        <f t="shared" ref="L242:L305" si="23">IFERROR(IF(K242=0, "", IF(I242&gt;0, K242/100*I242,K242/I242*-100)), "")</f>
        <v/>
      </c>
      <c r="N242" s="3" t="str">
        <f t="shared" si="22"/>
        <v/>
      </c>
      <c r="O242" s="6" t="str">
        <f t="shared" si="20"/>
        <v/>
      </c>
      <c r="P242" s="7">
        <f ca="1">SUMIFS($N$2:$N242,$B$2:$B242,"&lt;&gt;"&amp;B242)+SUM($Q$2:$Q242)</f>
        <v>135.05500000000001</v>
      </c>
      <c r="R242" t="b">
        <f>AND(ISNUMBER(FIND($E242,Tables!$I$2)), ISNUMBER(FIND($D242,Tables!$J$2)), $E242&lt;&gt;"")</f>
        <v>0</v>
      </c>
    </row>
    <row r="243" spans="1:18" x14ac:dyDescent="0.3">
      <c r="A243">
        <f t="shared" si="21"/>
        <v>226</v>
      </c>
      <c r="B243" s="4"/>
      <c r="I243" s="8"/>
      <c r="J243" s="5" t="str">
        <f t="shared" si="19"/>
        <v/>
      </c>
      <c r="K243" s="3"/>
      <c r="L243" s="3" t="str">
        <f t="shared" si="23"/>
        <v/>
      </c>
      <c r="N243" s="3" t="str">
        <f t="shared" si="22"/>
        <v/>
      </c>
      <c r="O243" s="6" t="str">
        <f t="shared" si="20"/>
        <v/>
      </c>
      <c r="P243" s="7">
        <f ca="1">SUMIFS($N$2:$N243,$B$2:$B243,"&lt;&gt;"&amp;B243)+SUM($Q$2:$Q243)</f>
        <v>135.05500000000001</v>
      </c>
      <c r="R243" t="b">
        <f>AND(ISNUMBER(FIND($E243,Tables!$I$2)), ISNUMBER(FIND($D243,Tables!$J$2)), $E243&lt;&gt;"")</f>
        <v>0</v>
      </c>
    </row>
    <row r="244" spans="1:18" x14ac:dyDescent="0.3">
      <c r="A244">
        <f t="shared" si="21"/>
        <v>227</v>
      </c>
      <c r="B244" s="4"/>
      <c r="I244" s="8"/>
      <c r="J244" s="5" t="str">
        <f t="shared" si="19"/>
        <v/>
      </c>
      <c r="K244" s="3"/>
      <c r="L244" s="3" t="str">
        <f t="shared" si="23"/>
        <v/>
      </c>
      <c r="N244" s="3" t="str">
        <f t="shared" si="22"/>
        <v/>
      </c>
      <c r="O244" s="6" t="str">
        <f t="shared" si="20"/>
        <v/>
      </c>
      <c r="P244" s="7">
        <f ca="1">SUMIFS($N$2:$N244,$B$2:$B244,"&lt;&gt;"&amp;B244)+SUM($Q$2:$Q244)</f>
        <v>135.05500000000001</v>
      </c>
      <c r="R244" t="b">
        <f>AND(ISNUMBER(FIND($E244,Tables!$I$2)), ISNUMBER(FIND($D244,Tables!$J$2)), $E244&lt;&gt;"")</f>
        <v>0</v>
      </c>
    </row>
    <row r="245" spans="1:18" x14ac:dyDescent="0.3">
      <c r="A245">
        <f t="shared" si="21"/>
        <v>228</v>
      </c>
      <c r="B245" s="4"/>
      <c r="I245" s="8"/>
      <c r="J245" s="5" t="str">
        <f t="shared" si="19"/>
        <v/>
      </c>
      <c r="K245" s="3"/>
      <c r="L245" s="3" t="str">
        <f t="shared" si="23"/>
        <v/>
      </c>
      <c r="N245" s="3" t="str">
        <f t="shared" si="22"/>
        <v/>
      </c>
      <c r="O245" s="6" t="str">
        <f t="shared" si="20"/>
        <v/>
      </c>
      <c r="P245" s="7">
        <f ca="1">SUMIFS($N$2:$N245,$B$2:$B245,"&lt;&gt;"&amp;B245)+SUM($Q$2:$Q245)</f>
        <v>135.05500000000001</v>
      </c>
      <c r="R245" t="b">
        <f>AND(ISNUMBER(FIND($E245,Tables!$I$2)), ISNUMBER(FIND($D245,Tables!$J$2)), $E245&lt;&gt;"")</f>
        <v>0</v>
      </c>
    </row>
    <row r="246" spans="1:18" x14ac:dyDescent="0.3">
      <c r="A246">
        <f t="shared" si="21"/>
        <v>229</v>
      </c>
      <c r="B246" s="4"/>
      <c r="I246" s="8"/>
      <c r="J246" s="5" t="str">
        <f t="shared" si="19"/>
        <v/>
      </c>
      <c r="K246" s="3"/>
      <c r="L246" s="3" t="str">
        <f t="shared" si="23"/>
        <v/>
      </c>
      <c r="N246" s="3" t="str">
        <f t="shared" si="22"/>
        <v/>
      </c>
      <c r="O246" s="6" t="str">
        <f t="shared" si="20"/>
        <v/>
      </c>
      <c r="P246" s="7">
        <f ca="1">SUMIFS($N$2:$N246,$B$2:$B246,"&lt;&gt;"&amp;B246)+SUM($Q$2:$Q246)</f>
        <v>135.05500000000001</v>
      </c>
      <c r="R246" t="b">
        <f>AND(ISNUMBER(FIND($E246,Tables!$I$2)), ISNUMBER(FIND($D246,Tables!$J$2)), $E246&lt;&gt;"")</f>
        <v>0</v>
      </c>
    </row>
    <row r="247" spans="1:18" x14ac:dyDescent="0.3">
      <c r="A247">
        <f t="shared" si="21"/>
        <v>230</v>
      </c>
      <c r="B247" s="4"/>
      <c r="I247" s="8"/>
      <c r="J247" s="5" t="str">
        <f t="shared" si="19"/>
        <v/>
      </c>
      <c r="K247" s="3"/>
      <c r="L247" s="3" t="str">
        <f t="shared" si="23"/>
        <v/>
      </c>
      <c r="N247" s="3" t="str">
        <f t="shared" si="22"/>
        <v/>
      </c>
      <c r="O247" s="6" t="str">
        <f t="shared" si="20"/>
        <v/>
      </c>
      <c r="P247" s="7">
        <f ca="1">SUMIFS($N$2:$N247,$B$2:$B247,"&lt;&gt;"&amp;B247)+SUM($Q$2:$Q247)</f>
        <v>135.05500000000001</v>
      </c>
      <c r="R247" t="b">
        <f>AND(ISNUMBER(FIND($E247,Tables!$I$2)), ISNUMBER(FIND($D247,Tables!$J$2)), $E247&lt;&gt;"")</f>
        <v>0</v>
      </c>
    </row>
    <row r="248" spans="1:18" x14ac:dyDescent="0.3">
      <c r="A248">
        <f t="shared" si="21"/>
        <v>231</v>
      </c>
      <c r="B248" s="4"/>
      <c r="I248" s="8"/>
      <c r="J248" s="5" t="str">
        <f t="shared" si="19"/>
        <v/>
      </c>
      <c r="K248" s="3"/>
      <c r="L248" s="3" t="str">
        <f t="shared" si="23"/>
        <v/>
      </c>
      <c r="N248" s="3" t="str">
        <f t="shared" si="22"/>
        <v/>
      </c>
      <c r="O248" s="6" t="str">
        <f t="shared" si="20"/>
        <v/>
      </c>
      <c r="P248" s="7">
        <f ca="1">SUMIFS($N$2:$N248,$B$2:$B248,"&lt;&gt;"&amp;B248)+SUM($Q$2:$Q248)</f>
        <v>135.05500000000001</v>
      </c>
      <c r="R248" t="b">
        <f>AND(ISNUMBER(FIND($E248,Tables!$I$2)), ISNUMBER(FIND($D248,Tables!$J$2)), $E248&lt;&gt;"")</f>
        <v>0</v>
      </c>
    </row>
    <row r="249" spans="1:18" x14ac:dyDescent="0.3">
      <c r="A249">
        <f t="shared" si="21"/>
        <v>232</v>
      </c>
      <c r="B249" s="4"/>
      <c r="I249" s="8"/>
      <c r="J249" s="5" t="str">
        <f t="shared" si="19"/>
        <v/>
      </c>
      <c r="K249" s="3"/>
      <c r="L249" s="3" t="str">
        <f t="shared" si="23"/>
        <v/>
      </c>
      <c r="N249" s="3" t="str">
        <f t="shared" si="22"/>
        <v/>
      </c>
      <c r="O249" s="6" t="str">
        <f t="shared" si="20"/>
        <v/>
      </c>
      <c r="P249" s="7">
        <f ca="1">SUMIFS($N$2:$N249,$B$2:$B249,"&lt;&gt;"&amp;B249)+SUM($Q$2:$Q249)</f>
        <v>135.05500000000001</v>
      </c>
      <c r="R249" t="b">
        <f>AND(ISNUMBER(FIND($E249,Tables!$I$2)), ISNUMBER(FIND($D249,Tables!$J$2)), $E249&lt;&gt;"")</f>
        <v>0</v>
      </c>
    </row>
    <row r="250" spans="1:18" x14ac:dyDescent="0.3">
      <c r="A250">
        <f t="shared" si="21"/>
        <v>233</v>
      </c>
      <c r="B250" s="4"/>
      <c r="I250" s="8"/>
      <c r="J250" s="5" t="str">
        <f t="shared" si="19"/>
        <v/>
      </c>
      <c r="K250" s="3"/>
      <c r="L250" s="3" t="str">
        <f t="shared" si="23"/>
        <v/>
      </c>
      <c r="N250" s="3" t="str">
        <f t="shared" si="22"/>
        <v/>
      </c>
      <c r="O250" s="6" t="str">
        <f t="shared" si="20"/>
        <v/>
      </c>
      <c r="P250" s="7">
        <f ca="1">SUMIFS($N$2:$N250,$B$2:$B250,"&lt;&gt;"&amp;B250)+SUM($Q$2:$Q250)</f>
        <v>135.05500000000001</v>
      </c>
      <c r="R250" t="b">
        <f>AND(ISNUMBER(FIND($E250,Tables!$I$2)), ISNUMBER(FIND($D250,Tables!$J$2)), $E250&lt;&gt;"")</f>
        <v>0</v>
      </c>
    </row>
    <row r="251" spans="1:18" x14ac:dyDescent="0.3">
      <c r="A251">
        <f t="shared" si="21"/>
        <v>234</v>
      </c>
      <c r="B251" s="4"/>
      <c r="I251" s="8"/>
      <c r="J251" s="5" t="str">
        <f t="shared" si="19"/>
        <v/>
      </c>
      <c r="K251" s="3"/>
      <c r="L251" s="3" t="str">
        <f t="shared" si="23"/>
        <v/>
      </c>
      <c r="N251" s="3" t="str">
        <f t="shared" si="22"/>
        <v/>
      </c>
      <c r="O251" s="6" t="str">
        <f t="shared" si="20"/>
        <v/>
      </c>
      <c r="P251" s="7">
        <f ca="1">SUMIFS($N$2:$N251,$B$2:$B251,"&lt;&gt;"&amp;B251)+SUM($Q$2:$Q251)</f>
        <v>135.05500000000001</v>
      </c>
      <c r="R251" t="b">
        <f>AND(ISNUMBER(FIND($E251,Tables!$I$2)), ISNUMBER(FIND($D251,Tables!$J$2)), $E251&lt;&gt;"")</f>
        <v>0</v>
      </c>
    </row>
    <row r="252" spans="1:18" x14ac:dyDescent="0.3">
      <c r="A252">
        <f t="shared" si="21"/>
        <v>235</v>
      </c>
      <c r="B252" s="4"/>
      <c r="I252" s="8"/>
      <c r="J252" s="5" t="str">
        <f t="shared" si="19"/>
        <v/>
      </c>
      <c r="K252" s="3"/>
      <c r="L252" s="3" t="str">
        <f t="shared" si="23"/>
        <v/>
      </c>
      <c r="N252" s="3" t="str">
        <f t="shared" si="22"/>
        <v/>
      </c>
      <c r="O252" s="6" t="str">
        <f t="shared" si="20"/>
        <v/>
      </c>
      <c r="P252" s="7">
        <f ca="1">SUMIFS($N$2:$N252,$B$2:$B252,"&lt;&gt;"&amp;B252)+SUM($Q$2:$Q252)</f>
        <v>135.05500000000001</v>
      </c>
      <c r="R252" t="b">
        <f>AND(ISNUMBER(FIND($E252,Tables!$I$2)), ISNUMBER(FIND($D252,Tables!$J$2)), $E252&lt;&gt;"")</f>
        <v>0</v>
      </c>
    </row>
    <row r="253" spans="1:18" x14ac:dyDescent="0.3">
      <c r="A253">
        <f t="shared" si="21"/>
        <v>236</v>
      </c>
      <c r="B253" s="4"/>
      <c r="I253" s="8"/>
      <c r="J253" s="5" t="str">
        <f t="shared" si="19"/>
        <v/>
      </c>
      <c r="K253" s="3"/>
      <c r="L253" s="3" t="str">
        <f t="shared" si="23"/>
        <v/>
      </c>
      <c r="N253" s="3" t="str">
        <f t="shared" si="22"/>
        <v/>
      </c>
      <c r="O253" s="6" t="str">
        <f t="shared" si="20"/>
        <v/>
      </c>
      <c r="P253" s="7">
        <f ca="1">SUMIFS($N$2:$N253,$B$2:$B253,"&lt;&gt;"&amp;B253)+SUM($Q$2:$Q253)</f>
        <v>135.05500000000001</v>
      </c>
      <c r="R253" t="b">
        <f>AND(ISNUMBER(FIND($E253,Tables!$I$2)), ISNUMBER(FIND($D253,Tables!$J$2)), $E253&lt;&gt;"")</f>
        <v>0</v>
      </c>
    </row>
    <row r="254" spans="1:18" x14ac:dyDescent="0.3">
      <c r="A254">
        <f t="shared" si="21"/>
        <v>237</v>
      </c>
      <c r="B254" s="4"/>
      <c r="I254" s="8"/>
      <c r="J254" s="5" t="str">
        <f t="shared" si="19"/>
        <v/>
      </c>
      <c r="K254" s="3"/>
      <c r="L254" s="3" t="str">
        <f t="shared" si="23"/>
        <v/>
      </c>
      <c r="N254" s="3" t="str">
        <f t="shared" si="22"/>
        <v/>
      </c>
      <c r="O254" s="6" t="str">
        <f t="shared" si="20"/>
        <v/>
      </c>
      <c r="P254" s="7">
        <f ca="1">SUMIFS($N$2:$N254,$B$2:$B254,"&lt;&gt;"&amp;B254)+SUM($Q$2:$Q254)</f>
        <v>135.05500000000001</v>
      </c>
      <c r="R254" t="b">
        <f>AND(ISNUMBER(FIND($E254,Tables!$I$2)), ISNUMBER(FIND($D254,Tables!$J$2)), $E254&lt;&gt;"")</f>
        <v>0</v>
      </c>
    </row>
    <row r="255" spans="1:18" x14ac:dyDescent="0.3">
      <c r="A255">
        <f t="shared" si="21"/>
        <v>238</v>
      </c>
      <c r="B255" s="4"/>
      <c r="I255" s="8"/>
      <c r="J255" s="5" t="str">
        <f t="shared" si="19"/>
        <v/>
      </c>
      <c r="K255" s="3"/>
      <c r="L255" s="3" t="str">
        <f t="shared" si="23"/>
        <v/>
      </c>
      <c r="N255" s="3" t="str">
        <f t="shared" si="22"/>
        <v/>
      </c>
      <c r="O255" s="6" t="str">
        <f t="shared" si="20"/>
        <v/>
      </c>
      <c r="P255" s="7">
        <f ca="1">SUMIFS($N$2:$N255,$B$2:$B255,"&lt;&gt;"&amp;B255)+SUM($Q$2:$Q255)</f>
        <v>135.05500000000001</v>
      </c>
      <c r="R255" t="b">
        <f>AND(ISNUMBER(FIND($E255,Tables!$I$2)), ISNUMBER(FIND($D255,Tables!$J$2)), $E255&lt;&gt;"")</f>
        <v>0</v>
      </c>
    </row>
    <row r="256" spans="1:18" x14ac:dyDescent="0.3">
      <c r="A256">
        <f t="shared" si="21"/>
        <v>239</v>
      </c>
      <c r="B256" s="4"/>
      <c r="I256" s="8"/>
      <c r="J256" s="5" t="str">
        <f t="shared" si="19"/>
        <v/>
      </c>
      <c r="K256" s="3"/>
      <c r="L256" s="3" t="str">
        <f t="shared" si="23"/>
        <v/>
      </c>
      <c r="N256" s="3" t="str">
        <f t="shared" si="22"/>
        <v/>
      </c>
      <c r="O256" s="6" t="str">
        <f t="shared" si="20"/>
        <v/>
      </c>
      <c r="P256" s="7">
        <f ca="1">SUMIFS($N$2:$N256,$B$2:$B256,"&lt;&gt;"&amp;B256)+SUM($Q$2:$Q256)</f>
        <v>135.05500000000001</v>
      </c>
      <c r="R256" t="b">
        <f>AND(ISNUMBER(FIND($E256,Tables!$I$2)), ISNUMBER(FIND($D256,Tables!$J$2)), $E256&lt;&gt;"")</f>
        <v>0</v>
      </c>
    </row>
    <row r="257" spans="1:18" x14ac:dyDescent="0.3">
      <c r="A257">
        <f t="shared" si="21"/>
        <v>240</v>
      </c>
      <c r="B257" s="4"/>
      <c r="I257" s="8"/>
      <c r="J257" s="5" t="str">
        <f t="shared" si="19"/>
        <v/>
      </c>
      <c r="K257" s="3"/>
      <c r="L257" s="3" t="str">
        <f t="shared" si="23"/>
        <v/>
      </c>
      <c r="N257" s="3" t="str">
        <f t="shared" si="22"/>
        <v/>
      </c>
      <c r="O257" s="6" t="str">
        <f t="shared" si="20"/>
        <v/>
      </c>
      <c r="P257" s="7">
        <f ca="1">SUMIFS($N$2:$N257,$B$2:$B257,"&lt;&gt;"&amp;B257)+SUM($Q$2:$Q257)</f>
        <v>135.05500000000001</v>
      </c>
      <c r="R257" t="b">
        <f>AND(ISNUMBER(FIND($E257,Tables!$I$2)), ISNUMBER(FIND($D257,Tables!$J$2)), $E257&lt;&gt;"")</f>
        <v>0</v>
      </c>
    </row>
    <row r="258" spans="1:18" x14ac:dyDescent="0.3">
      <c r="A258">
        <f t="shared" si="21"/>
        <v>241</v>
      </c>
      <c r="B258" s="4"/>
      <c r="I258" s="8"/>
      <c r="J258" s="5" t="str">
        <f t="shared" ref="J258:J321" si="24">IF(I258="", "", IF(I258&gt;0, I258/100 +1, -100/I258 +1))</f>
        <v/>
      </c>
      <c r="K258" s="3"/>
      <c r="L258" s="3" t="str">
        <f t="shared" si="23"/>
        <v/>
      </c>
      <c r="N258" s="3" t="str">
        <f t="shared" si="22"/>
        <v/>
      </c>
      <c r="O258" s="6" t="str">
        <f t="shared" ref="O258:O321" si="25">IFERROR(K258/VLOOKUP(_xlfn.MINIFS(A:A,B:B,B258,C:C,C258),A:P,16),"")</f>
        <v/>
      </c>
      <c r="P258" s="7">
        <f ca="1">SUMIFS($N$2:$N258,$B$2:$B258,"&lt;&gt;"&amp;B258)+SUM($Q$2:$Q258)</f>
        <v>135.05500000000001</v>
      </c>
      <c r="R258" t="b">
        <f>AND(ISNUMBER(FIND($E258,Tables!$I$2)), ISNUMBER(FIND($D258,Tables!$J$2)), $E258&lt;&gt;"")</f>
        <v>0</v>
      </c>
    </row>
    <row r="259" spans="1:18" x14ac:dyDescent="0.3">
      <c r="A259">
        <f t="shared" si="21"/>
        <v>242</v>
      </c>
      <c r="B259" s="4"/>
      <c r="I259" s="8"/>
      <c r="J259" s="5" t="str">
        <f t="shared" si="24"/>
        <v/>
      </c>
      <c r="K259" s="3"/>
      <c r="L259" s="3" t="str">
        <f t="shared" si="23"/>
        <v/>
      </c>
      <c r="N259" s="3" t="str">
        <f t="shared" si="22"/>
        <v/>
      </c>
      <c r="O259" s="6" t="str">
        <f t="shared" si="25"/>
        <v/>
      </c>
      <c r="P259" s="7">
        <f ca="1">SUMIFS($N$2:$N259,$B$2:$B259,"&lt;&gt;"&amp;B259)+SUM($Q$2:$Q259)</f>
        <v>135.05500000000001</v>
      </c>
      <c r="R259" t="b">
        <f>AND(ISNUMBER(FIND($E259,Tables!$I$2)), ISNUMBER(FIND($D259,Tables!$J$2)), $E259&lt;&gt;"")</f>
        <v>0</v>
      </c>
    </row>
    <row r="260" spans="1:18" x14ac:dyDescent="0.3">
      <c r="A260">
        <f t="shared" si="21"/>
        <v>243</v>
      </c>
      <c r="B260" s="4"/>
      <c r="I260" s="8"/>
      <c r="J260" s="5" t="str">
        <f t="shared" si="24"/>
        <v/>
      </c>
      <c r="K260" s="3"/>
      <c r="L260" s="3" t="str">
        <f t="shared" si="23"/>
        <v/>
      </c>
      <c r="N260" s="3" t="str">
        <f t="shared" si="22"/>
        <v/>
      </c>
      <c r="O260" s="6" t="str">
        <f t="shared" si="25"/>
        <v/>
      </c>
      <c r="P260" s="7">
        <f ca="1">SUMIFS($N$2:$N260,$B$2:$B260,"&lt;&gt;"&amp;B260)+SUM($Q$2:$Q260)</f>
        <v>135.05500000000001</v>
      </c>
      <c r="R260" t="b">
        <f>AND(ISNUMBER(FIND($E260,Tables!$I$2)), ISNUMBER(FIND($D260,Tables!$J$2)), $E260&lt;&gt;"")</f>
        <v>0</v>
      </c>
    </row>
    <row r="261" spans="1:18" x14ac:dyDescent="0.3">
      <c r="A261">
        <f t="shared" si="21"/>
        <v>244</v>
      </c>
      <c r="B261" s="4"/>
      <c r="I261" s="8"/>
      <c r="J261" s="5" t="str">
        <f t="shared" si="24"/>
        <v/>
      </c>
      <c r="K261" s="3"/>
      <c r="L261" s="3" t="str">
        <f t="shared" si="23"/>
        <v/>
      </c>
      <c r="N261" s="3" t="str">
        <f t="shared" si="22"/>
        <v/>
      </c>
      <c r="O261" s="6" t="str">
        <f t="shared" si="25"/>
        <v/>
      </c>
      <c r="P261" s="7">
        <f ca="1">SUMIFS($N$2:$N261,$B$2:$B261,"&lt;&gt;"&amp;B261)+SUM($Q$2:$Q261)</f>
        <v>135.05500000000001</v>
      </c>
      <c r="R261" t="b">
        <f>AND(ISNUMBER(FIND($E261,Tables!$I$2)), ISNUMBER(FIND($D261,Tables!$J$2)), $E261&lt;&gt;"")</f>
        <v>0</v>
      </c>
    </row>
    <row r="262" spans="1:18" x14ac:dyDescent="0.3">
      <c r="A262">
        <f t="shared" si="21"/>
        <v>245</v>
      </c>
      <c r="B262" s="4"/>
      <c r="I262" s="8"/>
      <c r="J262" s="5" t="str">
        <f t="shared" si="24"/>
        <v/>
      </c>
      <c r="K262" s="3"/>
      <c r="L262" s="3" t="str">
        <f t="shared" si="23"/>
        <v/>
      </c>
      <c r="N262" s="3" t="str">
        <f t="shared" si="22"/>
        <v/>
      </c>
      <c r="O262" s="6" t="str">
        <f t="shared" si="25"/>
        <v/>
      </c>
      <c r="P262" s="7">
        <f ca="1">SUMIFS($N$2:$N262,$B$2:$B262,"&lt;&gt;"&amp;B262)+SUM($Q$2:$Q262)</f>
        <v>135.05500000000001</v>
      </c>
      <c r="R262" t="b">
        <f>AND(ISNUMBER(FIND($E262,Tables!$I$2)), ISNUMBER(FIND($D262,Tables!$J$2)), $E262&lt;&gt;"")</f>
        <v>0</v>
      </c>
    </row>
    <row r="263" spans="1:18" x14ac:dyDescent="0.3">
      <c r="A263">
        <f t="shared" si="21"/>
        <v>246</v>
      </c>
      <c r="B263" s="4"/>
      <c r="I263" s="8"/>
      <c r="J263" s="5" t="str">
        <f t="shared" si="24"/>
        <v/>
      </c>
      <c r="K263" s="3"/>
      <c r="L263" s="3" t="str">
        <f t="shared" si="23"/>
        <v/>
      </c>
      <c r="N263" s="3" t="str">
        <f t="shared" si="22"/>
        <v/>
      </c>
      <c r="O263" s="6" t="str">
        <f t="shared" si="25"/>
        <v/>
      </c>
      <c r="P263" s="7">
        <f ca="1">SUMIFS($N$2:$N263,$B$2:$B263,"&lt;&gt;"&amp;B263)+SUM($Q$2:$Q263)</f>
        <v>135.05500000000001</v>
      </c>
      <c r="R263" t="b">
        <f>AND(ISNUMBER(FIND($E263,Tables!$I$2)), ISNUMBER(FIND($D263,Tables!$J$2)), $E263&lt;&gt;"")</f>
        <v>0</v>
      </c>
    </row>
    <row r="264" spans="1:18" x14ac:dyDescent="0.3">
      <c r="A264">
        <f t="shared" si="21"/>
        <v>247</v>
      </c>
      <c r="B264" s="4"/>
      <c r="I264" s="8"/>
      <c r="J264" s="5" t="str">
        <f t="shared" si="24"/>
        <v/>
      </c>
      <c r="K264" s="3"/>
      <c r="L264" s="3" t="str">
        <f t="shared" si="23"/>
        <v/>
      </c>
      <c r="N264" s="3" t="str">
        <f t="shared" si="22"/>
        <v/>
      </c>
      <c r="O264" s="6" t="str">
        <f t="shared" si="25"/>
        <v/>
      </c>
      <c r="P264" s="7">
        <f ca="1">SUMIFS($N$2:$N264,$B$2:$B264,"&lt;&gt;"&amp;B264)+SUM($Q$2:$Q264)</f>
        <v>135.05500000000001</v>
      </c>
      <c r="R264" t="b">
        <f>AND(ISNUMBER(FIND($E264,Tables!$I$2)), ISNUMBER(FIND($D264,Tables!$J$2)), $E264&lt;&gt;"")</f>
        <v>0</v>
      </c>
    </row>
    <row r="265" spans="1:18" x14ac:dyDescent="0.3">
      <c r="A265">
        <f t="shared" si="21"/>
        <v>248</v>
      </c>
      <c r="B265" s="4"/>
      <c r="I265" s="8"/>
      <c r="J265" s="5" t="str">
        <f t="shared" si="24"/>
        <v/>
      </c>
      <c r="K265" s="3"/>
      <c r="L265" s="3" t="str">
        <f t="shared" si="23"/>
        <v/>
      </c>
      <c r="N265" s="3" t="str">
        <f t="shared" si="22"/>
        <v/>
      </c>
      <c r="O265" s="6" t="str">
        <f t="shared" si="25"/>
        <v/>
      </c>
      <c r="P265" s="7">
        <f ca="1">SUMIFS($N$2:$N265,$B$2:$B265,"&lt;&gt;"&amp;B265)+SUM($Q$2:$Q265)</f>
        <v>135.05500000000001</v>
      </c>
      <c r="R265" t="b">
        <f>AND(ISNUMBER(FIND($E265,Tables!$I$2)), ISNUMBER(FIND($D265,Tables!$J$2)), $E265&lt;&gt;"")</f>
        <v>0</v>
      </c>
    </row>
    <row r="266" spans="1:18" x14ac:dyDescent="0.3">
      <c r="A266">
        <f t="shared" si="21"/>
        <v>249</v>
      </c>
      <c r="B266" s="4"/>
      <c r="I266" s="8"/>
      <c r="J266" s="5" t="str">
        <f t="shared" si="24"/>
        <v/>
      </c>
      <c r="K266" s="3"/>
      <c r="L266" s="3" t="str">
        <f t="shared" si="23"/>
        <v/>
      </c>
      <c r="N266" s="3" t="str">
        <f t="shared" si="22"/>
        <v/>
      </c>
      <c r="O266" s="6" t="str">
        <f t="shared" si="25"/>
        <v/>
      </c>
      <c r="P266" s="7">
        <f ca="1">SUMIFS($N$2:$N266,$B$2:$B266,"&lt;&gt;"&amp;B266)+SUM($Q$2:$Q266)</f>
        <v>135.05500000000001</v>
      </c>
      <c r="R266" t="b">
        <f>AND(ISNUMBER(FIND($E266,Tables!$I$2)), ISNUMBER(FIND($D266,Tables!$J$2)), $E266&lt;&gt;"")</f>
        <v>0</v>
      </c>
    </row>
    <row r="267" spans="1:18" x14ac:dyDescent="0.3">
      <c r="A267">
        <f t="shared" si="21"/>
        <v>250</v>
      </c>
      <c r="B267" s="4"/>
      <c r="I267" s="8"/>
      <c r="J267" s="5" t="str">
        <f t="shared" si="24"/>
        <v/>
      </c>
      <c r="K267" s="3"/>
      <c r="L267" s="3" t="str">
        <f t="shared" si="23"/>
        <v/>
      </c>
      <c r="N267" s="3" t="str">
        <f t="shared" si="22"/>
        <v/>
      </c>
      <c r="O267" s="6" t="str">
        <f t="shared" si="25"/>
        <v/>
      </c>
      <c r="P267" s="7">
        <f ca="1">SUMIFS($N$2:$N267,$B$2:$B267,"&lt;&gt;"&amp;B267)+SUM($Q$2:$Q267)</f>
        <v>135.05500000000001</v>
      </c>
      <c r="R267" t="b">
        <f>AND(ISNUMBER(FIND($E267,Tables!$I$2)), ISNUMBER(FIND($D267,Tables!$J$2)), $E267&lt;&gt;"")</f>
        <v>0</v>
      </c>
    </row>
    <row r="268" spans="1:18" x14ac:dyDescent="0.3">
      <c r="A268">
        <f t="shared" si="21"/>
        <v>251</v>
      </c>
      <c r="B268" s="4"/>
      <c r="I268" s="8"/>
      <c r="J268" s="5" t="str">
        <f t="shared" si="24"/>
        <v/>
      </c>
      <c r="K268" s="3"/>
      <c r="L268" s="3" t="str">
        <f t="shared" si="23"/>
        <v/>
      </c>
      <c r="N268" s="3" t="str">
        <f t="shared" si="22"/>
        <v/>
      </c>
      <c r="O268" s="6" t="str">
        <f t="shared" si="25"/>
        <v/>
      </c>
      <c r="P268" s="7">
        <f ca="1">SUMIFS($N$2:$N268,$B$2:$B268,"&lt;&gt;"&amp;B268)+SUM($Q$2:$Q268)</f>
        <v>135.05500000000001</v>
      </c>
      <c r="R268" t="b">
        <f>AND(ISNUMBER(FIND($E268,Tables!$I$2)), ISNUMBER(FIND($D268,Tables!$J$2)), $E268&lt;&gt;"")</f>
        <v>0</v>
      </c>
    </row>
    <row r="269" spans="1:18" x14ac:dyDescent="0.3">
      <c r="A269">
        <f t="shared" si="21"/>
        <v>252</v>
      </c>
      <c r="B269" s="4"/>
      <c r="I269" s="8"/>
      <c r="J269" s="5" t="str">
        <f t="shared" si="24"/>
        <v/>
      </c>
      <c r="K269" s="3"/>
      <c r="L269" s="3" t="str">
        <f t="shared" si="23"/>
        <v/>
      </c>
      <c r="N269" s="3" t="str">
        <f t="shared" si="22"/>
        <v/>
      </c>
      <c r="O269" s="6" t="str">
        <f t="shared" si="25"/>
        <v/>
      </c>
      <c r="P269" s="7">
        <f ca="1">SUMIFS($N$2:$N269,$B$2:$B269,"&lt;&gt;"&amp;B269)+SUM($Q$2:$Q269)</f>
        <v>135.05500000000001</v>
      </c>
      <c r="R269" t="b">
        <f>AND(ISNUMBER(FIND($E269,Tables!$I$2)), ISNUMBER(FIND($D269,Tables!$J$2)), $E269&lt;&gt;"")</f>
        <v>0</v>
      </c>
    </row>
    <row r="270" spans="1:18" x14ac:dyDescent="0.3">
      <c r="A270">
        <f t="shared" si="21"/>
        <v>253</v>
      </c>
      <c r="B270" s="4"/>
      <c r="I270" s="8"/>
      <c r="J270" s="5" t="str">
        <f t="shared" si="24"/>
        <v/>
      </c>
      <c r="K270" s="3"/>
      <c r="L270" s="3" t="str">
        <f t="shared" si="23"/>
        <v/>
      </c>
      <c r="N270" s="3" t="str">
        <f t="shared" si="22"/>
        <v/>
      </c>
      <c r="O270" s="6" t="str">
        <f t="shared" si="25"/>
        <v/>
      </c>
      <c r="P270" s="7">
        <f ca="1">SUMIFS($N$2:$N270,$B$2:$B270,"&lt;&gt;"&amp;B270)+SUM($Q$2:$Q270)</f>
        <v>135.05500000000001</v>
      </c>
      <c r="R270" t="b">
        <f>AND(ISNUMBER(FIND($E270,Tables!$I$2)), ISNUMBER(FIND($D270,Tables!$J$2)), $E270&lt;&gt;"")</f>
        <v>0</v>
      </c>
    </row>
    <row r="271" spans="1:18" x14ac:dyDescent="0.3">
      <c r="A271">
        <f t="shared" si="21"/>
        <v>254</v>
      </c>
      <c r="B271" s="4"/>
      <c r="I271" s="8"/>
      <c r="J271" s="5" t="str">
        <f t="shared" si="24"/>
        <v/>
      </c>
      <c r="K271" s="3"/>
      <c r="L271" s="3" t="str">
        <f t="shared" si="23"/>
        <v/>
      </c>
      <c r="N271" s="3" t="str">
        <f t="shared" si="22"/>
        <v/>
      </c>
      <c r="O271" s="6" t="str">
        <f t="shared" si="25"/>
        <v/>
      </c>
      <c r="P271" s="7">
        <f ca="1">SUMIFS($N$2:$N271,$B$2:$B271,"&lt;&gt;"&amp;B271)+SUM($Q$2:$Q271)</f>
        <v>135.05500000000001</v>
      </c>
      <c r="R271" t="b">
        <f>AND(ISNUMBER(FIND($E271,Tables!$I$2)), ISNUMBER(FIND($D271,Tables!$J$2)), $E271&lt;&gt;"")</f>
        <v>0</v>
      </c>
    </row>
    <row r="272" spans="1:18" x14ac:dyDescent="0.3">
      <c r="A272">
        <f t="shared" si="21"/>
        <v>255</v>
      </c>
      <c r="B272" s="4"/>
      <c r="I272" s="8"/>
      <c r="J272" s="5" t="str">
        <f t="shared" si="24"/>
        <v/>
      </c>
      <c r="K272" s="3"/>
      <c r="L272" s="3" t="str">
        <f t="shared" si="23"/>
        <v/>
      </c>
      <c r="N272" s="3" t="str">
        <f t="shared" si="22"/>
        <v/>
      </c>
      <c r="O272" s="6" t="str">
        <f t="shared" si="25"/>
        <v/>
      </c>
      <c r="P272" s="7">
        <f ca="1">SUMIFS($N$2:$N272,$B$2:$B272,"&lt;&gt;"&amp;B272)+SUM($Q$2:$Q272)</f>
        <v>135.05500000000001</v>
      </c>
      <c r="R272" t="b">
        <f>AND(ISNUMBER(FIND($E272,Tables!$I$2)), ISNUMBER(FIND($D272,Tables!$J$2)), $E272&lt;&gt;"")</f>
        <v>0</v>
      </c>
    </row>
    <row r="273" spans="1:18" x14ac:dyDescent="0.3">
      <c r="A273">
        <f t="shared" si="21"/>
        <v>256</v>
      </c>
      <c r="B273" s="4"/>
      <c r="I273" s="8"/>
      <c r="J273" s="5" t="str">
        <f t="shared" si="24"/>
        <v/>
      </c>
      <c r="K273" s="3"/>
      <c r="L273" s="3" t="str">
        <f t="shared" si="23"/>
        <v/>
      </c>
      <c r="N273" s="3" t="str">
        <f t="shared" si="22"/>
        <v/>
      </c>
      <c r="O273" s="6" t="str">
        <f t="shared" si="25"/>
        <v/>
      </c>
      <c r="P273" s="7">
        <f ca="1">SUMIFS($N$2:$N273,$B$2:$B273,"&lt;&gt;"&amp;B273)+SUM($Q$2:$Q273)</f>
        <v>135.05500000000001</v>
      </c>
      <c r="R273" t="b">
        <f>AND(ISNUMBER(FIND($E273,Tables!$I$2)), ISNUMBER(FIND($D273,Tables!$J$2)), $E273&lt;&gt;"")</f>
        <v>0</v>
      </c>
    </row>
    <row r="274" spans="1:18" x14ac:dyDescent="0.3">
      <c r="A274">
        <f t="shared" si="21"/>
        <v>257</v>
      </c>
      <c r="B274" s="4"/>
      <c r="I274" s="8"/>
      <c r="J274" s="5" t="str">
        <f t="shared" si="24"/>
        <v/>
      </c>
      <c r="K274" s="3"/>
      <c r="L274" s="3" t="str">
        <f t="shared" si="23"/>
        <v/>
      </c>
      <c r="N274" s="3" t="str">
        <f t="shared" si="22"/>
        <v/>
      </c>
      <c r="O274" s="6" t="str">
        <f t="shared" si="25"/>
        <v/>
      </c>
      <c r="P274" s="7">
        <f ca="1">SUMIFS($N$2:$N274,$B$2:$B274,"&lt;&gt;"&amp;B274)+SUM($Q$2:$Q274)</f>
        <v>135.05500000000001</v>
      </c>
      <c r="R274" t="b">
        <f>AND(ISNUMBER(FIND($E274,Tables!$I$2)), ISNUMBER(FIND($D274,Tables!$J$2)), $E274&lt;&gt;"")</f>
        <v>0</v>
      </c>
    </row>
    <row r="275" spans="1:18" x14ac:dyDescent="0.3">
      <c r="A275">
        <f t="shared" si="21"/>
        <v>258</v>
      </c>
      <c r="B275" s="4"/>
      <c r="I275" s="8"/>
      <c r="J275" s="5" t="str">
        <f t="shared" si="24"/>
        <v/>
      </c>
      <c r="K275" s="3"/>
      <c r="L275" s="3" t="str">
        <f t="shared" si="23"/>
        <v/>
      </c>
      <c r="N275" s="3" t="str">
        <f t="shared" si="22"/>
        <v/>
      </c>
      <c r="O275" s="6" t="str">
        <f t="shared" si="25"/>
        <v/>
      </c>
      <c r="P275" s="7">
        <f ca="1">SUMIFS($N$2:$N275,$B$2:$B275,"&lt;&gt;"&amp;B275)+SUM($Q$2:$Q275)</f>
        <v>135.05500000000001</v>
      </c>
      <c r="R275" t="b">
        <f>AND(ISNUMBER(FIND($E275,Tables!$I$2)), ISNUMBER(FIND($D275,Tables!$J$2)), $E275&lt;&gt;"")</f>
        <v>0</v>
      </c>
    </row>
    <row r="276" spans="1:18" x14ac:dyDescent="0.3">
      <c r="A276">
        <f t="shared" si="21"/>
        <v>259</v>
      </c>
      <c r="B276" s="4"/>
      <c r="I276" s="8"/>
      <c r="J276" s="5" t="str">
        <f t="shared" si="24"/>
        <v/>
      </c>
      <c r="K276" s="3"/>
      <c r="L276" s="3" t="str">
        <f t="shared" si="23"/>
        <v/>
      </c>
      <c r="N276" s="3" t="str">
        <f t="shared" si="22"/>
        <v/>
      </c>
      <c r="O276" s="6" t="str">
        <f t="shared" si="25"/>
        <v/>
      </c>
      <c r="P276" s="7">
        <f ca="1">SUMIFS($N$2:$N276,$B$2:$B276,"&lt;&gt;"&amp;B276)+SUM($Q$2:$Q276)</f>
        <v>135.05500000000001</v>
      </c>
      <c r="R276" t="b">
        <f>AND(ISNUMBER(FIND($E276,Tables!$I$2)), ISNUMBER(FIND($D276,Tables!$J$2)), $E276&lt;&gt;"")</f>
        <v>0</v>
      </c>
    </row>
    <row r="277" spans="1:18" x14ac:dyDescent="0.3">
      <c r="A277">
        <f t="shared" si="21"/>
        <v>260</v>
      </c>
      <c r="B277" s="4"/>
      <c r="I277" s="8"/>
      <c r="J277" s="5" t="str">
        <f t="shared" si="24"/>
        <v/>
      </c>
      <c r="K277" s="3"/>
      <c r="L277" s="3" t="str">
        <f t="shared" si="23"/>
        <v/>
      </c>
      <c r="N277" s="3" t="str">
        <f t="shared" si="22"/>
        <v/>
      </c>
      <c r="O277" s="6" t="str">
        <f t="shared" si="25"/>
        <v/>
      </c>
      <c r="P277" s="7">
        <f ca="1">SUMIFS($N$2:$N277,$B$2:$B277,"&lt;&gt;"&amp;B277)+SUM($Q$2:$Q277)</f>
        <v>135.05500000000001</v>
      </c>
      <c r="R277" t="b">
        <f>AND(ISNUMBER(FIND($E277,Tables!$I$2)), ISNUMBER(FIND($D277,Tables!$J$2)), $E277&lt;&gt;"")</f>
        <v>0</v>
      </c>
    </row>
    <row r="278" spans="1:18" x14ac:dyDescent="0.3">
      <c r="A278">
        <f t="shared" si="21"/>
        <v>261</v>
      </c>
      <c r="B278" s="4"/>
      <c r="I278" s="8"/>
      <c r="J278" s="5" t="str">
        <f t="shared" si="24"/>
        <v/>
      </c>
      <c r="K278" s="3"/>
      <c r="L278" s="3" t="str">
        <f t="shared" si="23"/>
        <v/>
      </c>
      <c r="N278" s="3" t="str">
        <f t="shared" si="22"/>
        <v/>
      </c>
      <c r="O278" s="6" t="str">
        <f t="shared" si="25"/>
        <v/>
      </c>
      <c r="P278" s="7">
        <f ca="1">SUMIFS($N$2:$N278,$B$2:$B278,"&lt;&gt;"&amp;B278)+SUM($Q$2:$Q278)</f>
        <v>135.05500000000001</v>
      </c>
      <c r="R278" t="b">
        <f>AND(ISNUMBER(FIND($E278,Tables!$I$2)), ISNUMBER(FIND($D278,Tables!$J$2)), $E278&lt;&gt;"")</f>
        <v>0</v>
      </c>
    </row>
    <row r="279" spans="1:18" x14ac:dyDescent="0.3">
      <c r="A279">
        <f t="shared" si="21"/>
        <v>262</v>
      </c>
      <c r="B279" s="4"/>
      <c r="I279" s="8"/>
      <c r="J279" s="5" t="str">
        <f t="shared" si="24"/>
        <v/>
      </c>
      <c r="K279" s="3"/>
      <c r="L279" s="3" t="str">
        <f t="shared" si="23"/>
        <v/>
      </c>
      <c r="N279" s="3" t="str">
        <f t="shared" si="22"/>
        <v/>
      </c>
      <c r="O279" s="6" t="str">
        <f t="shared" si="25"/>
        <v/>
      </c>
      <c r="P279" s="7">
        <f ca="1">SUMIFS($N$2:$N279,$B$2:$B279,"&lt;&gt;"&amp;B279)+SUM($Q$2:$Q279)</f>
        <v>135.05500000000001</v>
      </c>
      <c r="R279" t="b">
        <f>AND(ISNUMBER(FIND($E279,Tables!$I$2)), ISNUMBER(FIND($D279,Tables!$J$2)), $E279&lt;&gt;"")</f>
        <v>0</v>
      </c>
    </row>
    <row r="280" spans="1:18" x14ac:dyDescent="0.3">
      <c r="A280">
        <f t="shared" si="21"/>
        <v>263</v>
      </c>
      <c r="B280" s="4"/>
      <c r="I280" s="8"/>
      <c r="J280" s="5" t="str">
        <f t="shared" si="24"/>
        <v/>
      </c>
      <c r="K280" s="3"/>
      <c r="L280" s="3" t="str">
        <f t="shared" si="23"/>
        <v/>
      </c>
      <c r="N280" s="3" t="str">
        <f t="shared" si="22"/>
        <v/>
      </c>
      <c r="O280" s="6" t="str">
        <f t="shared" si="25"/>
        <v/>
      </c>
      <c r="P280" s="7">
        <f ca="1">SUMIFS($N$2:$N280,$B$2:$B280,"&lt;&gt;"&amp;B280)+SUM($Q$2:$Q280)</f>
        <v>135.05500000000001</v>
      </c>
      <c r="R280" t="b">
        <f>AND(ISNUMBER(FIND($E280,Tables!$I$2)), ISNUMBER(FIND($D280,Tables!$J$2)), $E280&lt;&gt;"")</f>
        <v>0</v>
      </c>
    </row>
    <row r="281" spans="1:18" x14ac:dyDescent="0.3">
      <c r="A281">
        <f t="shared" si="21"/>
        <v>264</v>
      </c>
      <c r="B281" s="4"/>
      <c r="I281" s="8"/>
      <c r="J281" s="5" t="str">
        <f t="shared" si="24"/>
        <v/>
      </c>
      <c r="K281" s="3"/>
      <c r="L281" s="3" t="str">
        <f t="shared" si="23"/>
        <v/>
      </c>
      <c r="N281" s="3" t="str">
        <f t="shared" si="22"/>
        <v/>
      </c>
      <c r="O281" s="6" t="str">
        <f t="shared" si="25"/>
        <v/>
      </c>
      <c r="P281" s="7">
        <f ca="1">SUMIFS($N$2:$N281,$B$2:$B281,"&lt;&gt;"&amp;B281)+SUM($Q$2:$Q281)</f>
        <v>135.05500000000001</v>
      </c>
      <c r="R281" t="b">
        <f>AND(ISNUMBER(FIND($E281,Tables!$I$2)), ISNUMBER(FIND($D281,Tables!$J$2)), $E281&lt;&gt;"")</f>
        <v>0</v>
      </c>
    </row>
    <row r="282" spans="1:18" x14ac:dyDescent="0.3">
      <c r="A282">
        <f t="shared" si="21"/>
        <v>265</v>
      </c>
      <c r="B282" s="4"/>
      <c r="I282" s="8"/>
      <c r="J282" s="5" t="str">
        <f t="shared" si="24"/>
        <v/>
      </c>
      <c r="K282" s="3"/>
      <c r="L282" s="3" t="str">
        <f t="shared" si="23"/>
        <v/>
      </c>
      <c r="N282" s="3" t="str">
        <f t="shared" si="22"/>
        <v/>
      </c>
      <c r="O282" s="6" t="str">
        <f t="shared" si="25"/>
        <v/>
      </c>
      <c r="P282" s="7">
        <f ca="1">SUMIFS($N$2:$N282,$B$2:$B282,"&lt;&gt;"&amp;B282)+SUM($Q$2:$Q282)</f>
        <v>135.05500000000001</v>
      </c>
      <c r="R282" t="b">
        <f>AND(ISNUMBER(FIND($E282,Tables!$I$2)), ISNUMBER(FIND($D282,Tables!$J$2)), $E282&lt;&gt;"")</f>
        <v>0</v>
      </c>
    </row>
    <row r="283" spans="1:18" x14ac:dyDescent="0.3">
      <c r="A283">
        <f t="shared" si="21"/>
        <v>266</v>
      </c>
      <c r="B283" s="4"/>
      <c r="I283" s="8"/>
      <c r="J283" s="5" t="str">
        <f t="shared" si="24"/>
        <v/>
      </c>
      <c r="K283" s="3"/>
      <c r="L283" s="3" t="str">
        <f t="shared" si="23"/>
        <v/>
      </c>
      <c r="N283" s="3" t="str">
        <f t="shared" si="22"/>
        <v/>
      </c>
      <c r="O283" s="6" t="str">
        <f t="shared" si="25"/>
        <v/>
      </c>
      <c r="P283" s="7">
        <f ca="1">SUMIFS($N$2:$N283,$B$2:$B283,"&lt;&gt;"&amp;B283)+SUM($Q$2:$Q283)</f>
        <v>135.05500000000001</v>
      </c>
      <c r="R283" t="b">
        <f>AND(ISNUMBER(FIND($E283,Tables!$I$2)), ISNUMBER(FIND($D283,Tables!$J$2)), $E283&lt;&gt;"")</f>
        <v>0</v>
      </c>
    </row>
    <row r="284" spans="1:18" x14ac:dyDescent="0.3">
      <c r="A284">
        <f t="shared" si="21"/>
        <v>267</v>
      </c>
      <c r="B284" s="4"/>
      <c r="I284" s="8"/>
      <c r="J284" s="5" t="str">
        <f t="shared" si="24"/>
        <v/>
      </c>
      <c r="K284" s="3"/>
      <c r="L284" s="3" t="str">
        <f t="shared" si="23"/>
        <v/>
      </c>
      <c r="N284" s="3" t="str">
        <f t="shared" si="22"/>
        <v/>
      </c>
      <c r="O284" s="6" t="str">
        <f t="shared" si="25"/>
        <v/>
      </c>
      <c r="P284" s="7">
        <f ca="1">SUMIFS($N$2:$N284,$B$2:$B284,"&lt;&gt;"&amp;B284)+SUM($Q$2:$Q284)</f>
        <v>135.05500000000001</v>
      </c>
      <c r="R284" t="b">
        <f>AND(ISNUMBER(FIND($E284,Tables!$I$2)), ISNUMBER(FIND($D284,Tables!$J$2)), $E284&lt;&gt;"")</f>
        <v>0</v>
      </c>
    </row>
    <row r="285" spans="1:18" x14ac:dyDescent="0.3">
      <c r="A285">
        <f t="shared" si="21"/>
        <v>268</v>
      </c>
      <c r="B285" s="4"/>
      <c r="I285" s="8"/>
      <c r="J285" s="5" t="str">
        <f t="shared" si="24"/>
        <v/>
      </c>
      <c r="K285" s="3"/>
      <c r="L285" s="3" t="str">
        <f t="shared" si="23"/>
        <v/>
      </c>
      <c r="N285" s="3" t="str">
        <f t="shared" si="22"/>
        <v/>
      </c>
      <c r="O285" s="6" t="str">
        <f t="shared" si="25"/>
        <v/>
      </c>
      <c r="P285" s="7">
        <f ca="1">SUMIFS($N$2:$N285,$B$2:$B285,"&lt;&gt;"&amp;B285)+SUM($Q$2:$Q285)</f>
        <v>135.05500000000001</v>
      </c>
      <c r="R285" t="b">
        <f>AND(ISNUMBER(FIND($E285,Tables!$I$2)), ISNUMBER(FIND($D285,Tables!$J$2)), $E285&lt;&gt;"")</f>
        <v>0</v>
      </c>
    </row>
    <row r="286" spans="1:18" x14ac:dyDescent="0.3">
      <c r="A286">
        <f t="shared" si="21"/>
        <v>269</v>
      </c>
      <c r="B286" s="4"/>
      <c r="I286" s="8"/>
      <c r="J286" s="5" t="str">
        <f t="shared" si="24"/>
        <v/>
      </c>
      <c r="K286" s="3"/>
      <c r="L286" s="3" t="str">
        <f t="shared" si="23"/>
        <v/>
      </c>
      <c r="N286" s="3" t="str">
        <f t="shared" si="22"/>
        <v/>
      </c>
      <c r="O286" s="6" t="str">
        <f t="shared" si="25"/>
        <v/>
      </c>
      <c r="P286" s="7">
        <f ca="1">SUMIFS($N$2:$N286,$B$2:$B286,"&lt;&gt;"&amp;B286)+SUM($Q$2:$Q286)</f>
        <v>135.05500000000001</v>
      </c>
      <c r="R286" t="b">
        <f>AND(ISNUMBER(FIND($E286,Tables!$I$2)), ISNUMBER(FIND($D286,Tables!$J$2)), $E286&lt;&gt;"")</f>
        <v>0</v>
      </c>
    </row>
    <row r="287" spans="1:18" x14ac:dyDescent="0.3">
      <c r="A287">
        <f t="shared" si="21"/>
        <v>270</v>
      </c>
      <c r="B287" s="4"/>
      <c r="I287" s="8"/>
      <c r="J287" s="5" t="str">
        <f t="shared" si="24"/>
        <v/>
      </c>
      <c r="K287" s="3"/>
      <c r="L287" s="3" t="str">
        <f t="shared" si="23"/>
        <v/>
      </c>
      <c r="N287" s="3" t="str">
        <f t="shared" si="22"/>
        <v/>
      </c>
      <c r="O287" s="6" t="str">
        <f t="shared" si="25"/>
        <v/>
      </c>
      <c r="P287" s="7">
        <f ca="1">SUMIFS($N$2:$N287,$B$2:$B287,"&lt;&gt;"&amp;B287)+SUM($Q$2:$Q287)</f>
        <v>135.05500000000001</v>
      </c>
      <c r="R287" t="b">
        <f>AND(ISNUMBER(FIND($E287,Tables!$I$2)), ISNUMBER(FIND($D287,Tables!$J$2)), $E287&lt;&gt;"")</f>
        <v>0</v>
      </c>
    </row>
    <row r="288" spans="1:18" x14ac:dyDescent="0.3">
      <c r="A288">
        <f t="shared" si="21"/>
        <v>271</v>
      </c>
      <c r="B288" s="4"/>
      <c r="I288" s="8"/>
      <c r="J288" s="5" t="str">
        <f t="shared" si="24"/>
        <v/>
      </c>
      <c r="K288" s="3"/>
      <c r="L288" s="3" t="str">
        <f t="shared" si="23"/>
        <v/>
      </c>
      <c r="N288" s="3" t="str">
        <f t="shared" si="22"/>
        <v/>
      </c>
      <c r="O288" s="6" t="str">
        <f t="shared" si="25"/>
        <v/>
      </c>
      <c r="P288" s="7">
        <f ca="1">SUMIFS($N$2:$N288,$B$2:$B288,"&lt;&gt;"&amp;B288)+SUM($Q$2:$Q288)</f>
        <v>135.05500000000001</v>
      </c>
      <c r="R288" t="b">
        <f>AND(ISNUMBER(FIND($E288,Tables!$I$2)), ISNUMBER(FIND($D288,Tables!$J$2)), $E288&lt;&gt;"")</f>
        <v>0</v>
      </c>
    </row>
    <row r="289" spans="1:18" x14ac:dyDescent="0.3">
      <c r="A289">
        <f t="shared" si="21"/>
        <v>272</v>
      </c>
      <c r="B289" s="4"/>
      <c r="I289" s="8"/>
      <c r="J289" s="5" t="str">
        <f t="shared" si="24"/>
        <v/>
      </c>
      <c r="K289" s="3"/>
      <c r="L289" s="3" t="str">
        <f t="shared" si="23"/>
        <v/>
      </c>
      <c r="N289" s="3" t="str">
        <f t="shared" si="22"/>
        <v/>
      </c>
      <c r="O289" s="6" t="str">
        <f t="shared" si="25"/>
        <v/>
      </c>
      <c r="P289" s="7">
        <f ca="1">SUMIFS($N$2:$N289,$B$2:$B289,"&lt;&gt;"&amp;B289)+SUM($Q$2:$Q289)</f>
        <v>135.05500000000001</v>
      </c>
      <c r="R289" t="b">
        <f>AND(ISNUMBER(FIND($E289,Tables!$I$2)), ISNUMBER(FIND($D289,Tables!$J$2)), $E289&lt;&gt;"")</f>
        <v>0</v>
      </c>
    </row>
    <row r="290" spans="1:18" x14ac:dyDescent="0.3">
      <c r="A290">
        <f t="shared" ref="A290:A353" si="26">IF(AND(B290="", D290&lt;&gt;""), A289, A289+1)</f>
        <v>273</v>
      </c>
      <c r="B290" s="4"/>
      <c r="I290" s="8"/>
      <c r="J290" s="5" t="str">
        <f t="shared" si="24"/>
        <v/>
      </c>
      <c r="K290" s="3"/>
      <c r="L290" s="3" t="str">
        <f t="shared" si="23"/>
        <v/>
      </c>
      <c r="N290" s="3" t="str">
        <f t="shared" si="22"/>
        <v/>
      </c>
      <c r="O290" s="6" t="str">
        <f t="shared" si="25"/>
        <v/>
      </c>
      <c r="P290" s="7">
        <f ca="1">SUMIFS($N$2:$N290,$B$2:$B290,"&lt;&gt;"&amp;B290)+SUM($Q$2:$Q290)</f>
        <v>135.05500000000001</v>
      </c>
      <c r="R290" t="b">
        <f>AND(ISNUMBER(FIND($E290,Tables!$I$2)), ISNUMBER(FIND($D290,Tables!$J$2)), $E290&lt;&gt;"")</f>
        <v>0</v>
      </c>
    </row>
    <row r="291" spans="1:18" x14ac:dyDescent="0.3">
      <c r="A291">
        <f t="shared" si="26"/>
        <v>274</v>
      </c>
      <c r="B291" s="4"/>
      <c r="I291" s="8"/>
      <c r="J291" s="5" t="str">
        <f t="shared" si="24"/>
        <v/>
      </c>
      <c r="K291" s="3"/>
      <c r="L291" s="3" t="str">
        <f t="shared" si="23"/>
        <v/>
      </c>
      <c r="N291" s="3" t="str">
        <f t="shared" si="22"/>
        <v/>
      </c>
      <c r="O291" s="6" t="str">
        <f t="shared" si="25"/>
        <v/>
      </c>
      <c r="P291" s="7">
        <f ca="1">SUMIFS($N$2:$N291,$B$2:$B291,"&lt;&gt;"&amp;B291)+SUM($Q$2:$Q291)</f>
        <v>135.05500000000001</v>
      </c>
      <c r="R291" t="b">
        <f>AND(ISNUMBER(FIND($E291,Tables!$I$2)), ISNUMBER(FIND($D291,Tables!$J$2)), $E291&lt;&gt;"")</f>
        <v>0</v>
      </c>
    </row>
    <row r="292" spans="1:18" x14ac:dyDescent="0.3">
      <c r="A292">
        <f t="shared" si="26"/>
        <v>275</v>
      </c>
      <c r="B292" s="4"/>
      <c r="I292" s="8"/>
      <c r="J292" s="5" t="str">
        <f t="shared" si="24"/>
        <v/>
      </c>
      <c r="K292" s="3"/>
      <c r="L292" s="3" t="str">
        <f t="shared" si="23"/>
        <v/>
      </c>
      <c r="N292" s="3" t="str">
        <f t="shared" si="22"/>
        <v/>
      </c>
      <c r="O292" s="6" t="str">
        <f t="shared" si="25"/>
        <v/>
      </c>
      <c r="P292" s="7">
        <f ca="1">SUMIFS($N$2:$N292,$B$2:$B292,"&lt;&gt;"&amp;B292)+SUM($Q$2:$Q292)</f>
        <v>135.05500000000001</v>
      </c>
      <c r="R292" t="b">
        <f>AND(ISNUMBER(FIND($E292,Tables!$I$2)), ISNUMBER(FIND($D292,Tables!$J$2)), $E292&lt;&gt;"")</f>
        <v>0</v>
      </c>
    </row>
    <row r="293" spans="1:18" x14ac:dyDescent="0.3">
      <c r="A293">
        <f t="shared" si="26"/>
        <v>276</v>
      </c>
      <c r="B293" s="4"/>
      <c r="I293" s="8"/>
      <c r="J293" s="5" t="str">
        <f t="shared" si="24"/>
        <v/>
      </c>
      <c r="K293" s="3"/>
      <c r="L293" s="3" t="str">
        <f t="shared" si="23"/>
        <v/>
      </c>
      <c r="N293" s="3" t="str">
        <f t="shared" si="22"/>
        <v/>
      </c>
      <c r="O293" s="6" t="str">
        <f t="shared" si="25"/>
        <v/>
      </c>
      <c r="P293" s="7">
        <f ca="1">SUMIFS($N$2:$N293,$B$2:$B293,"&lt;&gt;"&amp;B293)+SUM($Q$2:$Q293)</f>
        <v>135.05500000000001</v>
      </c>
      <c r="R293" t="b">
        <f>AND(ISNUMBER(FIND($E293,Tables!$I$2)), ISNUMBER(FIND($D293,Tables!$J$2)), $E293&lt;&gt;"")</f>
        <v>0</v>
      </c>
    </row>
    <row r="294" spans="1:18" x14ac:dyDescent="0.3">
      <c r="A294">
        <f t="shared" si="26"/>
        <v>277</v>
      </c>
      <c r="B294" s="4"/>
      <c r="I294" s="8"/>
      <c r="J294" s="5" t="str">
        <f t="shared" si="24"/>
        <v/>
      </c>
      <c r="K294" s="3"/>
      <c r="L294" s="3" t="str">
        <f t="shared" si="23"/>
        <v/>
      </c>
      <c r="N294" s="3" t="str">
        <f t="shared" si="22"/>
        <v/>
      </c>
      <c r="O294" s="6" t="str">
        <f t="shared" si="25"/>
        <v/>
      </c>
      <c r="P294" s="7">
        <f ca="1">SUMIFS($N$2:$N294,$B$2:$B294,"&lt;&gt;"&amp;B294)+SUM($Q$2:$Q294)</f>
        <v>135.05500000000001</v>
      </c>
      <c r="R294" t="b">
        <f>AND(ISNUMBER(FIND($E294,Tables!$I$2)), ISNUMBER(FIND($D294,Tables!$J$2)), $E294&lt;&gt;"")</f>
        <v>0</v>
      </c>
    </row>
    <row r="295" spans="1:18" x14ac:dyDescent="0.3">
      <c r="A295">
        <f t="shared" si="26"/>
        <v>278</v>
      </c>
      <c r="B295" s="4"/>
      <c r="I295" s="8"/>
      <c r="J295" s="5" t="str">
        <f t="shared" si="24"/>
        <v/>
      </c>
      <c r="K295" s="3"/>
      <c r="L295" s="3" t="str">
        <f t="shared" si="23"/>
        <v/>
      </c>
      <c r="N295" s="3" t="str">
        <f t="shared" si="22"/>
        <v/>
      </c>
      <c r="O295" s="6" t="str">
        <f t="shared" si="25"/>
        <v/>
      </c>
      <c r="P295" s="7">
        <f ca="1">SUMIFS($N$2:$N295,$B$2:$B295,"&lt;&gt;"&amp;B295)+SUM($Q$2:$Q295)</f>
        <v>135.05500000000001</v>
      </c>
      <c r="R295" t="b">
        <f>AND(ISNUMBER(FIND($E295,Tables!$I$2)), ISNUMBER(FIND($D295,Tables!$J$2)), $E295&lt;&gt;"")</f>
        <v>0</v>
      </c>
    </row>
    <row r="296" spans="1:18" x14ac:dyDescent="0.3">
      <c r="A296">
        <f t="shared" si="26"/>
        <v>279</v>
      </c>
      <c r="B296" s="4"/>
      <c r="I296" s="8"/>
      <c r="J296" s="5" t="str">
        <f t="shared" si="24"/>
        <v/>
      </c>
      <c r="K296" s="3"/>
      <c r="L296" s="3" t="str">
        <f t="shared" si="23"/>
        <v/>
      </c>
      <c r="N296" s="3" t="str">
        <f t="shared" ref="N296:N359" si="27">IF(L296 = "", "", IF(M296="", "", IF(OR(M296="Draw",M296="NC"), 0, IF(M296="win", L296, -1*K296))))</f>
        <v/>
      </c>
      <c r="O296" s="6" t="str">
        <f t="shared" si="25"/>
        <v/>
      </c>
      <c r="P296" s="7">
        <f ca="1">SUMIFS($N$2:$N296,$B$2:$B296,"&lt;&gt;"&amp;B296)+SUM($Q$2:$Q296)</f>
        <v>135.05500000000001</v>
      </c>
      <c r="R296" t="b">
        <f>AND(ISNUMBER(FIND($E296,Tables!$I$2)), ISNUMBER(FIND($D296,Tables!$J$2)), $E296&lt;&gt;"")</f>
        <v>0</v>
      </c>
    </row>
    <row r="297" spans="1:18" x14ac:dyDescent="0.3">
      <c r="A297">
        <f t="shared" si="26"/>
        <v>280</v>
      </c>
      <c r="B297" s="4"/>
      <c r="I297" s="8"/>
      <c r="J297" s="5" t="str">
        <f t="shared" si="24"/>
        <v/>
      </c>
      <c r="K297" s="3"/>
      <c r="L297" s="3" t="str">
        <f t="shared" si="23"/>
        <v/>
      </c>
      <c r="N297" s="3" t="str">
        <f t="shared" si="27"/>
        <v/>
      </c>
      <c r="O297" s="6" t="str">
        <f t="shared" si="25"/>
        <v/>
      </c>
      <c r="P297" s="7">
        <f ca="1">SUMIFS($N$2:$N297,$B$2:$B297,"&lt;&gt;"&amp;B297)+SUM($Q$2:$Q297)</f>
        <v>135.05500000000001</v>
      </c>
      <c r="R297" t="b">
        <f>AND(ISNUMBER(FIND($E297,Tables!$I$2)), ISNUMBER(FIND($D297,Tables!$J$2)), $E297&lt;&gt;"")</f>
        <v>0</v>
      </c>
    </row>
    <row r="298" spans="1:18" x14ac:dyDescent="0.3">
      <c r="A298">
        <f t="shared" si="26"/>
        <v>281</v>
      </c>
      <c r="B298" s="4"/>
      <c r="I298" s="8"/>
      <c r="J298" s="5" t="str">
        <f t="shared" si="24"/>
        <v/>
      </c>
      <c r="K298" s="3"/>
      <c r="L298" s="3" t="str">
        <f t="shared" si="23"/>
        <v/>
      </c>
      <c r="N298" s="3" t="str">
        <f t="shared" si="27"/>
        <v/>
      </c>
      <c r="O298" s="6" t="str">
        <f t="shared" si="25"/>
        <v/>
      </c>
      <c r="P298" s="7">
        <f ca="1">SUMIFS($N$2:$N298,$B$2:$B298,"&lt;&gt;"&amp;B298)+SUM($Q$2:$Q298)</f>
        <v>135.05500000000001</v>
      </c>
      <c r="R298" t="b">
        <f>AND(ISNUMBER(FIND($E298,Tables!$I$2)), ISNUMBER(FIND($D298,Tables!$J$2)), $E298&lt;&gt;"")</f>
        <v>0</v>
      </c>
    </row>
    <row r="299" spans="1:18" x14ac:dyDescent="0.3">
      <c r="A299">
        <f t="shared" si="26"/>
        <v>282</v>
      </c>
      <c r="B299" s="4"/>
      <c r="I299" s="8"/>
      <c r="J299" s="5" t="str">
        <f t="shared" si="24"/>
        <v/>
      </c>
      <c r="K299" s="3"/>
      <c r="L299" s="3" t="str">
        <f t="shared" si="23"/>
        <v/>
      </c>
      <c r="N299" s="3" t="str">
        <f t="shared" si="27"/>
        <v/>
      </c>
      <c r="O299" s="6" t="str">
        <f t="shared" si="25"/>
        <v/>
      </c>
      <c r="P299" s="7">
        <f ca="1">SUMIFS($N$2:$N299,$B$2:$B299,"&lt;&gt;"&amp;B299)+SUM($Q$2:$Q299)</f>
        <v>135.05500000000001</v>
      </c>
      <c r="R299" t="b">
        <f>AND(ISNUMBER(FIND($E299,Tables!$I$2)), ISNUMBER(FIND($D299,Tables!$J$2)), $E299&lt;&gt;"")</f>
        <v>0</v>
      </c>
    </row>
    <row r="300" spans="1:18" x14ac:dyDescent="0.3">
      <c r="A300">
        <f t="shared" si="26"/>
        <v>283</v>
      </c>
      <c r="B300" s="4"/>
      <c r="I300" s="8"/>
      <c r="J300" s="5" t="str">
        <f t="shared" si="24"/>
        <v/>
      </c>
      <c r="K300" s="3"/>
      <c r="L300" s="3" t="str">
        <f t="shared" si="23"/>
        <v/>
      </c>
      <c r="N300" s="3" t="str">
        <f t="shared" si="27"/>
        <v/>
      </c>
      <c r="O300" s="6" t="str">
        <f t="shared" si="25"/>
        <v/>
      </c>
      <c r="P300" s="7">
        <f ca="1">SUMIFS($N$2:$N300,$B$2:$B300,"&lt;&gt;"&amp;B300)+SUM($Q$2:$Q300)</f>
        <v>135.05500000000001</v>
      </c>
      <c r="R300" t="b">
        <f>AND(ISNUMBER(FIND($E300,Tables!$I$2)), ISNUMBER(FIND($D300,Tables!$J$2)), $E300&lt;&gt;"")</f>
        <v>0</v>
      </c>
    </row>
    <row r="301" spans="1:18" x14ac:dyDescent="0.3">
      <c r="A301">
        <f t="shared" si="26"/>
        <v>284</v>
      </c>
      <c r="B301" s="4"/>
      <c r="I301" s="8"/>
      <c r="J301" s="5" t="str">
        <f t="shared" si="24"/>
        <v/>
      </c>
      <c r="K301" s="3"/>
      <c r="L301" s="3" t="str">
        <f t="shared" si="23"/>
        <v/>
      </c>
      <c r="N301" s="3" t="str">
        <f t="shared" si="27"/>
        <v/>
      </c>
      <c r="O301" s="6" t="str">
        <f t="shared" si="25"/>
        <v/>
      </c>
      <c r="P301" s="7">
        <f ca="1">SUMIFS($N$2:$N301,$B$2:$B301,"&lt;&gt;"&amp;B301)+SUM($Q$2:$Q301)</f>
        <v>135.05500000000001</v>
      </c>
      <c r="R301" t="b">
        <f>AND(ISNUMBER(FIND($E301,Tables!$I$2)), ISNUMBER(FIND($D301,Tables!$J$2)), $E301&lt;&gt;"")</f>
        <v>0</v>
      </c>
    </row>
    <row r="302" spans="1:18" x14ac:dyDescent="0.3">
      <c r="A302">
        <f t="shared" si="26"/>
        <v>285</v>
      </c>
      <c r="B302" s="4"/>
      <c r="I302" s="8"/>
      <c r="J302" s="5" t="str">
        <f t="shared" si="24"/>
        <v/>
      </c>
      <c r="K302" s="3"/>
      <c r="L302" s="3" t="str">
        <f t="shared" si="23"/>
        <v/>
      </c>
      <c r="N302" s="3" t="str">
        <f t="shared" si="27"/>
        <v/>
      </c>
      <c r="O302" s="6" t="str">
        <f t="shared" si="25"/>
        <v/>
      </c>
      <c r="P302" s="7">
        <f ca="1">SUMIFS($N$2:$N302,$B$2:$B302,"&lt;&gt;"&amp;B302)+SUM($Q$2:$Q302)</f>
        <v>135.05500000000001</v>
      </c>
      <c r="R302" t="b">
        <f>AND(ISNUMBER(FIND($E302,Tables!$I$2)), ISNUMBER(FIND($D302,Tables!$J$2)), $E302&lt;&gt;"")</f>
        <v>0</v>
      </c>
    </row>
    <row r="303" spans="1:18" x14ac:dyDescent="0.3">
      <c r="A303">
        <f t="shared" si="26"/>
        <v>286</v>
      </c>
      <c r="B303" s="4"/>
      <c r="I303" s="8"/>
      <c r="J303" s="5" t="str">
        <f t="shared" si="24"/>
        <v/>
      </c>
      <c r="K303" s="3"/>
      <c r="L303" s="3" t="str">
        <f t="shared" si="23"/>
        <v/>
      </c>
      <c r="N303" s="3" t="str">
        <f t="shared" si="27"/>
        <v/>
      </c>
      <c r="O303" s="6" t="str">
        <f t="shared" si="25"/>
        <v/>
      </c>
      <c r="P303" s="7">
        <f ca="1">SUMIFS($N$2:$N303,$B$2:$B303,"&lt;&gt;"&amp;B303)+SUM($Q$2:$Q303)</f>
        <v>135.05500000000001</v>
      </c>
      <c r="R303" t="b">
        <f>AND(ISNUMBER(FIND($E303,Tables!$I$2)), ISNUMBER(FIND($D303,Tables!$J$2)), $E303&lt;&gt;"")</f>
        <v>0</v>
      </c>
    </row>
    <row r="304" spans="1:18" x14ac:dyDescent="0.3">
      <c r="A304">
        <f t="shared" si="26"/>
        <v>287</v>
      </c>
      <c r="B304" s="4"/>
      <c r="I304" s="8"/>
      <c r="J304" s="5" t="str">
        <f t="shared" si="24"/>
        <v/>
      </c>
      <c r="K304" s="3"/>
      <c r="L304" s="3" t="str">
        <f t="shared" si="23"/>
        <v/>
      </c>
      <c r="N304" s="3" t="str">
        <f t="shared" si="27"/>
        <v/>
      </c>
      <c r="O304" s="6" t="str">
        <f t="shared" si="25"/>
        <v/>
      </c>
      <c r="P304" s="7">
        <f ca="1">SUMIFS($N$2:$N304,$B$2:$B304,"&lt;&gt;"&amp;B304)+SUM($Q$2:$Q304)</f>
        <v>135.05500000000001</v>
      </c>
      <c r="R304" t="b">
        <f>AND(ISNUMBER(FIND($E304,Tables!$I$2)), ISNUMBER(FIND($D304,Tables!$J$2)), $E304&lt;&gt;"")</f>
        <v>0</v>
      </c>
    </row>
    <row r="305" spans="1:18" x14ac:dyDescent="0.3">
      <c r="A305">
        <f t="shared" si="26"/>
        <v>288</v>
      </c>
      <c r="B305" s="4"/>
      <c r="I305" s="8"/>
      <c r="J305" s="5" t="str">
        <f t="shared" si="24"/>
        <v/>
      </c>
      <c r="K305" s="3"/>
      <c r="L305" s="3" t="str">
        <f t="shared" si="23"/>
        <v/>
      </c>
      <c r="N305" s="3" t="str">
        <f t="shared" si="27"/>
        <v/>
      </c>
      <c r="O305" s="6" t="str">
        <f t="shared" si="25"/>
        <v/>
      </c>
      <c r="P305" s="7">
        <f ca="1">SUMIFS($N$2:$N305,$B$2:$B305,"&lt;&gt;"&amp;B305)+SUM($Q$2:$Q305)</f>
        <v>135.05500000000001</v>
      </c>
      <c r="R305" t="b">
        <f>AND(ISNUMBER(FIND($E305,Tables!$I$2)), ISNUMBER(FIND($D305,Tables!$J$2)), $E305&lt;&gt;"")</f>
        <v>0</v>
      </c>
    </row>
    <row r="306" spans="1:18" x14ac:dyDescent="0.3">
      <c r="A306">
        <f t="shared" si="26"/>
        <v>289</v>
      </c>
      <c r="B306" s="4"/>
      <c r="I306" s="8"/>
      <c r="J306" s="5" t="str">
        <f t="shared" si="24"/>
        <v/>
      </c>
      <c r="K306" s="3"/>
      <c r="L306" s="3" t="str">
        <f t="shared" ref="L306:L369" si="28">IFERROR(IF(K306=0, "", IF(I306&gt;0, K306/100*I306,K306/I306*-100)), "")</f>
        <v/>
      </c>
      <c r="N306" s="3" t="str">
        <f t="shared" si="27"/>
        <v/>
      </c>
      <c r="O306" s="6" t="str">
        <f t="shared" si="25"/>
        <v/>
      </c>
      <c r="P306" s="7">
        <f ca="1">SUMIFS($N$2:$N306,$B$2:$B306,"&lt;&gt;"&amp;B306)+SUM($Q$2:$Q306)</f>
        <v>135.05500000000001</v>
      </c>
      <c r="R306" t="b">
        <f>AND(ISNUMBER(FIND($E306,Tables!$I$2)), ISNUMBER(FIND($D306,Tables!$J$2)), $E306&lt;&gt;"")</f>
        <v>0</v>
      </c>
    </row>
    <row r="307" spans="1:18" x14ac:dyDescent="0.3">
      <c r="A307">
        <f t="shared" si="26"/>
        <v>290</v>
      </c>
      <c r="B307" s="4"/>
      <c r="I307" s="8"/>
      <c r="J307" s="5" t="str">
        <f t="shared" si="24"/>
        <v/>
      </c>
      <c r="K307" s="3"/>
      <c r="L307" s="3" t="str">
        <f t="shared" si="28"/>
        <v/>
      </c>
      <c r="N307" s="3" t="str">
        <f t="shared" si="27"/>
        <v/>
      </c>
      <c r="O307" s="6" t="str">
        <f t="shared" si="25"/>
        <v/>
      </c>
      <c r="P307" s="7">
        <f ca="1">SUMIFS($N$2:$N307,$B$2:$B307,"&lt;&gt;"&amp;B307)+SUM($Q$2:$Q307)</f>
        <v>135.05500000000001</v>
      </c>
      <c r="R307" t="b">
        <f>AND(ISNUMBER(FIND($E307,Tables!$I$2)), ISNUMBER(FIND($D307,Tables!$J$2)), $E307&lt;&gt;"")</f>
        <v>0</v>
      </c>
    </row>
    <row r="308" spans="1:18" x14ac:dyDescent="0.3">
      <c r="A308">
        <f t="shared" si="26"/>
        <v>291</v>
      </c>
      <c r="B308" s="4"/>
      <c r="I308" s="8"/>
      <c r="J308" s="5" t="str">
        <f t="shared" si="24"/>
        <v/>
      </c>
      <c r="K308" s="3"/>
      <c r="L308" s="3" t="str">
        <f t="shared" si="28"/>
        <v/>
      </c>
      <c r="N308" s="3" t="str">
        <f t="shared" si="27"/>
        <v/>
      </c>
      <c r="O308" s="6" t="str">
        <f t="shared" si="25"/>
        <v/>
      </c>
      <c r="P308" s="7">
        <f ca="1">SUMIFS($N$2:$N308,$B$2:$B308,"&lt;&gt;"&amp;B308)+SUM($Q$2:$Q308)</f>
        <v>135.05500000000001</v>
      </c>
      <c r="R308" t="b">
        <f>AND(ISNUMBER(FIND($E308,Tables!$I$2)), ISNUMBER(FIND($D308,Tables!$J$2)), $E308&lt;&gt;"")</f>
        <v>0</v>
      </c>
    </row>
    <row r="309" spans="1:18" x14ac:dyDescent="0.3">
      <c r="A309">
        <f t="shared" si="26"/>
        <v>292</v>
      </c>
      <c r="B309" s="4"/>
      <c r="I309" s="8"/>
      <c r="J309" s="5" t="str">
        <f t="shared" si="24"/>
        <v/>
      </c>
      <c r="K309" s="3"/>
      <c r="L309" s="3" t="str">
        <f t="shared" si="28"/>
        <v/>
      </c>
      <c r="N309" s="3" t="str">
        <f t="shared" si="27"/>
        <v/>
      </c>
      <c r="O309" s="6" t="str">
        <f t="shared" si="25"/>
        <v/>
      </c>
      <c r="P309" s="7">
        <f ca="1">SUMIFS($N$2:$N309,$B$2:$B309,"&lt;&gt;"&amp;B309)+SUM($Q$2:$Q309)</f>
        <v>135.05500000000001</v>
      </c>
      <c r="R309" t="b">
        <f>AND(ISNUMBER(FIND($E309,Tables!$I$2)), ISNUMBER(FIND($D309,Tables!$J$2)), $E309&lt;&gt;"")</f>
        <v>0</v>
      </c>
    </row>
    <row r="310" spans="1:18" x14ac:dyDescent="0.3">
      <c r="A310">
        <f t="shared" si="26"/>
        <v>293</v>
      </c>
      <c r="B310" s="4"/>
      <c r="I310" s="8"/>
      <c r="J310" s="5" t="str">
        <f t="shared" si="24"/>
        <v/>
      </c>
      <c r="K310" s="3"/>
      <c r="L310" s="3" t="str">
        <f t="shared" si="28"/>
        <v/>
      </c>
      <c r="N310" s="3" t="str">
        <f t="shared" si="27"/>
        <v/>
      </c>
      <c r="O310" s="6" t="str">
        <f t="shared" si="25"/>
        <v/>
      </c>
      <c r="P310" s="7">
        <f ca="1">SUMIFS($N$2:$N310,$B$2:$B310,"&lt;&gt;"&amp;B310)+SUM($Q$2:$Q310)</f>
        <v>135.05500000000001</v>
      </c>
      <c r="R310" t="b">
        <f>AND(ISNUMBER(FIND($E310,Tables!$I$2)), ISNUMBER(FIND($D310,Tables!$J$2)), $E310&lt;&gt;"")</f>
        <v>0</v>
      </c>
    </row>
    <row r="311" spans="1:18" x14ac:dyDescent="0.3">
      <c r="A311">
        <f t="shared" si="26"/>
        <v>294</v>
      </c>
      <c r="B311" s="4"/>
      <c r="I311" s="8"/>
      <c r="J311" s="5" t="str">
        <f t="shared" si="24"/>
        <v/>
      </c>
      <c r="K311" s="3"/>
      <c r="L311" s="3" t="str">
        <f t="shared" si="28"/>
        <v/>
      </c>
      <c r="N311" s="3" t="str">
        <f t="shared" si="27"/>
        <v/>
      </c>
      <c r="O311" s="6" t="str">
        <f t="shared" si="25"/>
        <v/>
      </c>
      <c r="P311" s="7">
        <f ca="1">SUMIFS($N$2:$N311,$B$2:$B311,"&lt;&gt;"&amp;B311)+SUM($Q$2:$Q311)</f>
        <v>135.05500000000001</v>
      </c>
      <c r="R311" t="b">
        <f>AND(ISNUMBER(FIND($E311,Tables!$I$2)), ISNUMBER(FIND($D311,Tables!$J$2)), $E311&lt;&gt;"")</f>
        <v>0</v>
      </c>
    </row>
    <row r="312" spans="1:18" x14ac:dyDescent="0.3">
      <c r="A312">
        <f t="shared" si="26"/>
        <v>295</v>
      </c>
      <c r="B312" s="4"/>
      <c r="I312" s="8"/>
      <c r="J312" s="5" t="str">
        <f t="shared" si="24"/>
        <v/>
      </c>
      <c r="K312" s="3"/>
      <c r="L312" s="3" t="str">
        <f t="shared" si="28"/>
        <v/>
      </c>
      <c r="N312" s="3" t="str">
        <f t="shared" si="27"/>
        <v/>
      </c>
      <c r="O312" s="6" t="str">
        <f t="shared" si="25"/>
        <v/>
      </c>
      <c r="P312" s="7">
        <f ca="1">SUMIFS($N$2:$N312,$B$2:$B312,"&lt;&gt;"&amp;B312)+SUM($Q$2:$Q312)</f>
        <v>135.05500000000001</v>
      </c>
      <c r="R312" t="b">
        <f>AND(ISNUMBER(FIND($E312,Tables!$I$2)), ISNUMBER(FIND($D312,Tables!$J$2)), $E312&lt;&gt;"")</f>
        <v>0</v>
      </c>
    </row>
    <row r="313" spans="1:18" x14ac:dyDescent="0.3">
      <c r="A313">
        <f t="shared" si="26"/>
        <v>296</v>
      </c>
      <c r="B313" s="4"/>
      <c r="I313" s="8"/>
      <c r="J313" s="5" t="str">
        <f t="shared" si="24"/>
        <v/>
      </c>
      <c r="K313" s="3"/>
      <c r="L313" s="3" t="str">
        <f t="shared" si="28"/>
        <v/>
      </c>
      <c r="N313" s="3" t="str">
        <f t="shared" si="27"/>
        <v/>
      </c>
      <c r="O313" s="6" t="str">
        <f t="shared" si="25"/>
        <v/>
      </c>
      <c r="P313" s="7">
        <f ca="1">SUMIFS($N$2:$N313,$B$2:$B313,"&lt;&gt;"&amp;B313)+SUM($Q$2:$Q313)</f>
        <v>135.05500000000001</v>
      </c>
      <c r="R313" t="b">
        <f>AND(ISNUMBER(FIND($E313,Tables!$I$2)), ISNUMBER(FIND($D313,Tables!$J$2)), $E313&lt;&gt;"")</f>
        <v>0</v>
      </c>
    </row>
    <row r="314" spans="1:18" x14ac:dyDescent="0.3">
      <c r="A314">
        <f t="shared" si="26"/>
        <v>297</v>
      </c>
      <c r="B314" s="4"/>
      <c r="I314" s="8"/>
      <c r="J314" s="5" t="str">
        <f t="shared" si="24"/>
        <v/>
      </c>
      <c r="K314" s="3"/>
      <c r="L314" s="3" t="str">
        <f t="shared" si="28"/>
        <v/>
      </c>
      <c r="N314" s="3" t="str">
        <f t="shared" si="27"/>
        <v/>
      </c>
      <c r="O314" s="6" t="str">
        <f t="shared" si="25"/>
        <v/>
      </c>
      <c r="P314" s="7">
        <f ca="1">SUMIFS($N$2:$N314,$B$2:$B314,"&lt;&gt;"&amp;B314)+SUM($Q$2:$Q314)</f>
        <v>135.05500000000001</v>
      </c>
      <c r="R314" t="b">
        <f>AND(ISNUMBER(FIND($E314,Tables!$I$2)), ISNUMBER(FIND($D314,Tables!$J$2)), $E314&lt;&gt;"")</f>
        <v>0</v>
      </c>
    </row>
    <row r="315" spans="1:18" x14ac:dyDescent="0.3">
      <c r="A315">
        <f t="shared" si="26"/>
        <v>298</v>
      </c>
      <c r="B315" s="4"/>
      <c r="I315" s="8"/>
      <c r="J315" s="5" t="str">
        <f t="shared" si="24"/>
        <v/>
      </c>
      <c r="K315" s="3"/>
      <c r="L315" s="3" t="str">
        <f t="shared" si="28"/>
        <v/>
      </c>
      <c r="N315" s="3" t="str">
        <f t="shared" si="27"/>
        <v/>
      </c>
      <c r="O315" s="6" t="str">
        <f t="shared" si="25"/>
        <v/>
      </c>
      <c r="P315" s="7">
        <f ca="1">SUMIFS($N$2:$N315,$B$2:$B315,"&lt;&gt;"&amp;B315)+SUM($Q$2:$Q315)</f>
        <v>135.05500000000001</v>
      </c>
      <c r="R315" t="b">
        <f>AND(ISNUMBER(FIND($E315,Tables!$I$2)), ISNUMBER(FIND($D315,Tables!$J$2)), $E315&lt;&gt;"")</f>
        <v>0</v>
      </c>
    </row>
    <row r="316" spans="1:18" x14ac:dyDescent="0.3">
      <c r="A316">
        <f t="shared" si="26"/>
        <v>299</v>
      </c>
      <c r="B316" s="4"/>
      <c r="I316" s="8"/>
      <c r="J316" s="5" t="str">
        <f t="shared" si="24"/>
        <v/>
      </c>
      <c r="K316" s="3"/>
      <c r="L316" s="3" t="str">
        <f t="shared" si="28"/>
        <v/>
      </c>
      <c r="N316" s="3" t="str">
        <f t="shared" si="27"/>
        <v/>
      </c>
      <c r="O316" s="6" t="str">
        <f t="shared" si="25"/>
        <v/>
      </c>
      <c r="P316" s="7">
        <f ca="1">SUMIFS($N$2:$N316,$B$2:$B316,"&lt;&gt;"&amp;B316)+SUM($Q$2:$Q316)</f>
        <v>135.05500000000001</v>
      </c>
      <c r="R316" t="b">
        <f>AND(ISNUMBER(FIND($E316,Tables!$I$2)), ISNUMBER(FIND($D316,Tables!$J$2)), $E316&lt;&gt;"")</f>
        <v>0</v>
      </c>
    </row>
    <row r="317" spans="1:18" x14ac:dyDescent="0.3">
      <c r="A317">
        <f t="shared" si="26"/>
        <v>300</v>
      </c>
      <c r="B317" s="4"/>
      <c r="I317" s="8"/>
      <c r="J317" s="5" t="str">
        <f t="shared" si="24"/>
        <v/>
      </c>
      <c r="K317" s="3"/>
      <c r="L317" s="3" t="str">
        <f t="shared" si="28"/>
        <v/>
      </c>
      <c r="N317" s="3" t="str">
        <f t="shared" si="27"/>
        <v/>
      </c>
      <c r="O317" s="6" t="str">
        <f t="shared" si="25"/>
        <v/>
      </c>
      <c r="P317" s="7">
        <f ca="1">SUMIFS($N$2:$N317,$B$2:$B317,"&lt;&gt;"&amp;B317)+SUM($Q$2:$Q317)</f>
        <v>135.05500000000001</v>
      </c>
      <c r="R317" t="b">
        <f>AND(ISNUMBER(FIND($E317,Tables!$I$2)), ISNUMBER(FIND($D317,Tables!$J$2)), $E317&lt;&gt;"")</f>
        <v>0</v>
      </c>
    </row>
    <row r="318" spans="1:18" x14ac:dyDescent="0.3">
      <c r="A318">
        <f t="shared" si="26"/>
        <v>301</v>
      </c>
      <c r="B318" s="4"/>
      <c r="I318" s="8"/>
      <c r="J318" s="5" t="str">
        <f t="shared" si="24"/>
        <v/>
      </c>
      <c r="K318" s="3"/>
      <c r="L318" s="3" t="str">
        <f t="shared" si="28"/>
        <v/>
      </c>
      <c r="N318" s="3" t="str">
        <f t="shared" si="27"/>
        <v/>
      </c>
      <c r="O318" s="6" t="str">
        <f t="shared" si="25"/>
        <v/>
      </c>
      <c r="P318" s="7">
        <f ca="1">SUMIFS($N$2:$N318,$B$2:$B318,"&lt;&gt;"&amp;B318)+SUM($Q$2:$Q318)</f>
        <v>135.05500000000001</v>
      </c>
      <c r="R318" t="b">
        <f>AND(ISNUMBER(FIND($E318,Tables!$I$2)), ISNUMBER(FIND($D318,Tables!$J$2)), $E318&lt;&gt;"")</f>
        <v>0</v>
      </c>
    </row>
    <row r="319" spans="1:18" x14ac:dyDescent="0.3">
      <c r="A319">
        <f t="shared" si="26"/>
        <v>302</v>
      </c>
      <c r="B319" s="4"/>
      <c r="I319" s="8"/>
      <c r="J319" s="5" t="str">
        <f t="shared" si="24"/>
        <v/>
      </c>
      <c r="K319" s="3"/>
      <c r="L319" s="3" t="str">
        <f t="shared" si="28"/>
        <v/>
      </c>
      <c r="N319" s="3" t="str">
        <f t="shared" si="27"/>
        <v/>
      </c>
      <c r="O319" s="6" t="str">
        <f t="shared" si="25"/>
        <v/>
      </c>
      <c r="P319" s="7">
        <f ca="1">SUMIFS($N$2:$N319,$B$2:$B319,"&lt;&gt;"&amp;B319)+SUM($Q$2:$Q319)</f>
        <v>135.05500000000001</v>
      </c>
      <c r="R319" t="b">
        <f>AND(ISNUMBER(FIND($E319,Tables!$I$2)), ISNUMBER(FIND($D319,Tables!$J$2)), $E319&lt;&gt;"")</f>
        <v>0</v>
      </c>
    </row>
    <row r="320" spans="1:18" x14ac:dyDescent="0.3">
      <c r="A320">
        <f t="shared" si="26"/>
        <v>303</v>
      </c>
      <c r="B320" s="4"/>
      <c r="I320" s="8"/>
      <c r="J320" s="5" t="str">
        <f t="shared" si="24"/>
        <v/>
      </c>
      <c r="K320" s="3"/>
      <c r="L320" s="3" t="str">
        <f t="shared" si="28"/>
        <v/>
      </c>
      <c r="N320" s="3" t="str">
        <f t="shared" si="27"/>
        <v/>
      </c>
      <c r="O320" s="6" t="str">
        <f t="shared" si="25"/>
        <v/>
      </c>
      <c r="P320" s="7">
        <f ca="1">SUMIFS($N$2:$N320,$B$2:$B320,"&lt;&gt;"&amp;B320)+SUM($Q$2:$Q320)</f>
        <v>135.05500000000001</v>
      </c>
      <c r="R320" t="b">
        <f>AND(ISNUMBER(FIND($E320,Tables!$I$2)), ISNUMBER(FIND($D320,Tables!$J$2)), $E320&lt;&gt;"")</f>
        <v>0</v>
      </c>
    </row>
    <row r="321" spans="1:18" x14ac:dyDescent="0.3">
      <c r="A321">
        <f t="shared" si="26"/>
        <v>304</v>
      </c>
      <c r="B321" s="4"/>
      <c r="I321" s="8"/>
      <c r="J321" s="5" t="str">
        <f t="shared" si="24"/>
        <v/>
      </c>
      <c r="K321" s="3"/>
      <c r="L321" s="3" t="str">
        <f t="shared" si="28"/>
        <v/>
      </c>
      <c r="N321" s="3" t="str">
        <f t="shared" si="27"/>
        <v/>
      </c>
      <c r="O321" s="6" t="str">
        <f t="shared" si="25"/>
        <v/>
      </c>
      <c r="P321" s="7">
        <f ca="1">SUMIFS($N$2:$N321,$B$2:$B321,"&lt;&gt;"&amp;B321)+SUM($Q$2:$Q321)</f>
        <v>135.05500000000001</v>
      </c>
      <c r="R321" t="b">
        <f>AND(ISNUMBER(FIND($E321,Tables!$I$2)), ISNUMBER(FIND($D321,Tables!$J$2)), $E321&lt;&gt;"")</f>
        <v>0</v>
      </c>
    </row>
    <row r="322" spans="1:18" x14ac:dyDescent="0.3">
      <c r="A322">
        <f t="shared" si="26"/>
        <v>305</v>
      </c>
      <c r="B322" s="4"/>
      <c r="I322" s="8"/>
      <c r="J322" s="5" t="str">
        <f t="shared" ref="J322:J385" si="29">IF(I322="", "", IF(I322&gt;0, I322/100 +1, -100/I322 +1))</f>
        <v/>
      </c>
      <c r="K322" s="3"/>
      <c r="L322" s="3" t="str">
        <f t="shared" si="28"/>
        <v/>
      </c>
      <c r="N322" s="3" t="str">
        <f t="shared" si="27"/>
        <v/>
      </c>
      <c r="O322" s="6" t="str">
        <f t="shared" ref="O322:O385" si="30">IFERROR(K322/VLOOKUP(_xlfn.MINIFS(A:A,B:B,B322,C:C,C322),A:P,16),"")</f>
        <v/>
      </c>
      <c r="P322" s="7">
        <f ca="1">SUMIFS($N$2:$N322,$B$2:$B322,"&lt;&gt;"&amp;B322)+SUM($Q$2:$Q322)</f>
        <v>135.05500000000001</v>
      </c>
      <c r="R322" t="b">
        <f>AND(ISNUMBER(FIND($E322,Tables!$I$2)), ISNUMBER(FIND($D322,Tables!$J$2)), $E322&lt;&gt;"")</f>
        <v>0</v>
      </c>
    </row>
    <row r="323" spans="1:18" x14ac:dyDescent="0.3">
      <c r="A323">
        <f t="shared" si="26"/>
        <v>306</v>
      </c>
      <c r="B323" s="4"/>
      <c r="I323" s="8"/>
      <c r="J323" s="5" t="str">
        <f t="shared" si="29"/>
        <v/>
      </c>
      <c r="K323" s="3"/>
      <c r="L323" s="3" t="str">
        <f t="shared" si="28"/>
        <v/>
      </c>
      <c r="N323" s="3" t="str">
        <f t="shared" si="27"/>
        <v/>
      </c>
      <c r="O323" s="6" t="str">
        <f t="shared" si="30"/>
        <v/>
      </c>
      <c r="P323" s="7">
        <f ca="1">SUMIFS($N$2:$N323,$B$2:$B323,"&lt;&gt;"&amp;B323)+SUM($Q$2:$Q323)</f>
        <v>135.05500000000001</v>
      </c>
      <c r="R323" t="b">
        <f>AND(ISNUMBER(FIND($E323,Tables!$I$2)), ISNUMBER(FIND($D323,Tables!$J$2)), $E323&lt;&gt;"")</f>
        <v>0</v>
      </c>
    </row>
    <row r="324" spans="1:18" x14ac:dyDescent="0.3">
      <c r="A324">
        <f t="shared" si="26"/>
        <v>307</v>
      </c>
      <c r="B324" s="4"/>
      <c r="I324" s="8"/>
      <c r="J324" s="5" t="str">
        <f t="shared" si="29"/>
        <v/>
      </c>
      <c r="K324" s="3"/>
      <c r="L324" s="3" t="str">
        <f t="shared" si="28"/>
        <v/>
      </c>
      <c r="N324" s="3" t="str">
        <f t="shared" si="27"/>
        <v/>
      </c>
      <c r="O324" s="6" t="str">
        <f t="shared" si="30"/>
        <v/>
      </c>
      <c r="P324" s="7">
        <f ca="1">SUMIFS($N$2:$N324,$B$2:$B324,"&lt;&gt;"&amp;B324)+SUM($Q$2:$Q324)</f>
        <v>135.05500000000001</v>
      </c>
      <c r="R324" t="b">
        <f>AND(ISNUMBER(FIND($E324,Tables!$I$2)), ISNUMBER(FIND($D324,Tables!$J$2)), $E324&lt;&gt;"")</f>
        <v>0</v>
      </c>
    </row>
    <row r="325" spans="1:18" x14ac:dyDescent="0.3">
      <c r="A325">
        <f t="shared" si="26"/>
        <v>308</v>
      </c>
      <c r="B325" s="4"/>
      <c r="I325" s="8"/>
      <c r="J325" s="5" t="str">
        <f t="shared" si="29"/>
        <v/>
      </c>
      <c r="K325" s="3"/>
      <c r="L325" s="3" t="str">
        <f t="shared" si="28"/>
        <v/>
      </c>
      <c r="N325" s="3" t="str">
        <f t="shared" si="27"/>
        <v/>
      </c>
      <c r="O325" s="6" t="str">
        <f t="shared" si="30"/>
        <v/>
      </c>
      <c r="P325" s="7">
        <f ca="1">SUMIFS($N$2:$N325,$B$2:$B325,"&lt;&gt;"&amp;B325)+SUM($Q$2:$Q325)</f>
        <v>135.05500000000001</v>
      </c>
      <c r="R325" t="b">
        <f>AND(ISNUMBER(FIND($E325,Tables!$I$2)), ISNUMBER(FIND($D325,Tables!$J$2)), $E325&lt;&gt;"")</f>
        <v>0</v>
      </c>
    </row>
    <row r="326" spans="1:18" x14ac:dyDescent="0.3">
      <c r="A326">
        <f t="shared" si="26"/>
        <v>309</v>
      </c>
      <c r="B326" s="4"/>
      <c r="I326" s="8"/>
      <c r="J326" s="5" t="str">
        <f t="shared" si="29"/>
        <v/>
      </c>
      <c r="K326" s="3"/>
      <c r="L326" s="3" t="str">
        <f t="shared" si="28"/>
        <v/>
      </c>
      <c r="N326" s="3" t="str">
        <f t="shared" si="27"/>
        <v/>
      </c>
      <c r="O326" s="6" t="str">
        <f t="shared" si="30"/>
        <v/>
      </c>
      <c r="P326" s="7">
        <f ca="1">SUMIFS($N$2:$N326,$B$2:$B326,"&lt;&gt;"&amp;B326)+SUM($Q$2:$Q326)</f>
        <v>135.05500000000001</v>
      </c>
      <c r="R326" t="b">
        <f>AND(ISNUMBER(FIND($E326,Tables!$I$2)), ISNUMBER(FIND($D326,Tables!$J$2)), $E326&lt;&gt;"")</f>
        <v>0</v>
      </c>
    </row>
    <row r="327" spans="1:18" x14ac:dyDescent="0.3">
      <c r="A327">
        <f t="shared" si="26"/>
        <v>310</v>
      </c>
      <c r="B327" s="4"/>
      <c r="I327" s="8"/>
      <c r="J327" s="5" t="str">
        <f t="shared" si="29"/>
        <v/>
      </c>
      <c r="K327" s="3"/>
      <c r="L327" s="3" t="str">
        <f t="shared" si="28"/>
        <v/>
      </c>
      <c r="N327" s="3" t="str">
        <f t="shared" si="27"/>
        <v/>
      </c>
      <c r="O327" s="6" t="str">
        <f t="shared" si="30"/>
        <v/>
      </c>
      <c r="P327" s="7">
        <f ca="1">SUMIFS($N$2:$N327,$B$2:$B327,"&lt;&gt;"&amp;B327)+SUM($Q$2:$Q327)</f>
        <v>135.05500000000001</v>
      </c>
      <c r="R327" t="b">
        <f>AND(ISNUMBER(FIND($E327,Tables!$I$2)), ISNUMBER(FIND($D327,Tables!$J$2)), $E327&lt;&gt;"")</f>
        <v>0</v>
      </c>
    </row>
    <row r="328" spans="1:18" x14ac:dyDescent="0.3">
      <c r="A328">
        <f t="shared" si="26"/>
        <v>311</v>
      </c>
      <c r="B328" s="4"/>
      <c r="I328" s="8"/>
      <c r="J328" s="5" t="str">
        <f t="shared" si="29"/>
        <v/>
      </c>
      <c r="K328" s="3"/>
      <c r="L328" s="3" t="str">
        <f t="shared" si="28"/>
        <v/>
      </c>
      <c r="N328" s="3" t="str">
        <f t="shared" si="27"/>
        <v/>
      </c>
      <c r="O328" s="6" t="str">
        <f t="shared" si="30"/>
        <v/>
      </c>
      <c r="P328" s="7">
        <f ca="1">SUMIFS($N$2:$N328,$B$2:$B328,"&lt;&gt;"&amp;B328)+SUM($Q$2:$Q328)</f>
        <v>135.05500000000001</v>
      </c>
      <c r="R328" t="b">
        <f>AND(ISNUMBER(FIND($E328,Tables!$I$2)), ISNUMBER(FIND($D328,Tables!$J$2)), $E328&lt;&gt;"")</f>
        <v>0</v>
      </c>
    </row>
    <row r="329" spans="1:18" x14ac:dyDescent="0.3">
      <c r="A329">
        <f t="shared" si="26"/>
        <v>312</v>
      </c>
      <c r="B329" s="4"/>
      <c r="I329" s="8"/>
      <c r="J329" s="5" t="str">
        <f t="shared" si="29"/>
        <v/>
      </c>
      <c r="K329" s="3"/>
      <c r="L329" s="3" t="str">
        <f t="shared" si="28"/>
        <v/>
      </c>
      <c r="N329" s="3" t="str">
        <f t="shared" si="27"/>
        <v/>
      </c>
      <c r="O329" s="6" t="str">
        <f t="shared" si="30"/>
        <v/>
      </c>
      <c r="P329" s="7">
        <f ca="1">SUMIFS($N$2:$N329,$B$2:$B329,"&lt;&gt;"&amp;B329)+SUM($Q$2:$Q329)</f>
        <v>135.05500000000001</v>
      </c>
      <c r="R329" t="b">
        <f>AND(ISNUMBER(FIND($E329,Tables!$I$2)), ISNUMBER(FIND($D329,Tables!$J$2)), $E329&lt;&gt;"")</f>
        <v>0</v>
      </c>
    </row>
    <row r="330" spans="1:18" x14ac:dyDescent="0.3">
      <c r="A330">
        <f t="shared" si="26"/>
        <v>313</v>
      </c>
      <c r="B330" s="4"/>
      <c r="I330" s="8"/>
      <c r="J330" s="5" t="str">
        <f t="shared" si="29"/>
        <v/>
      </c>
      <c r="K330" s="3"/>
      <c r="L330" s="3" t="str">
        <f t="shared" si="28"/>
        <v/>
      </c>
      <c r="N330" s="3" t="str">
        <f t="shared" si="27"/>
        <v/>
      </c>
      <c r="O330" s="6" t="str">
        <f t="shared" si="30"/>
        <v/>
      </c>
      <c r="P330" s="7">
        <f ca="1">SUMIFS($N$2:$N330,$B$2:$B330,"&lt;&gt;"&amp;B330)+SUM($Q$2:$Q330)</f>
        <v>135.05500000000001</v>
      </c>
      <c r="R330" t="b">
        <f>AND(ISNUMBER(FIND($E330,Tables!$I$2)), ISNUMBER(FIND($D330,Tables!$J$2)), $E330&lt;&gt;"")</f>
        <v>0</v>
      </c>
    </row>
    <row r="331" spans="1:18" x14ac:dyDescent="0.3">
      <c r="A331">
        <f t="shared" si="26"/>
        <v>314</v>
      </c>
      <c r="B331" s="4"/>
      <c r="I331" s="8"/>
      <c r="J331" s="5" t="str">
        <f t="shared" si="29"/>
        <v/>
      </c>
      <c r="K331" s="3"/>
      <c r="L331" s="3" t="str">
        <f t="shared" si="28"/>
        <v/>
      </c>
      <c r="N331" s="3" t="str">
        <f t="shared" si="27"/>
        <v/>
      </c>
      <c r="O331" s="6" t="str">
        <f t="shared" si="30"/>
        <v/>
      </c>
      <c r="P331" s="7">
        <f ca="1">SUMIFS($N$2:$N331,$B$2:$B331,"&lt;&gt;"&amp;B331)+SUM($Q$2:$Q331)</f>
        <v>135.05500000000001</v>
      </c>
      <c r="R331" t="b">
        <f>AND(ISNUMBER(FIND($E331,Tables!$I$2)), ISNUMBER(FIND($D331,Tables!$J$2)), $E331&lt;&gt;"")</f>
        <v>0</v>
      </c>
    </row>
    <row r="332" spans="1:18" x14ac:dyDescent="0.3">
      <c r="A332">
        <f t="shared" si="26"/>
        <v>315</v>
      </c>
      <c r="B332" s="4"/>
      <c r="I332" s="8"/>
      <c r="J332" s="5" t="str">
        <f t="shared" si="29"/>
        <v/>
      </c>
      <c r="K332" s="3"/>
      <c r="L332" s="3" t="str">
        <f t="shared" si="28"/>
        <v/>
      </c>
      <c r="N332" s="3" t="str">
        <f t="shared" si="27"/>
        <v/>
      </c>
      <c r="O332" s="6" t="str">
        <f t="shared" si="30"/>
        <v/>
      </c>
      <c r="P332" s="7">
        <f ca="1">SUMIFS($N$2:$N332,$B$2:$B332,"&lt;&gt;"&amp;B332)+SUM($Q$2:$Q332)</f>
        <v>135.05500000000001</v>
      </c>
      <c r="R332" t="b">
        <f>AND(ISNUMBER(FIND($E332,Tables!$I$2)), ISNUMBER(FIND($D332,Tables!$J$2)), $E332&lt;&gt;"")</f>
        <v>0</v>
      </c>
    </row>
    <row r="333" spans="1:18" x14ac:dyDescent="0.3">
      <c r="A333">
        <f t="shared" si="26"/>
        <v>316</v>
      </c>
      <c r="B333" s="4"/>
      <c r="I333" s="8"/>
      <c r="J333" s="5" t="str">
        <f t="shared" si="29"/>
        <v/>
      </c>
      <c r="K333" s="3"/>
      <c r="L333" s="3" t="str">
        <f t="shared" si="28"/>
        <v/>
      </c>
      <c r="N333" s="3" t="str">
        <f t="shared" si="27"/>
        <v/>
      </c>
      <c r="O333" s="6" t="str">
        <f t="shared" si="30"/>
        <v/>
      </c>
      <c r="P333" s="7">
        <f ca="1">SUMIFS($N$2:$N333,$B$2:$B333,"&lt;&gt;"&amp;B333)+SUM($Q$2:$Q333)</f>
        <v>135.05500000000001</v>
      </c>
      <c r="R333" t="b">
        <f>AND(ISNUMBER(FIND($E333,Tables!$I$2)), ISNUMBER(FIND($D333,Tables!$J$2)), $E333&lt;&gt;"")</f>
        <v>0</v>
      </c>
    </row>
    <row r="334" spans="1:18" x14ac:dyDescent="0.3">
      <c r="A334">
        <f t="shared" si="26"/>
        <v>317</v>
      </c>
      <c r="B334" s="4"/>
      <c r="I334" s="8"/>
      <c r="J334" s="5" t="str">
        <f t="shared" si="29"/>
        <v/>
      </c>
      <c r="K334" s="3"/>
      <c r="L334" s="3" t="str">
        <f t="shared" si="28"/>
        <v/>
      </c>
      <c r="N334" s="3" t="str">
        <f t="shared" si="27"/>
        <v/>
      </c>
      <c r="O334" s="6" t="str">
        <f t="shared" si="30"/>
        <v/>
      </c>
      <c r="P334" s="7">
        <f ca="1">SUMIFS($N$2:$N334,$B$2:$B334,"&lt;&gt;"&amp;B334)+SUM($Q$2:$Q334)</f>
        <v>135.05500000000001</v>
      </c>
      <c r="R334" t="b">
        <f>AND(ISNUMBER(FIND($E334,Tables!$I$2)), ISNUMBER(FIND($D334,Tables!$J$2)), $E334&lt;&gt;"")</f>
        <v>0</v>
      </c>
    </row>
    <row r="335" spans="1:18" x14ac:dyDescent="0.3">
      <c r="A335">
        <f t="shared" si="26"/>
        <v>318</v>
      </c>
      <c r="B335" s="4"/>
      <c r="I335" s="8"/>
      <c r="J335" s="5" t="str">
        <f t="shared" si="29"/>
        <v/>
      </c>
      <c r="K335" s="3"/>
      <c r="L335" s="3" t="str">
        <f t="shared" si="28"/>
        <v/>
      </c>
      <c r="N335" s="3" t="str">
        <f t="shared" si="27"/>
        <v/>
      </c>
      <c r="O335" s="6" t="str">
        <f t="shared" si="30"/>
        <v/>
      </c>
      <c r="P335" s="7">
        <f ca="1">SUMIFS($N$2:$N335,$B$2:$B335,"&lt;&gt;"&amp;B335)+SUM($Q$2:$Q335)</f>
        <v>135.05500000000001</v>
      </c>
      <c r="R335" t="b">
        <f>AND(ISNUMBER(FIND($E335,Tables!$I$2)), ISNUMBER(FIND($D335,Tables!$J$2)), $E335&lt;&gt;"")</f>
        <v>0</v>
      </c>
    </row>
    <row r="336" spans="1:18" x14ac:dyDescent="0.3">
      <c r="A336">
        <f t="shared" si="26"/>
        <v>319</v>
      </c>
      <c r="B336" s="4"/>
      <c r="I336" s="8"/>
      <c r="J336" s="5" t="str">
        <f t="shared" si="29"/>
        <v/>
      </c>
      <c r="K336" s="3"/>
      <c r="L336" s="3" t="str">
        <f t="shared" si="28"/>
        <v/>
      </c>
      <c r="N336" s="3" t="str">
        <f t="shared" si="27"/>
        <v/>
      </c>
      <c r="O336" s="6" t="str">
        <f t="shared" si="30"/>
        <v/>
      </c>
      <c r="P336" s="7">
        <f ca="1">SUMIFS($N$2:$N336,$B$2:$B336,"&lt;&gt;"&amp;B336)+SUM($Q$2:$Q336)</f>
        <v>135.05500000000001</v>
      </c>
      <c r="R336" t="b">
        <f>AND(ISNUMBER(FIND($E336,Tables!$I$2)), ISNUMBER(FIND($D336,Tables!$J$2)), $E336&lt;&gt;"")</f>
        <v>0</v>
      </c>
    </row>
    <row r="337" spans="1:18" x14ac:dyDescent="0.3">
      <c r="A337">
        <f t="shared" si="26"/>
        <v>320</v>
      </c>
      <c r="B337" s="4"/>
      <c r="I337" s="8"/>
      <c r="J337" s="5" t="str">
        <f t="shared" si="29"/>
        <v/>
      </c>
      <c r="K337" s="3"/>
      <c r="L337" s="3" t="str">
        <f t="shared" si="28"/>
        <v/>
      </c>
      <c r="N337" s="3" t="str">
        <f t="shared" si="27"/>
        <v/>
      </c>
      <c r="O337" s="6" t="str">
        <f t="shared" si="30"/>
        <v/>
      </c>
      <c r="P337" s="7">
        <f ca="1">SUMIFS($N$2:$N337,$B$2:$B337,"&lt;&gt;"&amp;B337)+SUM($Q$2:$Q337)</f>
        <v>135.05500000000001</v>
      </c>
      <c r="R337" t="b">
        <f>AND(ISNUMBER(FIND($E337,Tables!$I$2)), ISNUMBER(FIND($D337,Tables!$J$2)), $E337&lt;&gt;"")</f>
        <v>0</v>
      </c>
    </row>
    <row r="338" spans="1:18" x14ac:dyDescent="0.3">
      <c r="A338">
        <f t="shared" si="26"/>
        <v>321</v>
      </c>
      <c r="B338" s="4"/>
      <c r="I338" s="8"/>
      <c r="J338" s="5" t="str">
        <f t="shared" si="29"/>
        <v/>
      </c>
      <c r="K338" s="3"/>
      <c r="L338" s="3" t="str">
        <f t="shared" si="28"/>
        <v/>
      </c>
      <c r="N338" s="3" t="str">
        <f t="shared" si="27"/>
        <v/>
      </c>
      <c r="O338" s="6" t="str">
        <f t="shared" si="30"/>
        <v/>
      </c>
      <c r="P338" s="7">
        <f ca="1">SUMIFS($N$2:$N338,$B$2:$B338,"&lt;&gt;"&amp;B338)+SUM($Q$2:$Q338)</f>
        <v>135.05500000000001</v>
      </c>
      <c r="R338" t="b">
        <f>AND(ISNUMBER(FIND($E338,Tables!$I$2)), ISNUMBER(FIND($D338,Tables!$J$2)), $E338&lt;&gt;"")</f>
        <v>0</v>
      </c>
    </row>
    <row r="339" spans="1:18" x14ac:dyDescent="0.3">
      <c r="A339">
        <f t="shared" si="26"/>
        <v>322</v>
      </c>
      <c r="B339" s="4"/>
      <c r="I339" s="8"/>
      <c r="J339" s="5" t="str">
        <f t="shared" si="29"/>
        <v/>
      </c>
      <c r="K339" s="3"/>
      <c r="L339" s="3" t="str">
        <f t="shared" si="28"/>
        <v/>
      </c>
      <c r="N339" s="3" t="str">
        <f t="shared" si="27"/>
        <v/>
      </c>
      <c r="O339" s="6" t="str">
        <f t="shared" si="30"/>
        <v/>
      </c>
      <c r="P339" s="7">
        <f ca="1">SUMIFS($N$2:$N339,$B$2:$B339,"&lt;&gt;"&amp;B339)+SUM($Q$2:$Q339)</f>
        <v>135.05500000000001</v>
      </c>
      <c r="R339" t="b">
        <f>AND(ISNUMBER(FIND($E339,Tables!$I$2)), ISNUMBER(FIND($D339,Tables!$J$2)), $E339&lt;&gt;"")</f>
        <v>0</v>
      </c>
    </row>
    <row r="340" spans="1:18" x14ac:dyDescent="0.3">
      <c r="A340">
        <f t="shared" si="26"/>
        <v>323</v>
      </c>
      <c r="B340" s="4"/>
      <c r="I340" s="8"/>
      <c r="J340" s="5" t="str">
        <f t="shared" si="29"/>
        <v/>
      </c>
      <c r="K340" s="3"/>
      <c r="L340" s="3" t="str">
        <f t="shared" si="28"/>
        <v/>
      </c>
      <c r="N340" s="3" t="str">
        <f t="shared" si="27"/>
        <v/>
      </c>
      <c r="O340" s="6" t="str">
        <f t="shared" si="30"/>
        <v/>
      </c>
      <c r="P340" s="7">
        <f ca="1">SUMIFS($N$2:$N340,$B$2:$B340,"&lt;&gt;"&amp;B340)+SUM($Q$2:$Q340)</f>
        <v>135.05500000000001</v>
      </c>
      <c r="R340" t="b">
        <f>AND(ISNUMBER(FIND($E340,Tables!$I$2)), ISNUMBER(FIND($D340,Tables!$J$2)), $E340&lt;&gt;"")</f>
        <v>0</v>
      </c>
    </row>
    <row r="341" spans="1:18" x14ac:dyDescent="0.3">
      <c r="A341">
        <f t="shared" si="26"/>
        <v>324</v>
      </c>
      <c r="B341" s="4"/>
      <c r="I341" s="8"/>
      <c r="J341" s="5" t="str">
        <f t="shared" si="29"/>
        <v/>
      </c>
      <c r="K341" s="3"/>
      <c r="L341" s="3" t="str">
        <f t="shared" si="28"/>
        <v/>
      </c>
      <c r="N341" s="3" t="str">
        <f t="shared" si="27"/>
        <v/>
      </c>
      <c r="O341" s="6" t="str">
        <f t="shared" si="30"/>
        <v/>
      </c>
      <c r="P341" s="7">
        <f ca="1">SUMIFS($N$2:$N341,$B$2:$B341,"&lt;&gt;"&amp;B341)+SUM($Q$2:$Q341)</f>
        <v>135.05500000000001</v>
      </c>
      <c r="R341" t="b">
        <f>AND(ISNUMBER(FIND($E341,Tables!$I$2)), ISNUMBER(FIND($D341,Tables!$J$2)), $E341&lt;&gt;"")</f>
        <v>0</v>
      </c>
    </row>
    <row r="342" spans="1:18" x14ac:dyDescent="0.3">
      <c r="A342">
        <f t="shared" si="26"/>
        <v>325</v>
      </c>
      <c r="B342" s="4"/>
      <c r="I342" s="8"/>
      <c r="J342" s="5" t="str">
        <f t="shared" si="29"/>
        <v/>
      </c>
      <c r="K342" s="3"/>
      <c r="L342" s="3" t="str">
        <f t="shared" si="28"/>
        <v/>
      </c>
      <c r="N342" s="3" t="str">
        <f t="shared" si="27"/>
        <v/>
      </c>
      <c r="O342" s="6" t="str">
        <f t="shared" si="30"/>
        <v/>
      </c>
      <c r="P342" s="7">
        <f ca="1">SUMIFS($N$2:$N342,$B$2:$B342,"&lt;&gt;"&amp;B342)+SUM($Q$2:$Q342)</f>
        <v>135.05500000000001</v>
      </c>
      <c r="R342" t="b">
        <f>AND(ISNUMBER(FIND($E342,Tables!$I$2)), ISNUMBER(FIND($D342,Tables!$J$2)), $E342&lt;&gt;"")</f>
        <v>0</v>
      </c>
    </row>
    <row r="343" spans="1:18" x14ac:dyDescent="0.3">
      <c r="A343">
        <f t="shared" si="26"/>
        <v>326</v>
      </c>
      <c r="B343" s="4"/>
      <c r="I343" s="8"/>
      <c r="J343" s="5" t="str">
        <f t="shared" si="29"/>
        <v/>
      </c>
      <c r="K343" s="3"/>
      <c r="L343" s="3" t="str">
        <f t="shared" si="28"/>
        <v/>
      </c>
      <c r="N343" s="3" t="str">
        <f t="shared" si="27"/>
        <v/>
      </c>
      <c r="O343" s="6" t="str">
        <f t="shared" si="30"/>
        <v/>
      </c>
      <c r="P343" s="7">
        <f ca="1">SUMIFS($N$2:$N343,$B$2:$B343,"&lt;&gt;"&amp;B343)+SUM($Q$2:$Q343)</f>
        <v>135.05500000000001</v>
      </c>
      <c r="R343" t="b">
        <f>AND(ISNUMBER(FIND($E343,Tables!$I$2)), ISNUMBER(FIND($D343,Tables!$J$2)), $E343&lt;&gt;"")</f>
        <v>0</v>
      </c>
    </row>
    <row r="344" spans="1:18" x14ac:dyDescent="0.3">
      <c r="A344">
        <f t="shared" si="26"/>
        <v>327</v>
      </c>
      <c r="B344" s="4"/>
      <c r="I344" s="8"/>
      <c r="J344" s="5" t="str">
        <f t="shared" si="29"/>
        <v/>
      </c>
      <c r="K344" s="3"/>
      <c r="L344" s="3" t="str">
        <f t="shared" si="28"/>
        <v/>
      </c>
      <c r="N344" s="3" t="str">
        <f t="shared" si="27"/>
        <v/>
      </c>
      <c r="O344" s="6" t="str">
        <f t="shared" si="30"/>
        <v/>
      </c>
      <c r="P344" s="7">
        <f ca="1">SUMIFS($N$2:$N344,$B$2:$B344,"&lt;&gt;"&amp;B344)+SUM($Q$2:$Q344)</f>
        <v>135.05500000000001</v>
      </c>
      <c r="R344" t="b">
        <f>AND(ISNUMBER(FIND($E344,Tables!$I$2)), ISNUMBER(FIND($D344,Tables!$J$2)), $E344&lt;&gt;"")</f>
        <v>0</v>
      </c>
    </row>
    <row r="345" spans="1:18" x14ac:dyDescent="0.3">
      <c r="A345">
        <f t="shared" si="26"/>
        <v>328</v>
      </c>
      <c r="B345" s="4"/>
      <c r="I345" s="8"/>
      <c r="J345" s="5" t="str">
        <f t="shared" si="29"/>
        <v/>
      </c>
      <c r="K345" s="3"/>
      <c r="L345" s="3" t="str">
        <f t="shared" si="28"/>
        <v/>
      </c>
      <c r="N345" s="3" t="str">
        <f t="shared" si="27"/>
        <v/>
      </c>
      <c r="O345" s="6" t="str">
        <f t="shared" si="30"/>
        <v/>
      </c>
      <c r="P345" s="7">
        <f ca="1">SUMIFS($N$2:$N345,$B$2:$B345,"&lt;&gt;"&amp;B345)+SUM($Q$2:$Q345)</f>
        <v>135.05500000000001</v>
      </c>
      <c r="R345" t="b">
        <f>AND(ISNUMBER(FIND($E345,Tables!$I$2)), ISNUMBER(FIND($D345,Tables!$J$2)), $E345&lt;&gt;"")</f>
        <v>0</v>
      </c>
    </row>
    <row r="346" spans="1:18" x14ac:dyDescent="0.3">
      <c r="A346">
        <f t="shared" si="26"/>
        <v>329</v>
      </c>
      <c r="B346" s="4"/>
      <c r="I346" s="8"/>
      <c r="J346" s="5" t="str">
        <f t="shared" si="29"/>
        <v/>
      </c>
      <c r="K346" s="3"/>
      <c r="L346" s="3" t="str">
        <f t="shared" si="28"/>
        <v/>
      </c>
      <c r="N346" s="3" t="str">
        <f t="shared" si="27"/>
        <v/>
      </c>
      <c r="O346" s="6" t="str">
        <f t="shared" si="30"/>
        <v/>
      </c>
      <c r="P346" s="7">
        <f ca="1">SUMIFS($N$2:$N346,$B$2:$B346,"&lt;&gt;"&amp;B346)+SUM($Q$2:$Q346)</f>
        <v>135.05500000000001</v>
      </c>
      <c r="R346" t="b">
        <f>AND(ISNUMBER(FIND($E346,Tables!$I$2)), ISNUMBER(FIND($D346,Tables!$J$2)), $E346&lt;&gt;"")</f>
        <v>0</v>
      </c>
    </row>
    <row r="347" spans="1:18" x14ac:dyDescent="0.3">
      <c r="A347">
        <f t="shared" si="26"/>
        <v>330</v>
      </c>
      <c r="B347" s="4"/>
      <c r="I347" s="8"/>
      <c r="J347" s="5" t="str">
        <f t="shared" si="29"/>
        <v/>
      </c>
      <c r="K347" s="3"/>
      <c r="L347" s="3" t="str">
        <f t="shared" si="28"/>
        <v/>
      </c>
      <c r="N347" s="3" t="str">
        <f t="shared" si="27"/>
        <v/>
      </c>
      <c r="O347" s="6" t="str">
        <f t="shared" si="30"/>
        <v/>
      </c>
      <c r="P347" s="7">
        <f ca="1">SUMIFS($N$2:$N347,$B$2:$B347,"&lt;&gt;"&amp;B347)+SUM($Q$2:$Q347)</f>
        <v>135.05500000000001</v>
      </c>
      <c r="R347" t="b">
        <f>AND(ISNUMBER(FIND($E347,Tables!$I$2)), ISNUMBER(FIND($D347,Tables!$J$2)), $E347&lt;&gt;"")</f>
        <v>0</v>
      </c>
    </row>
    <row r="348" spans="1:18" x14ac:dyDescent="0.3">
      <c r="A348">
        <f t="shared" si="26"/>
        <v>331</v>
      </c>
      <c r="B348" s="4"/>
      <c r="I348" s="8"/>
      <c r="J348" s="5" t="str">
        <f t="shared" si="29"/>
        <v/>
      </c>
      <c r="K348" s="3"/>
      <c r="L348" s="3" t="str">
        <f t="shared" si="28"/>
        <v/>
      </c>
      <c r="N348" s="3" t="str">
        <f t="shared" si="27"/>
        <v/>
      </c>
      <c r="O348" s="6" t="str">
        <f t="shared" si="30"/>
        <v/>
      </c>
      <c r="P348" s="7">
        <f ca="1">SUMIFS($N$2:$N348,$B$2:$B348,"&lt;&gt;"&amp;B348)+SUM($Q$2:$Q348)</f>
        <v>135.05500000000001</v>
      </c>
      <c r="R348" t="b">
        <f>AND(ISNUMBER(FIND($E348,Tables!$I$2)), ISNUMBER(FIND($D348,Tables!$J$2)), $E348&lt;&gt;"")</f>
        <v>0</v>
      </c>
    </row>
    <row r="349" spans="1:18" x14ac:dyDescent="0.3">
      <c r="A349">
        <f t="shared" si="26"/>
        <v>332</v>
      </c>
      <c r="B349" s="4"/>
      <c r="I349" s="8"/>
      <c r="J349" s="5" t="str">
        <f t="shared" si="29"/>
        <v/>
      </c>
      <c r="K349" s="3"/>
      <c r="L349" s="3" t="str">
        <f t="shared" si="28"/>
        <v/>
      </c>
      <c r="N349" s="3" t="str">
        <f t="shared" si="27"/>
        <v/>
      </c>
      <c r="O349" s="6" t="str">
        <f t="shared" si="30"/>
        <v/>
      </c>
      <c r="P349" s="7">
        <f ca="1">SUMIFS($N$2:$N349,$B$2:$B349,"&lt;&gt;"&amp;B349)+SUM($Q$2:$Q349)</f>
        <v>135.05500000000001</v>
      </c>
      <c r="R349" t="b">
        <f>AND(ISNUMBER(FIND($E349,Tables!$I$2)), ISNUMBER(FIND($D349,Tables!$J$2)), $E349&lt;&gt;"")</f>
        <v>0</v>
      </c>
    </row>
    <row r="350" spans="1:18" x14ac:dyDescent="0.3">
      <c r="A350">
        <f t="shared" si="26"/>
        <v>333</v>
      </c>
      <c r="B350" s="4"/>
      <c r="I350" s="8"/>
      <c r="J350" s="5" t="str">
        <f t="shared" si="29"/>
        <v/>
      </c>
      <c r="K350" s="3"/>
      <c r="L350" s="3" t="str">
        <f t="shared" si="28"/>
        <v/>
      </c>
      <c r="N350" s="3" t="str">
        <f t="shared" si="27"/>
        <v/>
      </c>
      <c r="O350" s="6" t="str">
        <f t="shared" si="30"/>
        <v/>
      </c>
      <c r="P350" s="7">
        <f ca="1">SUMIFS($N$2:$N350,$B$2:$B350,"&lt;&gt;"&amp;B350)+SUM($Q$2:$Q350)</f>
        <v>135.05500000000001</v>
      </c>
      <c r="R350" t="b">
        <f>AND(ISNUMBER(FIND($E350,Tables!$I$2)), ISNUMBER(FIND($D350,Tables!$J$2)), $E350&lt;&gt;"")</f>
        <v>0</v>
      </c>
    </row>
    <row r="351" spans="1:18" x14ac:dyDescent="0.3">
      <c r="A351">
        <f t="shared" si="26"/>
        <v>334</v>
      </c>
      <c r="B351" s="4"/>
      <c r="I351" s="8"/>
      <c r="J351" s="5" t="str">
        <f t="shared" si="29"/>
        <v/>
      </c>
      <c r="K351" s="3"/>
      <c r="L351" s="3" t="str">
        <f t="shared" si="28"/>
        <v/>
      </c>
      <c r="N351" s="3" t="str">
        <f t="shared" si="27"/>
        <v/>
      </c>
      <c r="O351" s="6" t="str">
        <f t="shared" si="30"/>
        <v/>
      </c>
      <c r="P351" s="7">
        <f ca="1">SUMIFS($N$2:$N351,$B$2:$B351,"&lt;&gt;"&amp;B351)+SUM($Q$2:$Q351)</f>
        <v>135.05500000000001</v>
      </c>
      <c r="R351" t="b">
        <f>AND(ISNUMBER(FIND($E351,Tables!$I$2)), ISNUMBER(FIND($D351,Tables!$J$2)), $E351&lt;&gt;"")</f>
        <v>0</v>
      </c>
    </row>
    <row r="352" spans="1:18" x14ac:dyDescent="0.3">
      <c r="A352">
        <f t="shared" si="26"/>
        <v>335</v>
      </c>
      <c r="B352" s="4"/>
      <c r="I352" s="8"/>
      <c r="J352" s="5" t="str">
        <f t="shared" si="29"/>
        <v/>
      </c>
      <c r="K352" s="3"/>
      <c r="L352" s="3" t="str">
        <f t="shared" si="28"/>
        <v/>
      </c>
      <c r="N352" s="3" t="str">
        <f t="shared" si="27"/>
        <v/>
      </c>
      <c r="O352" s="6" t="str">
        <f t="shared" si="30"/>
        <v/>
      </c>
      <c r="P352" s="7">
        <f ca="1">SUMIFS($N$2:$N352,$B$2:$B352,"&lt;&gt;"&amp;B352)+SUM($Q$2:$Q352)</f>
        <v>135.05500000000001</v>
      </c>
      <c r="R352" t="b">
        <f>AND(ISNUMBER(FIND($E352,Tables!$I$2)), ISNUMBER(FIND($D352,Tables!$J$2)), $E352&lt;&gt;"")</f>
        <v>0</v>
      </c>
    </row>
    <row r="353" spans="1:18" x14ac:dyDescent="0.3">
      <c r="A353">
        <f t="shared" si="26"/>
        <v>336</v>
      </c>
      <c r="B353" s="4"/>
      <c r="I353" s="8"/>
      <c r="J353" s="5" t="str">
        <f t="shared" si="29"/>
        <v/>
      </c>
      <c r="K353" s="3"/>
      <c r="L353" s="3" t="str">
        <f t="shared" si="28"/>
        <v/>
      </c>
      <c r="N353" s="3" t="str">
        <f t="shared" si="27"/>
        <v/>
      </c>
      <c r="O353" s="6" t="str">
        <f t="shared" si="30"/>
        <v/>
      </c>
      <c r="P353" s="7">
        <f ca="1">SUMIFS($N$2:$N353,$B$2:$B353,"&lt;&gt;"&amp;B353)+SUM($Q$2:$Q353)</f>
        <v>135.05500000000001</v>
      </c>
      <c r="R353" t="b">
        <f>AND(ISNUMBER(FIND($E353,Tables!$I$2)), ISNUMBER(FIND($D353,Tables!$J$2)), $E353&lt;&gt;"")</f>
        <v>0</v>
      </c>
    </row>
    <row r="354" spans="1:18" x14ac:dyDescent="0.3">
      <c r="A354">
        <f t="shared" ref="A354:A417" si="31">IF(AND(B354="", D354&lt;&gt;""), A353, A353+1)</f>
        <v>337</v>
      </c>
      <c r="B354" s="4"/>
      <c r="I354" s="8"/>
      <c r="J354" s="5" t="str">
        <f t="shared" si="29"/>
        <v/>
      </c>
      <c r="K354" s="3"/>
      <c r="L354" s="3" t="str">
        <f t="shared" si="28"/>
        <v/>
      </c>
      <c r="N354" s="3" t="str">
        <f t="shared" si="27"/>
        <v/>
      </c>
      <c r="O354" s="6" t="str">
        <f t="shared" si="30"/>
        <v/>
      </c>
      <c r="P354" s="7">
        <f ca="1">SUMIFS($N$2:$N354,$B$2:$B354,"&lt;&gt;"&amp;B354)+SUM($Q$2:$Q354)</f>
        <v>135.05500000000001</v>
      </c>
      <c r="R354" t="b">
        <f>AND(ISNUMBER(FIND($E354,Tables!$I$2)), ISNUMBER(FIND($D354,Tables!$J$2)), $E354&lt;&gt;"")</f>
        <v>0</v>
      </c>
    </row>
    <row r="355" spans="1:18" x14ac:dyDescent="0.3">
      <c r="A355">
        <f t="shared" si="31"/>
        <v>338</v>
      </c>
      <c r="B355" s="4"/>
      <c r="I355" s="8"/>
      <c r="J355" s="5" t="str">
        <f t="shared" si="29"/>
        <v/>
      </c>
      <c r="K355" s="3"/>
      <c r="L355" s="3" t="str">
        <f t="shared" si="28"/>
        <v/>
      </c>
      <c r="N355" s="3" t="str">
        <f t="shared" si="27"/>
        <v/>
      </c>
      <c r="O355" s="6" t="str">
        <f t="shared" si="30"/>
        <v/>
      </c>
      <c r="P355" s="7">
        <f ca="1">SUMIFS($N$2:$N355,$B$2:$B355,"&lt;&gt;"&amp;B355)+SUM($Q$2:$Q355)</f>
        <v>135.05500000000001</v>
      </c>
      <c r="R355" t="b">
        <f>AND(ISNUMBER(FIND($E355,Tables!$I$2)), ISNUMBER(FIND($D355,Tables!$J$2)), $E355&lt;&gt;"")</f>
        <v>0</v>
      </c>
    </row>
    <row r="356" spans="1:18" x14ac:dyDescent="0.3">
      <c r="A356">
        <f t="shared" si="31"/>
        <v>339</v>
      </c>
      <c r="B356" s="4"/>
      <c r="I356" s="8"/>
      <c r="J356" s="5" t="str">
        <f t="shared" si="29"/>
        <v/>
      </c>
      <c r="K356" s="3"/>
      <c r="L356" s="3" t="str">
        <f t="shared" si="28"/>
        <v/>
      </c>
      <c r="N356" s="3" t="str">
        <f t="shared" si="27"/>
        <v/>
      </c>
      <c r="O356" s="6" t="str">
        <f t="shared" si="30"/>
        <v/>
      </c>
      <c r="P356" s="7">
        <f ca="1">SUMIFS($N$2:$N356,$B$2:$B356,"&lt;&gt;"&amp;B356)+SUM($Q$2:$Q356)</f>
        <v>135.05500000000001</v>
      </c>
      <c r="R356" t="b">
        <f>AND(ISNUMBER(FIND($E356,Tables!$I$2)), ISNUMBER(FIND($D356,Tables!$J$2)), $E356&lt;&gt;"")</f>
        <v>0</v>
      </c>
    </row>
    <row r="357" spans="1:18" x14ac:dyDescent="0.3">
      <c r="A357">
        <f t="shared" si="31"/>
        <v>340</v>
      </c>
      <c r="B357" s="4"/>
      <c r="I357" s="8"/>
      <c r="J357" s="5" t="str">
        <f t="shared" si="29"/>
        <v/>
      </c>
      <c r="K357" s="3"/>
      <c r="L357" s="3" t="str">
        <f t="shared" si="28"/>
        <v/>
      </c>
      <c r="N357" s="3" t="str">
        <f t="shared" si="27"/>
        <v/>
      </c>
      <c r="O357" s="6" t="str">
        <f t="shared" si="30"/>
        <v/>
      </c>
      <c r="P357" s="7">
        <f ca="1">SUMIFS($N$2:$N357,$B$2:$B357,"&lt;&gt;"&amp;B357)+SUM($Q$2:$Q357)</f>
        <v>135.05500000000001</v>
      </c>
      <c r="R357" t="b">
        <f>AND(ISNUMBER(FIND($E357,Tables!$I$2)), ISNUMBER(FIND($D357,Tables!$J$2)), $E357&lt;&gt;"")</f>
        <v>0</v>
      </c>
    </row>
    <row r="358" spans="1:18" x14ac:dyDescent="0.3">
      <c r="A358">
        <f t="shared" si="31"/>
        <v>341</v>
      </c>
      <c r="B358" s="4"/>
      <c r="I358" s="8"/>
      <c r="J358" s="5" t="str">
        <f t="shared" si="29"/>
        <v/>
      </c>
      <c r="K358" s="3"/>
      <c r="L358" s="3" t="str">
        <f t="shared" si="28"/>
        <v/>
      </c>
      <c r="N358" s="3" t="str">
        <f t="shared" si="27"/>
        <v/>
      </c>
      <c r="O358" s="6" t="str">
        <f t="shared" si="30"/>
        <v/>
      </c>
      <c r="P358" s="7">
        <f ca="1">SUMIFS($N$2:$N358,$B$2:$B358,"&lt;&gt;"&amp;B358)+SUM($Q$2:$Q358)</f>
        <v>135.05500000000001</v>
      </c>
      <c r="R358" t="b">
        <f>AND(ISNUMBER(FIND($E358,Tables!$I$2)), ISNUMBER(FIND($D358,Tables!$J$2)), $E358&lt;&gt;"")</f>
        <v>0</v>
      </c>
    </row>
    <row r="359" spans="1:18" x14ac:dyDescent="0.3">
      <c r="A359">
        <f t="shared" si="31"/>
        <v>342</v>
      </c>
      <c r="B359" s="4"/>
      <c r="I359" s="8"/>
      <c r="J359" s="5" t="str">
        <f t="shared" si="29"/>
        <v/>
      </c>
      <c r="K359" s="3"/>
      <c r="L359" s="3" t="str">
        <f t="shared" si="28"/>
        <v/>
      </c>
      <c r="N359" s="3" t="str">
        <f t="shared" si="27"/>
        <v/>
      </c>
      <c r="O359" s="6" t="str">
        <f t="shared" si="30"/>
        <v/>
      </c>
      <c r="P359" s="7">
        <f ca="1">SUMIFS($N$2:$N359,$B$2:$B359,"&lt;&gt;"&amp;B359)+SUM($Q$2:$Q359)</f>
        <v>135.05500000000001</v>
      </c>
      <c r="R359" t="b">
        <f>AND(ISNUMBER(FIND($E359,Tables!$I$2)), ISNUMBER(FIND($D359,Tables!$J$2)), $E359&lt;&gt;"")</f>
        <v>0</v>
      </c>
    </row>
    <row r="360" spans="1:18" x14ac:dyDescent="0.3">
      <c r="A360">
        <f t="shared" si="31"/>
        <v>343</v>
      </c>
      <c r="B360" s="4"/>
      <c r="I360" s="8"/>
      <c r="J360" s="5" t="str">
        <f t="shared" si="29"/>
        <v/>
      </c>
      <c r="K360" s="3"/>
      <c r="L360" s="3" t="str">
        <f t="shared" si="28"/>
        <v/>
      </c>
      <c r="N360" s="3" t="str">
        <f t="shared" ref="N360:N423" si="32">IF(L360 = "", "", IF(M360="", "", IF(OR(M360="Draw",M360="NC"), 0, IF(M360="win", L360, -1*K360))))</f>
        <v/>
      </c>
      <c r="O360" s="6" t="str">
        <f t="shared" si="30"/>
        <v/>
      </c>
      <c r="P360" s="7">
        <f ca="1">SUMIFS($N$2:$N360,$B$2:$B360,"&lt;&gt;"&amp;B360)+SUM($Q$2:$Q360)</f>
        <v>135.05500000000001</v>
      </c>
      <c r="R360" t="b">
        <f>AND(ISNUMBER(FIND($E360,Tables!$I$2)), ISNUMBER(FIND($D360,Tables!$J$2)), $E360&lt;&gt;"")</f>
        <v>0</v>
      </c>
    </row>
    <row r="361" spans="1:18" x14ac:dyDescent="0.3">
      <c r="A361">
        <f t="shared" si="31"/>
        <v>344</v>
      </c>
      <c r="B361" s="4"/>
      <c r="I361" s="8"/>
      <c r="J361" s="5" t="str">
        <f t="shared" si="29"/>
        <v/>
      </c>
      <c r="K361" s="3"/>
      <c r="L361" s="3" t="str">
        <f t="shared" si="28"/>
        <v/>
      </c>
      <c r="N361" s="3" t="str">
        <f t="shared" si="32"/>
        <v/>
      </c>
      <c r="O361" s="6" t="str">
        <f t="shared" si="30"/>
        <v/>
      </c>
      <c r="P361" s="7">
        <f ca="1">SUMIFS($N$2:$N361,$B$2:$B361,"&lt;&gt;"&amp;B361)+SUM($Q$2:$Q361)</f>
        <v>135.05500000000001</v>
      </c>
      <c r="R361" t="b">
        <f>AND(ISNUMBER(FIND($E361,Tables!$I$2)), ISNUMBER(FIND($D361,Tables!$J$2)), $E361&lt;&gt;"")</f>
        <v>0</v>
      </c>
    </row>
    <row r="362" spans="1:18" x14ac:dyDescent="0.3">
      <c r="A362">
        <f t="shared" si="31"/>
        <v>345</v>
      </c>
      <c r="B362" s="4"/>
      <c r="I362" s="8"/>
      <c r="J362" s="5" t="str">
        <f t="shared" si="29"/>
        <v/>
      </c>
      <c r="K362" s="3"/>
      <c r="L362" s="3" t="str">
        <f t="shared" si="28"/>
        <v/>
      </c>
      <c r="N362" s="3" t="str">
        <f t="shared" si="32"/>
        <v/>
      </c>
      <c r="O362" s="6" t="str">
        <f t="shared" si="30"/>
        <v/>
      </c>
      <c r="P362" s="7">
        <f ca="1">SUMIFS($N$2:$N362,$B$2:$B362,"&lt;&gt;"&amp;B362)+SUM($Q$2:$Q362)</f>
        <v>135.05500000000001</v>
      </c>
      <c r="R362" t="b">
        <f>AND(ISNUMBER(FIND($E362,Tables!$I$2)), ISNUMBER(FIND($D362,Tables!$J$2)), $E362&lt;&gt;"")</f>
        <v>0</v>
      </c>
    </row>
    <row r="363" spans="1:18" x14ac:dyDescent="0.3">
      <c r="A363">
        <f t="shared" si="31"/>
        <v>346</v>
      </c>
      <c r="B363" s="4"/>
      <c r="I363" s="8"/>
      <c r="J363" s="5" t="str">
        <f t="shared" si="29"/>
        <v/>
      </c>
      <c r="K363" s="3"/>
      <c r="L363" s="3" t="str">
        <f t="shared" si="28"/>
        <v/>
      </c>
      <c r="N363" s="3" t="str">
        <f t="shared" si="32"/>
        <v/>
      </c>
      <c r="O363" s="6" t="str">
        <f t="shared" si="30"/>
        <v/>
      </c>
      <c r="P363" s="7">
        <f ca="1">SUMIFS($N$2:$N363,$B$2:$B363,"&lt;&gt;"&amp;B363)+SUM($Q$2:$Q363)</f>
        <v>135.05500000000001</v>
      </c>
      <c r="R363" t="b">
        <f>AND(ISNUMBER(FIND($E363,Tables!$I$2)), ISNUMBER(FIND($D363,Tables!$J$2)), $E363&lt;&gt;"")</f>
        <v>0</v>
      </c>
    </row>
    <row r="364" spans="1:18" x14ac:dyDescent="0.3">
      <c r="A364">
        <f t="shared" si="31"/>
        <v>347</v>
      </c>
      <c r="B364" s="4"/>
      <c r="I364" s="8"/>
      <c r="J364" s="5" t="str">
        <f t="shared" si="29"/>
        <v/>
      </c>
      <c r="K364" s="3"/>
      <c r="L364" s="3" t="str">
        <f t="shared" si="28"/>
        <v/>
      </c>
      <c r="N364" s="3" t="str">
        <f t="shared" si="32"/>
        <v/>
      </c>
      <c r="O364" s="6" t="str">
        <f t="shared" si="30"/>
        <v/>
      </c>
      <c r="P364" s="7">
        <f ca="1">SUMIFS($N$2:$N364,$B$2:$B364,"&lt;&gt;"&amp;B364)+SUM($Q$2:$Q364)</f>
        <v>135.05500000000001</v>
      </c>
      <c r="R364" t="b">
        <f>AND(ISNUMBER(FIND($E364,Tables!$I$2)), ISNUMBER(FIND($D364,Tables!$J$2)), $E364&lt;&gt;"")</f>
        <v>0</v>
      </c>
    </row>
    <row r="365" spans="1:18" x14ac:dyDescent="0.3">
      <c r="A365">
        <f t="shared" si="31"/>
        <v>348</v>
      </c>
      <c r="B365" s="4"/>
      <c r="I365" s="8"/>
      <c r="J365" s="5" t="str">
        <f t="shared" si="29"/>
        <v/>
      </c>
      <c r="K365" s="3"/>
      <c r="L365" s="3" t="str">
        <f t="shared" si="28"/>
        <v/>
      </c>
      <c r="N365" s="3" t="str">
        <f t="shared" si="32"/>
        <v/>
      </c>
      <c r="O365" s="6" t="str">
        <f t="shared" si="30"/>
        <v/>
      </c>
      <c r="P365" s="7">
        <f ca="1">SUMIFS($N$2:$N365,$B$2:$B365,"&lt;&gt;"&amp;B365)+SUM($Q$2:$Q365)</f>
        <v>135.05500000000001</v>
      </c>
      <c r="R365" t="b">
        <f>AND(ISNUMBER(FIND($E365,Tables!$I$2)), ISNUMBER(FIND($D365,Tables!$J$2)), $E365&lt;&gt;"")</f>
        <v>0</v>
      </c>
    </row>
    <row r="366" spans="1:18" x14ac:dyDescent="0.3">
      <c r="A366">
        <f t="shared" si="31"/>
        <v>349</v>
      </c>
      <c r="B366" s="4"/>
      <c r="I366" s="8"/>
      <c r="J366" s="5" t="str">
        <f t="shared" si="29"/>
        <v/>
      </c>
      <c r="K366" s="3"/>
      <c r="L366" s="3" t="str">
        <f t="shared" si="28"/>
        <v/>
      </c>
      <c r="N366" s="3" t="str">
        <f t="shared" si="32"/>
        <v/>
      </c>
      <c r="O366" s="6" t="str">
        <f t="shared" si="30"/>
        <v/>
      </c>
      <c r="P366" s="7">
        <f ca="1">SUMIFS($N$2:$N366,$B$2:$B366,"&lt;&gt;"&amp;B366)+SUM($Q$2:$Q366)</f>
        <v>135.05500000000001</v>
      </c>
      <c r="R366" t="b">
        <f>AND(ISNUMBER(FIND($E366,Tables!$I$2)), ISNUMBER(FIND($D366,Tables!$J$2)), $E366&lt;&gt;"")</f>
        <v>0</v>
      </c>
    </row>
    <row r="367" spans="1:18" x14ac:dyDescent="0.3">
      <c r="A367">
        <f t="shared" si="31"/>
        <v>350</v>
      </c>
      <c r="B367" s="4"/>
      <c r="I367" s="8"/>
      <c r="J367" s="5" t="str">
        <f t="shared" si="29"/>
        <v/>
      </c>
      <c r="K367" s="3"/>
      <c r="L367" s="3" t="str">
        <f t="shared" si="28"/>
        <v/>
      </c>
      <c r="N367" s="3" t="str">
        <f t="shared" si="32"/>
        <v/>
      </c>
      <c r="O367" s="6" t="str">
        <f t="shared" si="30"/>
        <v/>
      </c>
      <c r="P367" s="7">
        <f ca="1">SUMIFS($N$2:$N367,$B$2:$B367,"&lt;&gt;"&amp;B367)+SUM($Q$2:$Q367)</f>
        <v>135.05500000000001</v>
      </c>
      <c r="R367" t="b">
        <f>AND(ISNUMBER(FIND($E367,Tables!$I$2)), ISNUMBER(FIND($D367,Tables!$J$2)), $E367&lt;&gt;"")</f>
        <v>0</v>
      </c>
    </row>
    <row r="368" spans="1:18" x14ac:dyDescent="0.3">
      <c r="A368">
        <f t="shared" si="31"/>
        <v>351</v>
      </c>
      <c r="B368" s="4"/>
      <c r="I368" s="8"/>
      <c r="J368" s="5" t="str">
        <f t="shared" si="29"/>
        <v/>
      </c>
      <c r="K368" s="3"/>
      <c r="L368" s="3" t="str">
        <f t="shared" si="28"/>
        <v/>
      </c>
      <c r="N368" s="3" t="str">
        <f t="shared" si="32"/>
        <v/>
      </c>
      <c r="O368" s="6" t="str">
        <f t="shared" si="30"/>
        <v/>
      </c>
      <c r="P368" s="7">
        <f ca="1">SUMIFS($N$2:$N368,$B$2:$B368,"&lt;&gt;"&amp;B368)+SUM($Q$2:$Q368)</f>
        <v>135.05500000000001</v>
      </c>
      <c r="R368" t="b">
        <f>AND(ISNUMBER(FIND($E368,Tables!$I$2)), ISNUMBER(FIND($D368,Tables!$J$2)), $E368&lt;&gt;"")</f>
        <v>0</v>
      </c>
    </row>
    <row r="369" spans="1:18" x14ac:dyDescent="0.3">
      <c r="A369">
        <f t="shared" si="31"/>
        <v>352</v>
      </c>
      <c r="B369" s="4"/>
      <c r="I369" s="8"/>
      <c r="J369" s="5" t="str">
        <f t="shared" si="29"/>
        <v/>
      </c>
      <c r="K369" s="3"/>
      <c r="L369" s="3" t="str">
        <f t="shared" si="28"/>
        <v/>
      </c>
      <c r="N369" s="3" t="str">
        <f t="shared" si="32"/>
        <v/>
      </c>
      <c r="O369" s="6" t="str">
        <f t="shared" si="30"/>
        <v/>
      </c>
      <c r="P369" s="7">
        <f ca="1">SUMIFS($N$2:$N369,$B$2:$B369,"&lt;&gt;"&amp;B369)+SUM($Q$2:$Q369)</f>
        <v>135.05500000000001</v>
      </c>
      <c r="R369" t="b">
        <f>AND(ISNUMBER(FIND($E369,Tables!$I$2)), ISNUMBER(FIND($D369,Tables!$J$2)), $E369&lt;&gt;"")</f>
        <v>0</v>
      </c>
    </row>
    <row r="370" spans="1:18" x14ac:dyDescent="0.3">
      <c r="A370">
        <f t="shared" si="31"/>
        <v>353</v>
      </c>
      <c r="B370" s="4"/>
      <c r="I370" s="8"/>
      <c r="J370" s="5" t="str">
        <f t="shared" si="29"/>
        <v/>
      </c>
      <c r="K370" s="3"/>
      <c r="L370" s="3" t="str">
        <f t="shared" ref="L370:L433" si="33">IFERROR(IF(K370=0, "", IF(I370&gt;0, K370/100*I370,K370/I370*-100)), "")</f>
        <v/>
      </c>
      <c r="N370" s="3" t="str">
        <f t="shared" si="32"/>
        <v/>
      </c>
      <c r="O370" s="6" t="str">
        <f t="shared" si="30"/>
        <v/>
      </c>
      <c r="P370" s="7">
        <f ca="1">SUMIFS($N$2:$N370,$B$2:$B370,"&lt;&gt;"&amp;B370)+SUM($Q$2:$Q370)</f>
        <v>135.05500000000001</v>
      </c>
      <c r="R370" t="b">
        <f>AND(ISNUMBER(FIND($E370,Tables!$I$2)), ISNUMBER(FIND($D370,Tables!$J$2)), $E370&lt;&gt;"")</f>
        <v>0</v>
      </c>
    </row>
    <row r="371" spans="1:18" x14ac:dyDescent="0.3">
      <c r="A371">
        <f t="shared" si="31"/>
        <v>354</v>
      </c>
      <c r="B371" s="4"/>
      <c r="I371" s="8"/>
      <c r="J371" s="5" t="str">
        <f t="shared" si="29"/>
        <v/>
      </c>
      <c r="K371" s="3"/>
      <c r="L371" s="3" t="str">
        <f t="shared" si="33"/>
        <v/>
      </c>
      <c r="N371" s="3" t="str">
        <f t="shared" si="32"/>
        <v/>
      </c>
      <c r="O371" s="6" t="str">
        <f t="shared" si="30"/>
        <v/>
      </c>
      <c r="P371" s="7">
        <f ca="1">SUMIFS($N$2:$N371,$B$2:$B371,"&lt;&gt;"&amp;B371)+SUM($Q$2:$Q371)</f>
        <v>135.05500000000001</v>
      </c>
      <c r="R371" t="b">
        <f>AND(ISNUMBER(FIND($E371,Tables!$I$2)), ISNUMBER(FIND($D371,Tables!$J$2)), $E371&lt;&gt;"")</f>
        <v>0</v>
      </c>
    </row>
    <row r="372" spans="1:18" x14ac:dyDescent="0.3">
      <c r="A372">
        <f t="shared" si="31"/>
        <v>355</v>
      </c>
      <c r="B372" s="4"/>
      <c r="I372" s="8"/>
      <c r="J372" s="5" t="str">
        <f t="shared" si="29"/>
        <v/>
      </c>
      <c r="K372" s="3"/>
      <c r="L372" s="3" t="str">
        <f t="shared" si="33"/>
        <v/>
      </c>
      <c r="N372" s="3" t="str">
        <f t="shared" si="32"/>
        <v/>
      </c>
      <c r="O372" s="6" t="str">
        <f t="shared" si="30"/>
        <v/>
      </c>
      <c r="P372" s="7">
        <f ca="1">SUMIFS($N$2:$N372,$B$2:$B372,"&lt;&gt;"&amp;B372)+SUM($Q$2:$Q372)</f>
        <v>135.05500000000001</v>
      </c>
      <c r="R372" t="b">
        <f>AND(ISNUMBER(FIND($E372,Tables!$I$2)), ISNUMBER(FIND($D372,Tables!$J$2)), $E372&lt;&gt;"")</f>
        <v>0</v>
      </c>
    </row>
    <row r="373" spans="1:18" x14ac:dyDescent="0.3">
      <c r="A373">
        <f t="shared" si="31"/>
        <v>356</v>
      </c>
      <c r="B373" s="4"/>
      <c r="I373" s="8"/>
      <c r="J373" s="5" t="str">
        <f t="shared" si="29"/>
        <v/>
      </c>
      <c r="K373" s="3"/>
      <c r="L373" s="3" t="str">
        <f t="shared" si="33"/>
        <v/>
      </c>
      <c r="N373" s="3" t="str">
        <f t="shared" si="32"/>
        <v/>
      </c>
      <c r="O373" s="6" t="str">
        <f t="shared" si="30"/>
        <v/>
      </c>
      <c r="P373" s="7">
        <f ca="1">SUMIFS($N$2:$N373,$B$2:$B373,"&lt;&gt;"&amp;B373)+SUM($Q$2:$Q373)</f>
        <v>135.05500000000001</v>
      </c>
      <c r="R373" t="b">
        <f>AND(ISNUMBER(FIND($E373,Tables!$I$2)), ISNUMBER(FIND($D373,Tables!$J$2)), $E373&lt;&gt;"")</f>
        <v>0</v>
      </c>
    </row>
    <row r="374" spans="1:18" x14ac:dyDescent="0.3">
      <c r="A374">
        <f t="shared" si="31"/>
        <v>357</v>
      </c>
      <c r="B374" s="4"/>
      <c r="I374" s="8"/>
      <c r="J374" s="5" t="str">
        <f t="shared" si="29"/>
        <v/>
      </c>
      <c r="K374" s="3"/>
      <c r="L374" s="3" t="str">
        <f t="shared" si="33"/>
        <v/>
      </c>
      <c r="N374" s="3" t="str">
        <f t="shared" si="32"/>
        <v/>
      </c>
      <c r="O374" s="6" t="str">
        <f t="shared" si="30"/>
        <v/>
      </c>
      <c r="P374" s="7">
        <f ca="1">SUMIFS($N$2:$N374,$B$2:$B374,"&lt;&gt;"&amp;B374)+SUM($Q$2:$Q374)</f>
        <v>135.05500000000001</v>
      </c>
      <c r="R374" t="b">
        <f>AND(ISNUMBER(FIND($E374,Tables!$I$2)), ISNUMBER(FIND($D374,Tables!$J$2)), $E374&lt;&gt;"")</f>
        <v>0</v>
      </c>
    </row>
    <row r="375" spans="1:18" x14ac:dyDescent="0.3">
      <c r="A375">
        <f t="shared" si="31"/>
        <v>358</v>
      </c>
      <c r="B375" s="4"/>
      <c r="I375" s="8"/>
      <c r="J375" s="5" t="str">
        <f t="shared" si="29"/>
        <v/>
      </c>
      <c r="K375" s="3"/>
      <c r="L375" s="3" t="str">
        <f t="shared" si="33"/>
        <v/>
      </c>
      <c r="N375" s="3" t="str">
        <f t="shared" si="32"/>
        <v/>
      </c>
      <c r="O375" s="6" t="str">
        <f t="shared" si="30"/>
        <v/>
      </c>
      <c r="P375" s="7">
        <f ca="1">SUMIFS($N$2:$N375,$B$2:$B375,"&lt;&gt;"&amp;B375)+SUM($Q$2:$Q375)</f>
        <v>135.05500000000001</v>
      </c>
      <c r="R375" t="b">
        <f>AND(ISNUMBER(FIND($E375,Tables!$I$2)), ISNUMBER(FIND($D375,Tables!$J$2)), $E375&lt;&gt;"")</f>
        <v>0</v>
      </c>
    </row>
    <row r="376" spans="1:18" x14ac:dyDescent="0.3">
      <c r="A376">
        <f t="shared" si="31"/>
        <v>359</v>
      </c>
      <c r="B376" s="4"/>
      <c r="I376" s="8"/>
      <c r="J376" s="5" t="str">
        <f t="shared" si="29"/>
        <v/>
      </c>
      <c r="K376" s="3"/>
      <c r="L376" s="3" t="str">
        <f t="shared" si="33"/>
        <v/>
      </c>
      <c r="N376" s="3" t="str">
        <f t="shared" si="32"/>
        <v/>
      </c>
      <c r="O376" s="6" t="str">
        <f t="shared" si="30"/>
        <v/>
      </c>
      <c r="P376" s="7">
        <f ca="1">SUMIFS($N$2:$N376,$B$2:$B376,"&lt;&gt;"&amp;B376)+SUM($Q$2:$Q376)</f>
        <v>135.05500000000001</v>
      </c>
      <c r="R376" t="b">
        <f>AND(ISNUMBER(FIND($E376,Tables!$I$2)), ISNUMBER(FIND($D376,Tables!$J$2)), $E376&lt;&gt;"")</f>
        <v>0</v>
      </c>
    </row>
    <row r="377" spans="1:18" x14ac:dyDescent="0.3">
      <c r="A377">
        <f t="shared" si="31"/>
        <v>360</v>
      </c>
      <c r="B377" s="4"/>
      <c r="I377" s="8"/>
      <c r="J377" s="5" t="str">
        <f t="shared" si="29"/>
        <v/>
      </c>
      <c r="K377" s="3"/>
      <c r="L377" s="3" t="str">
        <f t="shared" si="33"/>
        <v/>
      </c>
      <c r="N377" s="3" t="str">
        <f t="shared" si="32"/>
        <v/>
      </c>
      <c r="O377" s="6" t="str">
        <f t="shared" si="30"/>
        <v/>
      </c>
      <c r="P377" s="7">
        <f ca="1">SUMIFS($N$2:$N377,$B$2:$B377,"&lt;&gt;"&amp;B377)+SUM($Q$2:$Q377)</f>
        <v>135.05500000000001</v>
      </c>
      <c r="R377" t="b">
        <f>AND(ISNUMBER(FIND($E377,Tables!$I$2)), ISNUMBER(FIND($D377,Tables!$J$2)), $E377&lt;&gt;"")</f>
        <v>0</v>
      </c>
    </row>
    <row r="378" spans="1:18" x14ac:dyDescent="0.3">
      <c r="A378">
        <f t="shared" si="31"/>
        <v>361</v>
      </c>
      <c r="B378" s="4"/>
      <c r="I378" s="8"/>
      <c r="J378" s="5" t="str">
        <f t="shared" si="29"/>
        <v/>
      </c>
      <c r="K378" s="3"/>
      <c r="L378" s="3" t="str">
        <f t="shared" si="33"/>
        <v/>
      </c>
      <c r="N378" s="3" t="str">
        <f t="shared" si="32"/>
        <v/>
      </c>
      <c r="O378" s="6" t="str">
        <f t="shared" si="30"/>
        <v/>
      </c>
      <c r="P378" s="7">
        <f ca="1">SUMIFS($N$2:$N378,$B$2:$B378,"&lt;&gt;"&amp;B378)+SUM($Q$2:$Q378)</f>
        <v>135.05500000000001</v>
      </c>
      <c r="R378" t="b">
        <f>AND(ISNUMBER(FIND($E378,Tables!$I$2)), ISNUMBER(FIND($D378,Tables!$J$2)), $E378&lt;&gt;"")</f>
        <v>0</v>
      </c>
    </row>
    <row r="379" spans="1:18" x14ac:dyDescent="0.3">
      <c r="A379">
        <f t="shared" si="31"/>
        <v>362</v>
      </c>
      <c r="B379" s="4"/>
      <c r="I379" s="8"/>
      <c r="J379" s="5" t="str">
        <f t="shared" si="29"/>
        <v/>
      </c>
      <c r="K379" s="3"/>
      <c r="L379" s="3" t="str">
        <f t="shared" si="33"/>
        <v/>
      </c>
      <c r="N379" s="3" t="str">
        <f t="shared" si="32"/>
        <v/>
      </c>
      <c r="O379" s="6" t="str">
        <f t="shared" si="30"/>
        <v/>
      </c>
      <c r="P379" s="7">
        <f ca="1">SUMIFS($N$2:$N379,$B$2:$B379,"&lt;&gt;"&amp;B379)+SUM($Q$2:$Q379)</f>
        <v>135.05500000000001</v>
      </c>
      <c r="R379" t="b">
        <f>AND(ISNUMBER(FIND($E379,Tables!$I$2)), ISNUMBER(FIND($D379,Tables!$J$2)), $E379&lt;&gt;"")</f>
        <v>0</v>
      </c>
    </row>
    <row r="380" spans="1:18" x14ac:dyDescent="0.3">
      <c r="A380">
        <f t="shared" si="31"/>
        <v>363</v>
      </c>
      <c r="B380" s="4"/>
      <c r="I380" s="8"/>
      <c r="J380" s="5" t="str">
        <f t="shared" si="29"/>
        <v/>
      </c>
      <c r="K380" s="3"/>
      <c r="L380" s="3" t="str">
        <f t="shared" si="33"/>
        <v/>
      </c>
      <c r="N380" s="3" t="str">
        <f t="shared" si="32"/>
        <v/>
      </c>
      <c r="O380" s="6" t="str">
        <f t="shared" si="30"/>
        <v/>
      </c>
      <c r="P380" s="7">
        <f ca="1">SUMIFS($N$2:$N380,$B$2:$B380,"&lt;&gt;"&amp;B380)+SUM($Q$2:$Q380)</f>
        <v>135.05500000000001</v>
      </c>
      <c r="R380" t="b">
        <f>AND(ISNUMBER(FIND($E380,Tables!$I$2)), ISNUMBER(FIND($D380,Tables!$J$2)), $E380&lt;&gt;"")</f>
        <v>0</v>
      </c>
    </row>
    <row r="381" spans="1:18" x14ac:dyDescent="0.3">
      <c r="A381">
        <f t="shared" si="31"/>
        <v>364</v>
      </c>
      <c r="B381" s="4"/>
      <c r="I381" s="8"/>
      <c r="J381" s="5" t="str">
        <f t="shared" si="29"/>
        <v/>
      </c>
      <c r="K381" s="3"/>
      <c r="L381" s="3" t="str">
        <f t="shared" si="33"/>
        <v/>
      </c>
      <c r="N381" s="3" t="str">
        <f t="shared" si="32"/>
        <v/>
      </c>
      <c r="O381" s="6" t="str">
        <f t="shared" si="30"/>
        <v/>
      </c>
      <c r="P381" s="7">
        <f ca="1">SUMIFS($N$2:$N381,$B$2:$B381,"&lt;&gt;"&amp;B381)+SUM($Q$2:$Q381)</f>
        <v>135.05500000000001</v>
      </c>
      <c r="R381" t="b">
        <f>AND(ISNUMBER(FIND($E381,Tables!$I$2)), ISNUMBER(FIND($D381,Tables!$J$2)), $E381&lt;&gt;"")</f>
        <v>0</v>
      </c>
    </row>
    <row r="382" spans="1:18" x14ac:dyDescent="0.3">
      <c r="A382">
        <f t="shared" si="31"/>
        <v>365</v>
      </c>
      <c r="B382" s="4"/>
      <c r="I382" s="8"/>
      <c r="J382" s="5" t="str">
        <f t="shared" si="29"/>
        <v/>
      </c>
      <c r="K382" s="3"/>
      <c r="L382" s="3" t="str">
        <f t="shared" si="33"/>
        <v/>
      </c>
      <c r="N382" s="3" t="str">
        <f t="shared" si="32"/>
        <v/>
      </c>
      <c r="O382" s="6" t="str">
        <f t="shared" si="30"/>
        <v/>
      </c>
      <c r="P382" s="7">
        <f ca="1">SUMIFS($N$2:$N382,$B$2:$B382,"&lt;&gt;"&amp;B382)+SUM($Q$2:$Q382)</f>
        <v>135.05500000000001</v>
      </c>
      <c r="R382" t="b">
        <f>AND(ISNUMBER(FIND($E382,Tables!$I$2)), ISNUMBER(FIND($D382,Tables!$J$2)), $E382&lt;&gt;"")</f>
        <v>0</v>
      </c>
    </row>
    <row r="383" spans="1:18" x14ac:dyDescent="0.3">
      <c r="A383">
        <f t="shared" si="31"/>
        <v>366</v>
      </c>
      <c r="B383" s="4"/>
      <c r="I383" s="8"/>
      <c r="J383" s="5" t="str">
        <f t="shared" si="29"/>
        <v/>
      </c>
      <c r="K383" s="3"/>
      <c r="L383" s="3" t="str">
        <f t="shared" si="33"/>
        <v/>
      </c>
      <c r="N383" s="3" t="str">
        <f t="shared" si="32"/>
        <v/>
      </c>
      <c r="O383" s="6" t="str">
        <f t="shared" si="30"/>
        <v/>
      </c>
      <c r="P383" s="7">
        <f ca="1">SUMIFS($N$2:$N383,$B$2:$B383,"&lt;&gt;"&amp;B383)+SUM($Q$2:$Q383)</f>
        <v>135.05500000000001</v>
      </c>
      <c r="R383" t="b">
        <f>AND(ISNUMBER(FIND($E383,Tables!$I$2)), ISNUMBER(FIND($D383,Tables!$J$2)), $E383&lt;&gt;"")</f>
        <v>0</v>
      </c>
    </row>
    <row r="384" spans="1:18" x14ac:dyDescent="0.3">
      <c r="A384">
        <f t="shared" si="31"/>
        <v>367</v>
      </c>
      <c r="B384" s="4"/>
      <c r="I384" s="8"/>
      <c r="J384" s="5" t="str">
        <f t="shared" si="29"/>
        <v/>
      </c>
      <c r="K384" s="3"/>
      <c r="L384" s="3" t="str">
        <f t="shared" si="33"/>
        <v/>
      </c>
      <c r="N384" s="3" t="str">
        <f t="shared" si="32"/>
        <v/>
      </c>
      <c r="O384" s="6" t="str">
        <f t="shared" si="30"/>
        <v/>
      </c>
      <c r="P384" s="7">
        <f ca="1">SUMIFS($N$2:$N384,$B$2:$B384,"&lt;&gt;"&amp;B384)+SUM($Q$2:$Q384)</f>
        <v>135.05500000000001</v>
      </c>
      <c r="R384" t="b">
        <f>AND(ISNUMBER(FIND($E384,Tables!$I$2)), ISNUMBER(FIND($D384,Tables!$J$2)), $E384&lt;&gt;"")</f>
        <v>0</v>
      </c>
    </row>
    <row r="385" spans="1:18" x14ac:dyDescent="0.3">
      <c r="A385">
        <f t="shared" si="31"/>
        <v>368</v>
      </c>
      <c r="B385" s="4"/>
      <c r="I385" s="8"/>
      <c r="J385" s="5" t="str">
        <f t="shared" si="29"/>
        <v/>
      </c>
      <c r="K385" s="3"/>
      <c r="L385" s="3" t="str">
        <f t="shared" si="33"/>
        <v/>
      </c>
      <c r="N385" s="3" t="str">
        <f t="shared" si="32"/>
        <v/>
      </c>
      <c r="O385" s="6" t="str">
        <f t="shared" si="30"/>
        <v/>
      </c>
      <c r="P385" s="7">
        <f ca="1">SUMIFS($N$2:$N385,$B$2:$B385,"&lt;&gt;"&amp;B385)+SUM($Q$2:$Q385)</f>
        <v>135.05500000000001</v>
      </c>
      <c r="R385" t="b">
        <f>AND(ISNUMBER(FIND($E385,Tables!$I$2)), ISNUMBER(FIND($D385,Tables!$J$2)), $E385&lt;&gt;"")</f>
        <v>0</v>
      </c>
    </row>
    <row r="386" spans="1:18" x14ac:dyDescent="0.3">
      <c r="A386">
        <f t="shared" si="31"/>
        <v>369</v>
      </c>
      <c r="B386" s="4"/>
      <c r="I386" s="8"/>
      <c r="J386" s="5" t="str">
        <f t="shared" ref="J386:J449" si="34">IF(I386="", "", IF(I386&gt;0, I386/100 +1, -100/I386 +1))</f>
        <v/>
      </c>
      <c r="K386" s="3"/>
      <c r="L386" s="3" t="str">
        <f t="shared" si="33"/>
        <v/>
      </c>
      <c r="N386" s="3" t="str">
        <f t="shared" si="32"/>
        <v/>
      </c>
      <c r="O386" s="6" t="str">
        <f t="shared" ref="O386:O449" si="35">IFERROR(K386/VLOOKUP(_xlfn.MINIFS(A:A,B:B,B386,C:C,C386),A:P,16),"")</f>
        <v/>
      </c>
      <c r="P386" s="7">
        <f ca="1">SUMIFS($N$2:$N386,$B$2:$B386,"&lt;&gt;"&amp;B386)+SUM($Q$2:$Q386)</f>
        <v>135.05500000000001</v>
      </c>
      <c r="R386" t="b">
        <f>AND(ISNUMBER(FIND($E386,Tables!$I$2)), ISNUMBER(FIND($D386,Tables!$J$2)), $E386&lt;&gt;"")</f>
        <v>0</v>
      </c>
    </row>
    <row r="387" spans="1:18" x14ac:dyDescent="0.3">
      <c r="A387">
        <f t="shared" si="31"/>
        <v>370</v>
      </c>
      <c r="B387" s="4"/>
      <c r="I387" s="8"/>
      <c r="J387" s="5" t="str">
        <f t="shared" si="34"/>
        <v/>
      </c>
      <c r="K387" s="3"/>
      <c r="L387" s="3" t="str">
        <f t="shared" si="33"/>
        <v/>
      </c>
      <c r="N387" s="3" t="str">
        <f t="shared" si="32"/>
        <v/>
      </c>
      <c r="O387" s="6" t="str">
        <f t="shared" si="35"/>
        <v/>
      </c>
      <c r="P387" s="7">
        <f ca="1">SUMIFS($N$2:$N387,$B$2:$B387,"&lt;&gt;"&amp;B387)+SUM($Q$2:$Q387)</f>
        <v>135.05500000000001</v>
      </c>
      <c r="R387" t="b">
        <f>AND(ISNUMBER(FIND($E387,Tables!$I$2)), ISNUMBER(FIND($D387,Tables!$J$2)), $E387&lt;&gt;"")</f>
        <v>0</v>
      </c>
    </row>
    <row r="388" spans="1:18" x14ac:dyDescent="0.3">
      <c r="A388">
        <f t="shared" si="31"/>
        <v>371</v>
      </c>
      <c r="B388" s="4"/>
      <c r="I388" s="8"/>
      <c r="J388" s="5" t="str">
        <f t="shared" si="34"/>
        <v/>
      </c>
      <c r="K388" s="3"/>
      <c r="L388" s="3" t="str">
        <f t="shared" si="33"/>
        <v/>
      </c>
      <c r="N388" s="3" t="str">
        <f t="shared" si="32"/>
        <v/>
      </c>
      <c r="O388" s="6" t="str">
        <f t="shared" si="35"/>
        <v/>
      </c>
      <c r="P388" s="7">
        <f ca="1">SUMIFS($N$2:$N388,$B$2:$B388,"&lt;&gt;"&amp;B388)+SUM($Q$2:$Q388)</f>
        <v>135.05500000000001</v>
      </c>
      <c r="R388" t="b">
        <f>AND(ISNUMBER(FIND($E388,Tables!$I$2)), ISNUMBER(FIND($D388,Tables!$J$2)), $E388&lt;&gt;"")</f>
        <v>0</v>
      </c>
    </row>
    <row r="389" spans="1:18" x14ac:dyDescent="0.3">
      <c r="A389">
        <f t="shared" si="31"/>
        <v>372</v>
      </c>
      <c r="B389" s="4"/>
      <c r="I389" s="8"/>
      <c r="J389" s="5" t="str">
        <f t="shared" si="34"/>
        <v/>
      </c>
      <c r="K389" s="3"/>
      <c r="L389" s="3" t="str">
        <f t="shared" si="33"/>
        <v/>
      </c>
      <c r="N389" s="3" t="str">
        <f t="shared" si="32"/>
        <v/>
      </c>
      <c r="O389" s="6" t="str">
        <f t="shared" si="35"/>
        <v/>
      </c>
      <c r="P389" s="7">
        <f ca="1">SUMIFS($N$2:$N389,$B$2:$B389,"&lt;&gt;"&amp;B389)+SUM($Q$2:$Q389)</f>
        <v>135.05500000000001</v>
      </c>
      <c r="R389" t="b">
        <f>AND(ISNUMBER(FIND($E389,Tables!$I$2)), ISNUMBER(FIND($D389,Tables!$J$2)), $E389&lt;&gt;"")</f>
        <v>0</v>
      </c>
    </row>
    <row r="390" spans="1:18" x14ac:dyDescent="0.3">
      <c r="A390">
        <f t="shared" si="31"/>
        <v>373</v>
      </c>
      <c r="B390" s="4"/>
      <c r="I390" s="8"/>
      <c r="J390" s="5" t="str">
        <f t="shared" si="34"/>
        <v/>
      </c>
      <c r="K390" s="3"/>
      <c r="L390" s="3" t="str">
        <f t="shared" si="33"/>
        <v/>
      </c>
      <c r="N390" s="3" t="str">
        <f t="shared" si="32"/>
        <v/>
      </c>
      <c r="O390" s="6" t="str">
        <f t="shared" si="35"/>
        <v/>
      </c>
      <c r="P390" s="7">
        <f ca="1">SUMIFS($N$2:$N390,$B$2:$B390,"&lt;&gt;"&amp;B390)+SUM($Q$2:$Q390)</f>
        <v>135.05500000000001</v>
      </c>
      <c r="R390" t="b">
        <f>AND(ISNUMBER(FIND($E390,Tables!$I$2)), ISNUMBER(FIND($D390,Tables!$J$2)), $E390&lt;&gt;"")</f>
        <v>0</v>
      </c>
    </row>
    <row r="391" spans="1:18" x14ac:dyDescent="0.3">
      <c r="A391">
        <f t="shared" si="31"/>
        <v>374</v>
      </c>
      <c r="B391" s="4"/>
      <c r="I391" s="8"/>
      <c r="J391" s="5" t="str">
        <f t="shared" si="34"/>
        <v/>
      </c>
      <c r="K391" s="3"/>
      <c r="L391" s="3" t="str">
        <f t="shared" si="33"/>
        <v/>
      </c>
      <c r="N391" s="3" t="str">
        <f t="shared" si="32"/>
        <v/>
      </c>
      <c r="O391" s="6" t="str">
        <f t="shared" si="35"/>
        <v/>
      </c>
      <c r="P391" s="7">
        <f ca="1">SUMIFS($N$2:$N391,$B$2:$B391,"&lt;&gt;"&amp;B391)+SUM($Q$2:$Q391)</f>
        <v>135.05500000000001</v>
      </c>
      <c r="R391" t="b">
        <f>AND(ISNUMBER(FIND($E391,Tables!$I$2)), ISNUMBER(FIND($D391,Tables!$J$2)), $E391&lt;&gt;"")</f>
        <v>0</v>
      </c>
    </row>
    <row r="392" spans="1:18" x14ac:dyDescent="0.3">
      <c r="A392">
        <f t="shared" si="31"/>
        <v>375</v>
      </c>
      <c r="B392" s="4"/>
      <c r="I392" s="8"/>
      <c r="J392" s="5" t="str">
        <f t="shared" si="34"/>
        <v/>
      </c>
      <c r="K392" s="3"/>
      <c r="L392" s="3" t="str">
        <f t="shared" si="33"/>
        <v/>
      </c>
      <c r="N392" s="3" t="str">
        <f t="shared" si="32"/>
        <v/>
      </c>
      <c r="O392" s="6" t="str">
        <f t="shared" si="35"/>
        <v/>
      </c>
      <c r="P392" s="7">
        <f ca="1">SUMIFS($N$2:$N392,$B$2:$B392,"&lt;&gt;"&amp;B392)+SUM($Q$2:$Q392)</f>
        <v>135.05500000000001</v>
      </c>
      <c r="R392" t="b">
        <f>AND(ISNUMBER(FIND($E392,Tables!$I$2)), ISNUMBER(FIND($D392,Tables!$J$2)), $E392&lt;&gt;"")</f>
        <v>0</v>
      </c>
    </row>
    <row r="393" spans="1:18" x14ac:dyDescent="0.3">
      <c r="A393">
        <f t="shared" si="31"/>
        <v>376</v>
      </c>
      <c r="B393" s="4"/>
      <c r="I393" s="8"/>
      <c r="J393" s="5" t="str">
        <f t="shared" si="34"/>
        <v/>
      </c>
      <c r="K393" s="3"/>
      <c r="L393" s="3" t="str">
        <f t="shared" si="33"/>
        <v/>
      </c>
      <c r="N393" s="3" t="str">
        <f t="shared" si="32"/>
        <v/>
      </c>
      <c r="O393" s="6" t="str">
        <f t="shared" si="35"/>
        <v/>
      </c>
      <c r="P393" s="7">
        <f ca="1">SUMIFS($N$2:$N393,$B$2:$B393,"&lt;&gt;"&amp;B393)+SUM($Q$2:$Q393)</f>
        <v>135.05500000000001</v>
      </c>
      <c r="R393" t="b">
        <f>AND(ISNUMBER(FIND($E393,Tables!$I$2)), ISNUMBER(FIND($D393,Tables!$J$2)), $E393&lt;&gt;"")</f>
        <v>0</v>
      </c>
    </row>
    <row r="394" spans="1:18" x14ac:dyDescent="0.3">
      <c r="A394">
        <f t="shared" si="31"/>
        <v>377</v>
      </c>
      <c r="B394" s="4"/>
      <c r="I394" s="8"/>
      <c r="J394" s="5" t="str">
        <f t="shared" si="34"/>
        <v/>
      </c>
      <c r="K394" s="3"/>
      <c r="L394" s="3" t="str">
        <f t="shared" si="33"/>
        <v/>
      </c>
      <c r="N394" s="3" t="str">
        <f t="shared" si="32"/>
        <v/>
      </c>
      <c r="O394" s="6" t="str">
        <f t="shared" si="35"/>
        <v/>
      </c>
      <c r="P394" s="7">
        <f ca="1">SUMIFS($N$2:$N394,$B$2:$B394,"&lt;&gt;"&amp;B394)+SUM($Q$2:$Q394)</f>
        <v>135.05500000000001</v>
      </c>
      <c r="R394" t="b">
        <f>AND(ISNUMBER(FIND($E394,Tables!$I$2)), ISNUMBER(FIND($D394,Tables!$J$2)), $E394&lt;&gt;"")</f>
        <v>0</v>
      </c>
    </row>
    <row r="395" spans="1:18" x14ac:dyDescent="0.3">
      <c r="A395">
        <f t="shared" si="31"/>
        <v>378</v>
      </c>
      <c r="B395" s="4"/>
      <c r="I395" s="8"/>
      <c r="J395" s="5" t="str">
        <f t="shared" si="34"/>
        <v/>
      </c>
      <c r="K395" s="3"/>
      <c r="L395" s="3" t="str">
        <f t="shared" si="33"/>
        <v/>
      </c>
      <c r="N395" s="3" t="str">
        <f t="shared" si="32"/>
        <v/>
      </c>
      <c r="O395" s="6" t="str">
        <f t="shared" si="35"/>
        <v/>
      </c>
      <c r="P395" s="7">
        <f ca="1">SUMIFS($N$2:$N395,$B$2:$B395,"&lt;&gt;"&amp;B395)+SUM($Q$2:$Q395)</f>
        <v>135.05500000000001</v>
      </c>
      <c r="R395" t="b">
        <f>AND(ISNUMBER(FIND($E395,Tables!$I$2)), ISNUMBER(FIND($D395,Tables!$J$2)), $E395&lt;&gt;"")</f>
        <v>0</v>
      </c>
    </row>
    <row r="396" spans="1:18" x14ac:dyDescent="0.3">
      <c r="A396">
        <f t="shared" si="31"/>
        <v>379</v>
      </c>
      <c r="B396" s="4"/>
      <c r="I396" s="8"/>
      <c r="J396" s="5" t="str">
        <f t="shared" si="34"/>
        <v/>
      </c>
      <c r="K396" s="3"/>
      <c r="L396" s="3" t="str">
        <f t="shared" si="33"/>
        <v/>
      </c>
      <c r="N396" s="3" t="str">
        <f t="shared" si="32"/>
        <v/>
      </c>
      <c r="O396" s="6" t="str">
        <f t="shared" si="35"/>
        <v/>
      </c>
      <c r="P396" s="7">
        <f ca="1">SUMIFS($N$2:$N396,$B$2:$B396,"&lt;&gt;"&amp;B396)+SUM($Q$2:$Q396)</f>
        <v>135.05500000000001</v>
      </c>
      <c r="R396" t="b">
        <f>AND(ISNUMBER(FIND($E396,Tables!$I$2)), ISNUMBER(FIND($D396,Tables!$J$2)), $E396&lt;&gt;"")</f>
        <v>0</v>
      </c>
    </row>
    <row r="397" spans="1:18" x14ac:dyDescent="0.3">
      <c r="A397">
        <f t="shared" si="31"/>
        <v>380</v>
      </c>
      <c r="B397" s="4"/>
      <c r="I397" s="8"/>
      <c r="J397" s="5" t="str">
        <f t="shared" si="34"/>
        <v/>
      </c>
      <c r="K397" s="3"/>
      <c r="L397" s="3" t="str">
        <f t="shared" si="33"/>
        <v/>
      </c>
      <c r="N397" s="3" t="str">
        <f t="shared" si="32"/>
        <v/>
      </c>
      <c r="O397" s="6" t="str">
        <f t="shared" si="35"/>
        <v/>
      </c>
      <c r="P397" s="7">
        <f ca="1">SUMIFS($N$2:$N397,$B$2:$B397,"&lt;&gt;"&amp;B397)+SUM($Q$2:$Q397)</f>
        <v>135.05500000000001</v>
      </c>
      <c r="R397" t="b">
        <f>AND(ISNUMBER(FIND($E397,Tables!$I$2)), ISNUMBER(FIND($D397,Tables!$J$2)), $E397&lt;&gt;"")</f>
        <v>0</v>
      </c>
    </row>
    <row r="398" spans="1:18" x14ac:dyDescent="0.3">
      <c r="A398">
        <f t="shared" si="31"/>
        <v>381</v>
      </c>
      <c r="B398" s="4"/>
      <c r="I398" s="8"/>
      <c r="J398" s="5" t="str">
        <f t="shared" si="34"/>
        <v/>
      </c>
      <c r="K398" s="3"/>
      <c r="L398" s="3" t="str">
        <f t="shared" si="33"/>
        <v/>
      </c>
      <c r="N398" s="3" t="str">
        <f t="shared" si="32"/>
        <v/>
      </c>
      <c r="O398" s="6" t="str">
        <f t="shared" si="35"/>
        <v/>
      </c>
      <c r="P398" s="7">
        <f ca="1">SUMIFS($N$2:$N398,$B$2:$B398,"&lt;&gt;"&amp;B398)+SUM($Q$2:$Q398)</f>
        <v>135.05500000000001</v>
      </c>
      <c r="R398" t="b">
        <f>AND(ISNUMBER(FIND($E398,Tables!$I$2)), ISNUMBER(FIND($D398,Tables!$J$2)), $E398&lt;&gt;"")</f>
        <v>0</v>
      </c>
    </row>
    <row r="399" spans="1:18" x14ac:dyDescent="0.3">
      <c r="A399">
        <f t="shared" si="31"/>
        <v>382</v>
      </c>
      <c r="B399" s="4"/>
      <c r="I399" s="8"/>
      <c r="J399" s="5" t="str">
        <f t="shared" si="34"/>
        <v/>
      </c>
      <c r="K399" s="3"/>
      <c r="L399" s="3" t="str">
        <f t="shared" si="33"/>
        <v/>
      </c>
      <c r="N399" s="3" t="str">
        <f t="shared" si="32"/>
        <v/>
      </c>
      <c r="O399" s="6" t="str">
        <f t="shared" si="35"/>
        <v/>
      </c>
      <c r="P399" s="7">
        <f ca="1">SUMIFS($N$2:$N399,$B$2:$B399,"&lt;&gt;"&amp;B399)+SUM($Q$2:$Q399)</f>
        <v>135.05500000000001</v>
      </c>
      <c r="R399" t="b">
        <f>AND(ISNUMBER(FIND($E399,Tables!$I$2)), ISNUMBER(FIND($D399,Tables!$J$2)), $E399&lt;&gt;"")</f>
        <v>0</v>
      </c>
    </row>
    <row r="400" spans="1:18" x14ac:dyDescent="0.3">
      <c r="A400">
        <f t="shared" si="31"/>
        <v>383</v>
      </c>
      <c r="B400" s="4"/>
      <c r="I400" s="8"/>
      <c r="J400" s="5" t="str">
        <f t="shared" si="34"/>
        <v/>
      </c>
      <c r="K400" s="3"/>
      <c r="L400" s="3" t="str">
        <f t="shared" si="33"/>
        <v/>
      </c>
      <c r="N400" s="3" t="str">
        <f t="shared" si="32"/>
        <v/>
      </c>
      <c r="O400" s="6" t="str">
        <f t="shared" si="35"/>
        <v/>
      </c>
      <c r="P400" s="7">
        <f ca="1">SUMIFS($N$2:$N400,$B$2:$B400,"&lt;&gt;"&amp;B400)+SUM($Q$2:$Q400)</f>
        <v>135.05500000000001</v>
      </c>
      <c r="R400" t="b">
        <f>AND(ISNUMBER(FIND($E400,Tables!$I$2)), ISNUMBER(FIND($D400,Tables!$J$2)), $E400&lt;&gt;"")</f>
        <v>0</v>
      </c>
    </row>
    <row r="401" spans="1:18" x14ac:dyDescent="0.3">
      <c r="A401">
        <f t="shared" si="31"/>
        <v>384</v>
      </c>
      <c r="B401" s="4"/>
      <c r="I401" s="8"/>
      <c r="J401" s="5" t="str">
        <f t="shared" si="34"/>
        <v/>
      </c>
      <c r="K401" s="3"/>
      <c r="L401" s="3" t="str">
        <f t="shared" si="33"/>
        <v/>
      </c>
      <c r="N401" s="3" t="str">
        <f t="shared" si="32"/>
        <v/>
      </c>
      <c r="O401" s="6" t="str">
        <f t="shared" si="35"/>
        <v/>
      </c>
      <c r="P401" s="7">
        <f ca="1">SUMIFS($N$2:$N401,$B$2:$B401,"&lt;&gt;"&amp;B401)+SUM($Q$2:$Q401)</f>
        <v>135.05500000000001</v>
      </c>
      <c r="R401" t="b">
        <f>AND(ISNUMBER(FIND($E401,Tables!$I$2)), ISNUMBER(FIND($D401,Tables!$J$2)), $E401&lt;&gt;"")</f>
        <v>0</v>
      </c>
    </row>
    <row r="402" spans="1:18" x14ac:dyDescent="0.3">
      <c r="A402">
        <f t="shared" si="31"/>
        <v>385</v>
      </c>
      <c r="B402" s="4"/>
      <c r="I402" s="8"/>
      <c r="J402" s="5" t="str">
        <f t="shared" si="34"/>
        <v/>
      </c>
      <c r="K402" s="3"/>
      <c r="L402" s="3" t="str">
        <f t="shared" si="33"/>
        <v/>
      </c>
      <c r="N402" s="3" t="str">
        <f t="shared" si="32"/>
        <v/>
      </c>
      <c r="O402" s="6" t="str">
        <f t="shared" si="35"/>
        <v/>
      </c>
      <c r="P402" s="7">
        <f ca="1">SUMIFS($N$2:$N402,$B$2:$B402,"&lt;&gt;"&amp;B402)+SUM($Q$2:$Q402)</f>
        <v>135.05500000000001</v>
      </c>
      <c r="R402" t="b">
        <f>AND(ISNUMBER(FIND($E402,Tables!$I$2)), ISNUMBER(FIND($D402,Tables!$J$2)), $E402&lt;&gt;"")</f>
        <v>0</v>
      </c>
    </row>
    <row r="403" spans="1:18" x14ac:dyDescent="0.3">
      <c r="A403">
        <f t="shared" si="31"/>
        <v>386</v>
      </c>
      <c r="B403" s="4"/>
      <c r="I403" s="8"/>
      <c r="J403" s="5" t="str">
        <f t="shared" si="34"/>
        <v/>
      </c>
      <c r="K403" s="3"/>
      <c r="L403" s="3" t="str">
        <f t="shared" si="33"/>
        <v/>
      </c>
      <c r="N403" s="3" t="str">
        <f t="shared" si="32"/>
        <v/>
      </c>
      <c r="O403" s="6" t="str">
        <f t="shared" si="35"/>
        <v/>
      </c>
      <c r="P403" s="7">
        <f ca="1">SUMIFS($N$2:$N403,$B$2:$B403,"&lt;&gt;"&amp;B403)+SUM($Q$2:$Q403)</f>
        <v>135.05500000000001</v>
      </c>
      <c r="R403" t="b">
        <f>AND(ISNUMBER(FIND($E403,Tables!$I$2)), ISNUMBER(FIND($D403,Tables!$J$2)), $E403&lt;&gt;"")</f>
        <v>0</v>
      </c>
    </row>
    <row r="404" spans="1:18" x14ac:dyDescent="0.3">
      <c r="A404">
        <f t="shared" si="31"/>
        <v>387</v>
      </c>
      <c r="B404" s="4"/>
      <c r="I404" s="8"/>
      <c r="J404" s="5" t="str">
        <f t="shared" si="34"/>
        <v/>
      </c>
      <c r="K404" s="3"/>
      <c r="L404" s="3" t="str">
        <f t="shared" si="33"/>
        <v/>
      </c>
      <c r="N404" s="3" t="str">
        <f t="shared" si="32"/>
        <v/>
      </c>
      <c r="O404" s="6" t="str">
        <f t="shared" si="35"/>
        <v/>
      </c>
      <c r="P404" s="7">
        <f ca="1">SUMIFS($N$2:$N404,$B$2:$B404,"&lt;&gt;"&amp;B404)+SUM($Q$2:$Q404)</f>
        <v>135.05500000000001</v>
      </c>
      <c r="R404" t="b">
        <f>AND(ISNUMBER(FIND($E404,Tables!$I$2)), ISNUMBER(FIND($D404,Tables!$J$2)), $E404&lt;&gt;"")</f>
        <v>0</v>
      </c>
    </row>
    <row r="405" spans="1:18" x14ac:dyDescent="0.3">
      <c r="A405">
        <f t="shared" si="31"/>
        <v>388</v>
      </c>
      <c r="B405" s="4"/>
      <c r="I405" s="8"/>
      <c r="J405" s="5" t="str">
        <f t="shared" si="34"/>
        <v/>
      </c>
      <c r="K405" s="3"/>
      <c r="L405" s="3" t="str">
        <f t="shared" si="33"/>
        <v/>
      </c>
      <c r="N405" s="3" t="str">
        <f t="shared" si="32"/>
        <v/>
      </c>
      <c r="O405" s="6" t="str">
        <f t="shared" si="35"/>
        <v/>
      </c>
      <c r="P405" s="7">
        <f ca="1">SUMIFS($N$2:$N405,$B$2:$B405,"&lt;&gt;"&amp;B405)+SUM($Q$2:$Q405)</f>
        <v>135.05500000000001</v>
      </c>
      <c r="R405" t="b">
        <f>AND(ISNUMBER(FIND($E405,Tables!$I$2)), ISNUMBER(FIND($D405,Tables!$J$2)), $E405&lt;&gt;"")</f>
        <v>0</v>
      </c>
    </row>
    <row r="406" spans="1:18" x14ac:dyDescent="0.3">
      <c r="A406">
        <f t="shared" si="31"/>
        <v>389</v>
      </c>
      <c r="B406" s="4"/>
      <c r="I406" s="8"/>
      <c r="J406" s="5" t="str">
        <f t="shared" si="34"/>
        <v/>
      </c>
      <c r="K406" s="3"/>
      <c r="L406" s="3" t="str">
        <f t="shared" si="33"/>
        <v/>
      </c>
      <c r="N406" s="3" t="str">
        <f t="shared" si="32"/>
        <v/>
      </c>
      <c r="O406" s="6" t="str">
        <f t="shared" si="35"/>
        <v/>
      </c>
      <c r="P406" s="7">
        <f ca="1">SUMIFS($N$2:$N406,$B$2:$B406,"&lt;&gt;"&amp;B406)+SUM($Q$2:$Q406)</f>
        <v>135.05500000000001</v>
      </c>
      <c r="R406" t="b">
        <f>AND(ISNUMBER(FIND($E406,Tables!$I$2)), ISNUMBER(FIND($D406,Tables!$J$2)), $E406&lt;&gt;"")</f>
        <v>0</v>
      </c>
    </row>
    <row r="407" spans="1:18" x14ac:dyDescent="0.3">
      <c r="A407">
        <f t="shared" si="31"/>
        <v>390</v>
      </c>
      <c r="B407" s="4"/>
      <c r="I407" s="8"/>
      <c r="J407" s="5" t="str">
        <f t="shared" si="34"/>
        <v/>
      </c>
      <c r="K407" s="3"/>
      <c r="L407" s="3" t="str">
        <f t="shared" si="33"/>
        <v/>
      </c>
      <c r="N407" s="3" t="str">
        <f t="shared" si="32"/>
        <v/>
      </c>
      <c r="O407" s="6" t="str">
        <f t="shared" si="35"/>
        <v/>
      </c>
      <c r="P407" s="7">
        <f ca="1">SUMIFS($N$2:$N407,$B$2:$B407,"&lt;&gt;"&amp;B407)+SUM($Q$2:$Q407)</f>
        <v>135.05500000000001</v>
      </c>
      <c r="R407" t="b">
        <f>AND(ISNUMBER(FIND($E407,Tables!$I$2)), ISNUMBER(FIND($D407,Tables!$J$2)), $E407&lt;&gt;"")</f>
        <v>0</v>
      </c>
    </row>
    <row r="408" spans="1:18" x14ac:dyDescent="0.3">
      <c r="A408">
        <f t="shared" si="31"/>
        <v>391</v>
      </c>
      <c r="B408" s="4"/>
      <c r="I408" s="8"/>
      <c r="J408" s="5" t="str">
        <f t="shared" si="34"/>
        <v/>
      </c>
      <c r="K408" s="3"/>
      <c r="L408" s="3" t="str">
        <f t="shared" si="33"/>
        <v/>
      </c>
      <c r="N408" s="3" t="str">
        <f t="shared" si="32"/>
        <v/>
      </c>
      <c r="O408" s="6" t="str">
        <f t="shared" si="35"/>
        <v/>
      </c>
      <c r="P408" s="7">
        <f ca="1">SUMIFS($N$2:$N408,$B$2:$B408,"&lt;&gt;"&amp;B408)+SUM($Q$2:$Q408)</f>
        <v>135.05500000000001</v>
      </c>
      <c r="R408" t="b">
        <f>AND(ISNUMBER(FIND($E408,Tables!$I$2)), ISNUMBER(FIND($D408,Tables!$J$2)), $E408&lt;&gt;"")</f>
        <v>0</v>
      </c>
    </row>
    <row r="409" spans="1:18" x14ac:dyDescent="0.3">
      <c r="A409">
        <f t="shared" si="31"/>
        <v>392</v>
      </c>
      <c r="B409" s="4"/>
      <c r="I409" s="8"/>
      <c r="J409" s="5" t="str">
        <f t="shared" si="34"/>
        <v/>
      </c>
      <c r="K409" s="3"/>
      <c r="L409" s="3" t="str">
        <f t="shared" si="33"/>
        <v/>
      </c>
      <c r="N409" s="3" t="str">
        <f t="shared" si="32"/>
        <v/>
      </c>
      <c r="O409" s="6" t="str">
        <f t="shared" si="35"/>
        <v/>
      </c>
      <c r="P409" s="7">
        <f ca="1">SUMIFS($N$2:$N409,$B$2:$B409,"&lt;&gt;"&amp;B409)+SUM($Q$2:$Q409)</f>
        <v>135.05500000000001</v>
      </c>
      <c r="R409" t="b">
        <f>AND(ISNUMBER(FIND($E409,Tables!$I$2)), ISNUMBER(FIND($D409,Tables!$J$2)), $E409&lt;&gt;"")</f>
        <v>0</v>
      </c>
    </row>
    <row r="410" spans="1:18" x14ac:dyDescent="0.3">
      <c r="A410">
        <f t="shared" si="31"/>
        <v>393</v>
      </c>
      <c r="B410" s="4"/>
      <c r="I410" s="8"/>
      <c r="J410" s="5" t="str">
        <f t="shared" si="34"/>
        <v/>
      </c>
      <c r="K410" s="3"/>
      <c r="L410" s="3" t="str">
        <f t="shared" si="33"/>
        <v/>
      </c>
      <c r="N410" s="3" t="str">
        <f t="shared" si="32"/>
        <v/>
      </c>
      <c r="O410" s="6" t="str">
        <f t="shared" si="35"/>
        <v/>
      </c>
      <c r="P410" s="7">
        <f ca="1">SUMIFS($N$2:$N410,$B$2:$B410,"&lt;&gt;"&amp;B410)+SUM($Q$2:$Q410)</f>
        <v>135.05500000000001</v>
      </c>
      <c r="R410" t="b">
        <f>AND(ISNUMBER(FIND($E410,Tables!$I$2)), ISNUMBER(FIND($D410,Tables!$J$2)), $E410&lt;&gt;"")</f>
        <v>0</v>
      </c>
    </row>
    <row r="411" spans="1:18" x14ac:dyDescent="0.3">
      <c r="A411">
        <f t="shared" si="31"/>
        <v>394</v>
      </c>
      <c r="B411" s="4"/>
      <c r="I411" s="8"/>
      <c r="J411" s="5" t="str">
        <f t="shared" si="34"/>
        <v/>
      </c>
      <c r="K411" s="3"/>
      <c r="L411" s="3" t="str">
        <f t="shared" si="33"/>
        <v/>
      </c>
      <c r="N411" s="3" t="str">
        <f t="shared" si="32"/>
        <v/>
      </c>
      <c r="O411" s="6" t="str">
        <f t="shared" si="35"/>
        <v/>
      </c>
      <c r="P411" s="7">
        <f ca="1">SUMIFS($N$2:$N411,$B$2:$B411,"&lt;&gt;"&amp;B411)+SUM($Q$2:$Q411)</f>
        <v>135.05500000000001</v>
      </c>
      <c r="R411" t="b">
        <f>AND(ISNUMBER(FIND($E411,Tables!$I$2)), ISNUMBER(FIND($D411,Tables!$J$2)), $E411&lt;&gt;"")</f>
        <v>0</v>
      </c>
    </row>
    <row r="412" spans="1:18" x14ac:dyDescent="0.3">
      <c r="A412">
        <f t="shared" si="31"/>
        <v>395</v>
      </c>
      <c r="B412" s="4"/>
      <c r="I412" s="8"/>
      <c r="J412" s="5" t="str">
        <f t="shared" si="34"/>
        <v/>
      </c>
      <c r="K412" s="3"/>
      <c r="L412" s="3" t="str">
        <f t="shared" si="33"/>
        <v/>
      </c>
      <c r="N412" s="3" t="str">
        <f t="shared" si="32"/>
        <v/>
      </c>
      <c r="O412" s="6" t="str">
        <f t="shared" si="35"/>
        <v/>
      </c>
      <c r="P412" s="7">
        <f ca="1">SUMIFS($N$2:$N412,$B$2:$B412,"&lt;&gt;"&amp;B412)+SUM($Q$2:$Q412)</f>
        <v>135.05500000000001</v>
      </c>
      <c r="R412" t="b">
        <f>AND(ISNUMBER(FIND($E412,Tables!$I$2)), ISNUMBER(FIND($D412,Tables!$J$2)), $E412&lt;&gt;"")</f>
        <v>0</v>
      </c>
    </row>
    <row r="413" spans="1:18" x14ac:dyDescent="0.3">
      <c r="A413">
        <f t="shared" si="31"/>
        <v>396</v>
      </c>
      <c r="B413" s="4"/>
      <c r="I413" s="8"/>
      <c r="J413" s="5" t="str">
        <f t="shared" si="34"/>
        <v/>
      </c>
      <c r="K413" s="3"/>
      <c r="L413" s="3" t="str">
        <f t="shared" si="33"/>
        <v/>
      </c>
      <c r="N413" s="3" t="str">
        <f t="shared" si="32"/>
        <v/>
      </c>
      <c r="O413" s="6" t="str">
        <f t="shared" si="35"/>
        <v/>
      </c>
      <c r="P413" s="7">
        <f ca="1">SUMIFS($N$2:$N413,$B$2:$B413,"&lt;&gt;"&amp;B413)+SUM($Q$2:$Q413)</f>
        <v>135.05500000000001</v>
      </c>
      <c r="R413" t="b">
        <f>AND(ISNUMBER(FIND($E413,Tables!$I$2)), ISNUMBER(FIND($D413,Tables!$J$2)), $E413&lt;&gt;"")</f>
        <v>0</v>
      </c>
    </row>
    <row r="414" spans="1:18" x14ac:dyDescent="0.3">
      <c r="A414">
        <f t="shared" si="31"/>
        <v>397</v>
      </c>
      <c r="B414" s="4"/>
      <c r="I414" s="8"/>
      <c r="J414" s="5" t="str">
        <f t="shared" si="34"/>
        <v/>
      </c>
      <c r="K414" s="3"/>
      <c r="L414" s="3" t="str">
        <f t="shared" si="33"/>
        <v/>
      </c>
      <c r="N414" s="3" t="str">
        <f t="shared" si="32"/>
        <v/>
      </c>
      <c r="O414" s="6" t="str">
        <f t="shared" si="35"/>
        <v/>
      </c>
      <c r="P414" s="7">
        <f ca="1">SUMIFS($N$2:$N414,$B$2:$B414,"&lt;&gt;"&amp;B414)+SUM($Q$2:$Q414)</f>
        <v>135.05500000000001</v>
      </c>
      <c r="R414" t="b">
        <f>AND(ISNUMBER(FIND($E414,Tables!$I$2)), ISNUMBER(FIND($D414,Tables!$J$2)), $E414&lt;&gt;"")</f>
        <v>0</v>
      </c>
    </row>
    <row r="415" spans="1:18" x14ac:dyDescent="0.3">
      <c r="A415">
        <f t="shared" si="31"/>
        <v>398</v>
      </c>
      <c r="B415" s="4"/>
      <c r="I415" s="8"/>
      <c r="J415" s="5" t="str">
        <f t="shared" si="34"/>
        <v/>
      </c>
      <c r="K415" s="3"/>
      <c r="L415" s="3" t="str">
        <f t="shared" si="33"/>
        <v/>
      </c>
      <c r="N415" s="3" t="str">
        <f t="shared" si="32"/>
        <v/>
      </c>
      <c r="O415" s="6" t="str">
        <f t="shared" si="35"/>
        <v/>
      </c>
      <c r="P415" s="7">
        <f ca="1">SUMIFS($N$2:$N415,$B$2:$B415,"&lt;&gt;"&amp;B415)+SUM($Q$2:$Q415)</f>
        <v>135.05500000000001</v>
      </c>
      <c r="R415" t="b">
        <f>AND(ISNUMBER(FIND($E415,Tables!$I$2)), ISNUMBER(FIND($D415,Tables!$J$2)), $E415&lt;&gt;"")</f>
        <v>0</v>
      </c>
    </row>
    <row r="416" spans="1:18" x14ac:dyDescent="0.3">
      <c r="A416">
        <f t="shared" si="31"/>
        <v>399</v>
      </c>
      <c r="B416" s="4"/>
      <c r="I416" s="8"/>
      <c r="J416" s="5" t="str">
        <f t="shared" si="34"/>
        <v/>
      </c>
      <c r="K416" s="3"/>
      <c r="L416" s="3" t="str">
        <f t="shared" si="33"/>
        <v/>
      </c>
      <c r="N416" s="3" t="str">
        <f t="shared" si="32"/>
        <v/>
      </c>
      <c r="O416" s="6" t="str">
        <f t="shared" si="35"/>
        <v/>
      </c>
      <c r="P416" s="7">
        <f ca="1">SUMIFS($N$2:$N416,$B$2:$B416,"&lt;&gt;"&amp;B416)+SUM($Q$2:$Q416)</f>
        <v>135.05500000000001</v>
      </c>
      <c r="R416" t="b">
        <f>AND(ISNUMBER(FIND($E416,Tables!$I$2)), ISNUMBER(FIND($D416,Tables!$J$2)), $E416&lt;&gt;"")</f>
        <v>0</v>
      </c>
    </row>
    <row r="417" spans="1:18" x14ac:dyDescent="0.3">
      <c r="A417">
        <f t="shared" si="31"/>
        <v>400</v>
      </c>
      <c r="B417" s="4"/>
      <c r="I417" s="8"/>
      <c r="J417" s="5" t="str">
        <f t="shared" si="34"/>
        <v/>
      </c>
      <c r="K417" s="3"/>
      <c r="L417" s="3" t="str">
        <f t="shared" si="33"/>
        <v/>
      </c>
      <c r="N417" s="3" t="str">
        <f t="shared" si="32"/>
        <v/>
      </c>
      <c r="O417" s="6" t="str">
        <f t="shared" si="35"/>
        <v/>
      </c>
      <c r="P417" s="7">
        <f ca="1">SUMIFS($N$2:$N417,$B$2:$B417,"&lt;&gt;"&amp;B417)+SUM($Q$2:$Q417)</f>
        <v>135.05500000000001</v>
      </c>
      <c r="R417" t="b">
        <f>AND(ISNUMBER(FIND($E417,Tables!$I$2)), ISNUMBER(FIND($D417,Tables!$J$2)), $E417&lt;&gt;"")</f>
        <v>0</v>
      </c>
    </row>
    <row r="418" spans="1:18" x14ac:dyDescent="0.3">
      <c r="A418">
        <f t="shared" ref="A418:A481" si="36">IF(AND(B418="", D418&lt;&gt;""), A417, A417+1)</f>
        <v>401</v>
      </c>
      <c r="B418" s="4"/>
      <c r="I418" s="8"/>
      <c r="J418" s="5" t="str">
        <f t="shared" si="34"/>
        <v/>
      </c>
      <c r="K418" s="3"/>
      <c r="L418" s="3" t="str">
        <f t="shared" si="33"/>
        <v/>
      </c>
      <c r="N418" s="3" t="str">
        <f t="shared" si="32"/>
        <v/>
      </c>
      <c r="O418" s="6" t="str">
        <f t="shared" si="35"/>
        <v/>
      </c>
      <c r="P418" s="7">
        <f ca="1">SUMIFS($N$2:$N418,$B$2:$B418,"&lt;&gt;"&amp;B418)+SUM($Q$2:$Q418)</f>
        <v>135.05500000000001</v>
      </c>
      <c r="R418" t="b">
        <f>AND(ISNUMBER(FIND($E418,Tables!$I$2)), ISNUMBER(FIND($D418,Tables!$J$2)), $E418&lt;&gt;"")</f>
        <v>0</v>
      </c>
    </row>
    <row r="419" spans="1:18" x14ac:dyDescent="0.3">
      <c r="A419">
        <f t="shared" si="36"/>
        <v>402</v>
      </c>
      <c r="B419" s="4"/>
      <c r="I419" s="8"/>
      <c r="J419" s="5" t="str">
        <f t="shared" si="34"/>
        <v/>
      </c>
      <c r="K419" s="3"/>
      <c r="L419" s="3" t="str">
        <f t="shared" si="33"/>
        <v/>
      </c>
      <c r="N419" s="3" t="str">
        <f t="shared" si="32"/>
        <v/>
      </c>
      <c r="O419" s="6" t="str">
        <f t="shared" si="35"/>
        <v/>
      </c>
      <c r="P419" s="7">
        <f ca="1">SUMIFS($N$2:$N419,$B$2:$B419,"&lt;&gt;"&amp;B419)+SUM($Q$2:$Q419)</f>
        <v>135.05500000000001</v>
      </c>
      <c r="R419" t="b">
        <f>AND(ISNUMBER(FIND($E419,Tables!$I$2)), ISNUMBER(FIND($D419,Tables!$J$2)), $E419&lt;&gt;"")</f>
        <v>0</v>
      </c>
    </row>
    <row r="420" spans="1:18" x14ac:dyDescent="0.3">
      <c r="A420">
        <f t="shared" si="36"/>
        <v>403</v>
      </c>
      <c r="B420" s="4"/>
      <c r="I420" s="8"/>
      <c r="J420" s="5" t="str">
        <f t="shared" si="34"/>
        <v/>
      </c>
      <c r="K420" s="3"/>
      <c r="L420" s="3" t="str">
        <f t="shared" si="33"/>
        <v/>
      </c>
      <c r="N420" s="3" t="str">
        <f t="shared" si="32"/>
        <v/>
      </c>
      <c r="O420" s="6" t="str">
        <f t="shared" si="35"/>
        <v/>
      </c>
      <c r="P420" s="7">
        <f ca="1">SUMIFS($N$2:$N420,$B$2:$B420,"&lt;&gt;"&amp;B420)+SUM($Q$2:$Q420)</f>
        <v>135.05500000000001</v>
      </c>
      <c r="R420" t="b">
        <f>AND(ISNUMBER(FIND($E420,Tables!$I$2)), ISNUMBER(FIND($D420,Tables!$J$2)), $E420&lt;&gt;"")</f>
        <v>0</v>
      </c>
    </row>
    <row r="421" spans="1:18" x14ac:dyDescent="0.3">
      <c r="A421">
        <f t="shared" si="36"/>
        <v>404</v>
      </c>
      <c r="B421" s="4"/>
      <c r="I421" s="8"/>
      <c r="J421" s="5" t="str">
        <f t="shared" si="34"/>
        <v/>
      </c>
      <c r="K421" s="3"/>
      <c r="L421" s="3" t="str">
        <f t="shared" si="33"/>
        <v/>
      </c>
      <c r="N421" s="3" t="str">
        <f t="shared" si="32"/>
        <v/>
      </c>
      <c r="O421" s="6" t="str">
        <f t="shared" si="35"/>
        <v/>
      </c>
      <c r="P421" s="7">
        <f ca="1">SUMIFS($N$2:$N421,$B$2:$B421,"&lt;&gt;"&amp;B421)+SUM($Q$2:$Q421)</f>
        <v>135.05500000000001</v>
      </c>
      <c r="R421" t="b">
        <f>AND(ISNUMBER(FIND($E421,Tables!$I$2)), ISNUMBER(FIND($D421,Tables!$J$2)), $E421&lt;&gt;"")</f>
        <v>0</v>
      </c>
    </row>
    <row r="422" spans="1:18" x14ac:dyDescent="0.3">
      <c r="A422">
        <f t="shared" si="36"/>
        <v>405</v>
      </c>
      <c r="B422" s="4"/>
      <c r="I422" s="8"/>
      <c r="J422" s="5" t="str">
        <f t="shared" si="34"/>
        <v/>
      </c>
      <c r="K422" s="3"/>
      <c r="L422" s="3" t="str">
        <f t="shared" si="33"/>
        <v/>
      </c>
      <c r="N422" s="3" t="str">
        <f t="shared" si="32"/>
        <v/>
      </c>
      <c r="O422" s="6" t="str">
        <f t="shared" si="35"/>
        <v/>
      </c>
      <c r="P422" s="7">
        <f ca="1">SUMIFS($N$2:$N422,$B$2:$B422,"&lt;&gt;"&amp;B422)+SUM($Q$2:$Q422)</f>
        <v>135.05500000000001</v>
      </c>
      <c r="R422" t="b">
        <f>AND(ISNUMBER(FIND($E422,Tables!$I$2)), ISNUMBER(FIND($D422,Tables!$J$2)), $E422&lt;&gt;"")</f>
        <v>0</v>
      </c>
    </row>
    <row r="423" spans="1:18" x14ac:dyDescent="0.3">
      <c r="A423">
        <f t="shared" si="36"/>
        <v>406</v>
      </c>
      <c r="B423" s="4"/>
      <c r="I423" s="8"/>
      <c r="J423" s="5" t="str">
        <f t="shared" si="34"/>
        <v/>
      </c>
      <c r="K423" s="3"/>
      <c r="L423" s="3" t="str">
        <f t="shared" si="33"/>
        <v/>
      </c>
      <c r="N423" s="3" t="str">
        <f t="shared" si="32"/>
        <v/>
      </c>
      <c r="O423" s="6" t="str">
        <f t="shared" si="35"/>
        <v/>
      </c>
      <c r="P423" s="7">
        <f ca="1">SUMIFS($N$2:$N423,$B$2:$B423,"&lt;&gt;"&amp;B423)+SUM($Q$2:$Q423)</f>
        <v>135.05500000000001</v>
      </c>
      <c r="R423" t="b">
        <f>AND(ISNUMBER(FIND($E423,Tables!$I$2)), ISNUMBER(FIND($D423,Tables!$J$2)), $E423&lt;&gt;"")</f>
        <v>0</v>
      </c>
    </row>
    <row r="424" spans="1:18" x14ac:dyDescent="0.3">
      <c r="A424">
        <f t="shared" si="36"/>
        <v>407</v>
      </c>
      <c r="B424" s="4"/>
      <c r="I424" s="8"/>
      <c r="J424" s="5" t="str">
        <f t="shared" si="34"/>
        <v/>
      </c>
      <c r="K424" s="3"/>
      <c r="L424" s="3" t="str">
        <f t="shared" si="33"/>
        <v/>
      </c>
      <c r="N424" s="3" t="str">
        <f t="shared" ref="N424:N487" si="37">IF(L424 = "", "", IF(M424="", "", IF(OR(M424="Draw",M424="NC"), 0, IF(M424="win", L424, -1*K424))))</f>
        <v/>
      </c>
      <c r="O424" s="6" t="str">
        <f t="shared" si="35"/>
        <v/>
      </c>
      <c r="P424" s="7">
        <f ca="1">SUMIFS($N$2:$N424,$B$2:$B424,"&lt;&gt;"&amp;B424)+SUM($Q$2:$Q424)</f>
        <v>135.05500000000001</v>
      </c>
      <c r="R424" t="b">
        <f>AND(ISNUMBER(FIND($E424,Tables!$I$2)), ISNUMBER(FIND($D424,Tables!$J$2)), $E424&lt;&gt;"")</f>
        <v>0</v>
      </c>
    </row>
    <row r="425" spans="1:18" x14ac:dyDescent="0.3">
      <c r="A425">
        <f t="shared" si="36"/>
        <v>408</v>
      </c>
      <c r="B425" s="4"/>
      <c r="I425" s="8"/>
      <c r="J425" s="5" t="str">
        <f t="shared" si="34"/>
        <v/>
      </c>
      <c r="K425" s="3"/>
      <c r="L425" s="3" t="str">
        <f t="shared" si="33"/>
        <v/>
      </c>
      <c r="N425" s="3" t="str">
        <f t="shared" si="37"/>
        <v/>
      </c>
      <c r="O425" s="6" t="str">
        <f t="shared" si="35"/>
        <v/>
      </c>
      <c r="P425" s="7">
        <f ca="1">SUMIFS($N$2:$N425,$B$2:$B425,"&lt;&gt;"&amp;B425)+SUM($Q$2:$Q425)</f>
        <v>135.05500000000001</v>
      </c>
      <c r="R425" t="b">
        <f>AND(ISNUMBER(FIND($E425,Tables!$I$2)), ISNUMBER(FIND($D425,Tables!$J$2)), $E425&lt;&gt;"")</f>
        <v>0</v>
      </c>
    </row>
    <row r="426" spans="1:18" x14ac:dyDescent="0.3">
      <c r="A426">
        <f t="shared" si="36"/>
        <v>409</v>
      </c>
      <c r="B426" s="4"/>
      <c r="I426" s="8"/>
      <c r="J426" s="5" t="str">
        <f t="shared" si="34"/>
        <v/>
      </c>
      <c r="K426" s="3"/>
      <c r="L426" s="3" t="str">
        <f t="shared" si="33"/>
        <v/>
      </c>
      <c r="N426" s="3" t="str">
        <f t="shared" si="37"/>
        <v/>
      </c>
      <c r="O426" s="6" t="str">
        <f t="shared" si="35"/>
        <v/>
      </c>
      <c r="P426" s="7">
        <f ca="1">SUMIFS($N$2:$N426,$B$2:$B426,"&lt;&gt;"&amp;B426)+SUM($Q$2:$Q426)</f>
        <v>135.05500000000001</v>
      </c>
      <c r="R426" t="b">
        <f>AND(ISNUMBER(FIND($E426,Tables!$I$2)), ISNUMBER(FIND($D426,Tables!$J$2)), $E426&lt;&gt;"")</f>
        <v>0</v>
      </c>
    </row>
    <row r="427" spans="1:18" x14ac:dyDescent="0.3">
      <c r="A427">
        <f t="shared" si="36"/>
        <v>410</v>
      </c>
      <c r="B427" s="4"/>
      <c r="I427" s="8"/>
      <c r="J427" s="5" t="str">
        <f t="shared" si="34"/>
        <v/>
      </c>
      <c r="K427" s="3"/>
      <c r="L427" s="3" t="str">
        <f t="shared" si="33"/>
        <v/>
      </c>
      <c r="N427" s="3" t="str">
        <f t="shared" si="37"/>
        <v/>
      </c>
      <c r="O427" s="6" t="str">
        <f t="shared" si="35"/>
        <v/>
      </c>
      <c r="P427" s="7">
        <f ca="1">SUMIFS($N$2:$N427,$B$2:$B427,"&lt;&gt;"&amp;B427)+SUM($Q$2:$Q427)</f>
        <v>135.05500000000001</v>
      </c>
      <c r="R427" t="b">
        <f>AND(ISNUMBER(FIND($E427,Tables!$I$2)), ISNUMBER(FIND($D427,Tables!$J$2)), $E427&lt;&gt;"")</f>
        <v>0</v>
      </c>
    </row>
    <row r="428" spans="1:18" x14ac:dyDescent="0.3">
      <c r="A428">
        <f t="shared" si="36"/>
        <v>411</v>
      </c>
      <c r="B428" s="4"/>
      <c r="I428" s="8"/>
      <c r="J428" s="5" t="str">
        <f t="shared" si="34"/>
        <v/>
      </c>
      <c r="K428" s="3"/>
      <c r="L428" s="3" t="str">
        <f t="shared" si="33"/>
        <v/>
      </c>
      <c r="N428" s="3" t="str">
        <f t="shared" si="37"/>
        <v/>
      </c>
      <c r="O428" s="6" t="str">
        <f t="shared" si="35"/>
        <v/>
      </c>
      <c r="P428" s="7">
        <f ca="1">SUMIFS($N$2:$N428,$B$2:$B428,"&lt;&gt;"&amp;B428)+SUM($Q$2:$Q428)</f>
        <v>135.05500000000001</v>
      </c>
      <c r="R428" t="b">
        <f>AND(ISNUMBER(FIND($E428,Tables!$I$2)), ISNUMBER(FIND($D428,Tables!$J$2)), $E428&lt;&gt;"")</f>
        <v>0</v>
      </c>
    </row>
    <row r="429" spans="1:18" x14ac:dyDescent="0.3">
      <c r="A429">
        <f t="shared" si="36"/>
        <v>412</v>
      </c>
      <c r="B429" s="4"/>
      <c r="I429" s="8"/>
      <c r="J429" s="5" t="str">
        <f t="shared" si="34"/>
        <v/>
      </c>
      <c r="K429" s="3"/>
      <c r="L429" s="3" t="str">
        <f t="shared" si="33"/>
        <v/>
      </c>
      <c r="N429" s="3" t="str">
        <f t="shared" si="37"/>
        <v/>
      </c>
      <c r="O429" s="6" t="str">
        <f t="shared" si="35"/>
        <v/>
      </c>
      <c r="P429" s="7">
        <f ca="1">SUMIFS($N$2:$N429,$B$2:$B429,"&lt;&gt;"&amp;B429)+SUM($Q$2:$Q429)</f>
        <v>135.05500000000001</v>
      </c>
      <c r="R429" t="b">
        <f>AND(ISNUMBER(FIND($E429,Tables!$I$2)), ISNUMBER(FIND($D429,Tables!$J$2)), $E429&lt;&gt;"")</f>
        <v>0</v>
      </c>
    </row>
    <row r="430" spans="1:18" x14ac:dyDescent="0.3">
      <c r="A430">
        <f t="shared" si="36"/>
        <v>413</v>
      </c>
      <c r="B430" s="4"/>
      <c r="I430" s="8"/>
      <c r="J430" s="5" t="str">
        <f t="shared" si="34"/>
        <v/>
      </c>
      <c r="K430" s="3"/>
      <c r="L430" s="3" t="str">
        <f t="shared" si="33"/>
        <v/>
      </c>
      <c r="N430" s="3" t="str">
        <f t="shared" si="37"/>
        <v/>
      </c>
      <c r="O430" s="6" t="str">
        <f t="shared" si="35"/>
        <v/>
      </c>
      <c r="P430" s="7">
        <f ca="1">SUMIFS($N$2:$N430,$B$2:$B430,"&lt;&gt;"&amp;B430)+SUM($Q$2:$Q430)</f>
        <v>135.05500000000001</v>
      </c>
      <c r="R430" t="b">
        <f>AND(ISNUMBER(FIND($E430,Tables!$I$2)), ISNUMBER(FIND($D430,Tables!$J$2)), $E430&lt;&gt;"")</f>
        <v>0</v>
      </c>
    </row>
    <row r="431" spans="1:18" x14ac:dyDescent="0.3">
      <c r="A431">
        <f t="shared" si="36"/>
        <v>414</v>
      </c>
      <c r="B431" s="4"/>
      <c r="I431" s="8"/>
      <c r="J431" s="5" t="str">
        <f t="shared" si="34"/>
        <v/>
      </c>
      <c r="K431" s="3"/>
      <c r="L431" s="3" t="str">
        <f t="shared" si="33"/>
        <v/>
      </c>
      <c r="N431" s="3" t="str">
        <f t="shared" si="37"/>
        <v/>
      </c>
      <c r="O431" s="6" t="str">
        <f t="shared" si="35"/>
        <v/>
      </c>
      <c r="P431" s="7">
        <f ca="1">SUMIFS($N$2:$N431,$B$2:$B431,"&lt;&gt;"&amp;B431)+SUM($Q$2:$Q431)</f>
        <v>135.05500000000001</v>
      </c>
      <c r="R431" t="b">
        <f>AND(ISNUMBER(FIND($E431,Tables!$I$2)), ISNUMBER(FIND($D431,Tables!$J$2)), $E431&lt;&gt;"")</f>
        <v>0</v>
      </c>
    </row>
    <row r="432" spans="1:18" x14ac:dyDescent="0.3">
      <c r="A432">
        <f t="shared" si="36"/>
        <v>415</v>
      </c>
      <c r="B432" s="4"/>
      <c r="I432" s="8"/>
      <c r="J432" s="5" t="str">
        <f t="shared" si="34"/>
        <v/>
      </c>
      <c r="K432" s="3"/>
      <c r="L432" s="3" t="str">
        <f t="shared" si="33"/>
        <v/>
      </c>
      <c r="N432" s="3" t="str">
        <f t="shared" si="37"/>
        <v/>
      </c>
      <c r="O432" s="6" t="str">
        <f t="shared" si="35"/>
        <v/>
      </c>
      <c r="P432" s="7">
        <f ca="1">SUMIFS($N$2:$N432,$B$2:$B432,"&lt;&gt;"&amp;B432)+SUM($Q$2:$Q432)</f>
        <v>135.05500000000001</v>
      </c>
      <c r="R432" t="b">
        <f>AND(ISNUMBER(FIND($E432,Tables!$I$2)), ISNUMBER(FIND($D432,Tables!$J$2)), $E432&lt;&gt;"")</f>
        <v>0</v>
      </c>
    </row>
    <row r="433" spans="1:18" x14ac:dyDescent="0.3">
      <c r="A433">
        <f t="shared" si="36"/>
        <v>416</v>
      </c>
      <c r="B433" s="4"/>
      <c r="I433" s="8"/>
      <c r="J433" s="5" t="str">
        <f t="shared" si="34"/>
        <v/>
      </c>
      <c r="K433" s="3"/>
      <c r="L433" s="3" t="str">
        <f t="shared" si="33"/>
        <v/>
      </c>
      <c r="N433" s="3" t="str">
        <f t="shared" si="37"/>
        <v/>
      </c>
      <c r="O433" s="6" t="str">
        <f t="shared" si="35"/>
        <v/>
      </c>
      <c r="P433" s="7">
        <f ca="1">SUMIFS($N$2:$N433,$B$2:$B433,"&lt;&gt;"&amp;B433)+SUM($Q$2:$Q433)</f>
        <v>135.05500000000001</v>
      </c>
      <c r="R433" t="b">
        <f>AND(ISNUMBER(FIND($E433,Tables!$I$2)), ISNUMBER(FIND($D433,Tables!$J$2)), $E433&lt;&gt;"")</f>
        <v>0</v>
      </c>
    </row>
    <row r="434" spans="1:18" x14ac:dyDescent="0.3">
      <c r="A434">
        <f t="shared" si="36"/>
        <v>417</v>
      </c>
      <c r="B434" s="4"/>
      <c r="I434" s="8"/>
      <c r="J434" s="5" t="str">
        <f t="shared" si="34"/>
        <v/>
      </c>
      <c r="K434" s="3"/>
      <c r="L434" s="3" t="str">
        <f t="shared" ref="L434:L497" si="38">IFERROR(IF(K434=0, "", IF(I434&gt;0, K434/100*I434,K434/I434*-100)), "")</f>
        <v/>
      </c>
      <c r="N434" s="3" t="str">
        <f t="shared" si="37"/>
        <v/>
      </c>
      <c r="O434" s="6" t="str">
        <f t="shared" si="35"/>
        <v/>
      </c>
      <c r="P434" s="7">
        <f ca="1">SUMIFS($N$2:$N434,$B$2:$B434,"&lt;&gt;"&amp;B434)+SUM($Q$2:$Q434)</f>
        <v>135.05500000000001</v>
      </c>
      <c r="R434" t="b">
        <f>AND(ISNUMBER(FIND($E434,Tables!$I$2)), ISNUMBER(FIND($D434,Tables!$J$2)), $E434&lt;&gt;"")</f>
        <v>0</v>
      </c>
    </row>
    <row r="435" spans="1:18" x14ac:dyDescent="0.3">
      <c r="A435">
        <f t="shared" si="36"/>
        <v>418</v>
      </c>
      <c r="B435" s="4"/>
      <c r="I435" s="8"/>
      <c r="J435" s="5" t="str">
        <f t="shared" si="34"/>
        <v/>
      </c>
      <c r="K435" s="3"/>
      <c r="L435" s="3" t="str">
        <f t="shared" si="38"/>
        <v/>
      </c>
      <c r="N435" s="3" t="str">
        <f t="shared" si="37"/>
        <v/>
      </c>
      <c r="O435" s="6" t="str">
        <f t="shared" si="35"/>
        <v/>
      </c>
      <c r="P435" s="7">
        <f ca="1">SUMIFS($N$2:$N435,$B$2:$B435,"&lt;&gt;"&amp;B435)+SUM($Q$2:$Q435)</f>
        <v>135.05500000000001</v>
      </c>
      <c r="R435" t="b">
        <f>AND(ISNUMBER(FIND($E435,Tables!$I$2)), ISNUMBER(FIND($D435,Tables!$J$2)), $E435&lt;&gt;"")</f>
        <v>0</v>
      </c>
    </row>
    <row r="436" spans="1:18" x14ac:dyDescent="0.3">
      <c r="A436">
        <f t="shared" si="36"/>
        <v>419</v>
      </c>
      <c r="B436" s="4"/>
      <c r="I436" s="8"/>
      <c r="J436" s="5" t="str">
        <f t="shared" si="34"/>
        <v/>
      </c>
      <c r="K436" s="3"/>
      <c r="L436" s="3" t="str">
        <f t="shared" si="38"/>
        <v/>
      </c>
      <c r="N436" s="3" t="str">
        <f t="shared" si="37"/>
        <v/>
      </c>
      <c r="O436" s="6" t="str">
        <f t="shared" si="35"/>
        <v/>
      </c>
      <c r="P436" s="7">
        <f ca="1">SUMIFS($N$2:$N436,$B$2:$B436,"&lt;&gt;"&amp;B436)+SUM($Q$2:$Q436)</f>
        <v>135.05500000000001</v>
      </c>
      <c r="R436" t="b">
        <f>AND(ISNUMBER(FIND($E436,Tables!$I$2)), ISNUMBER(FIND($D436,Tables!$J$2)), $E436&lt;&gt;"")</f>
        <v>0</v>
      </c>
    </row>
    <row r="437" spans="1:18" x14ac:dyDescent="0.3">
      <c r="A437">
        <f t="shared" si="36"/>
        <v>420</v>
      </c>
      <c r="B437" s="4"/>
      <c r="I437" s="8"/>
      <c r="J437" s="5" t="str">
        <f t="shared" si="34"/>
        <v/>
      </c>
      <c r="K437" s="3"/>
      <c r="L437" s="3" t="str">
        <f t="shared" si="38"/>
        <v/>
      </c>
      <c r="N437" s="3" t="str">
        <f t="shared" si="37"/>
        <v/>
      </c>
      <c r="O437" s="6" t="str">
        <f t="shared" si="35"/>
        <v/>
      </c>
      <c r="P437" s="7">
        <f ca="1">SUMIFS($N$2:$N437,$B$2:$B437,"&lt;&gt;"&amp;B437)+SUM($Q$2:$Q437)</f>
        <v>135.05500000000001</v>
      </c>
      <c r="R437" t="b">
        <f>AND(ISNUMBER(FIND($E437,Tables!$I$2)), ISNUMBER(FIND($D437,Tables!$J$2)), $E437&lt;&gt;"")</f>
        <v>0</v>
      </c>
    </row>
    <row r="438" spans="1:18" x14ac:dyDescent="0.3">
      <c r="A438">
        <f t="shared" si="36"/>
        <v>421</v>
      </c>
      <c r="B438" s="4"/>
      <c r="I438" s="8"/>
      <c r="J438" s="5" t="str">
        <f t="shared" si="34"/>
        <v/>
      </c>
      <c r="K438" s="3"/>
      <c r="L438" s="3" t="str">
        <f t="shared" si="38"/>
        <v/>
      </c>
      <c r="N438" s="3" t="str">
        <f t="shared" si="37"/>
        <v/>
      </c>
      <c r="O438" s="6" t="str">
        <f t="shared" si="35"/>
        <v/>
      </c>
      <c r="P438" s="7">
        <f ca="1">SUMIFS($N$2:$N438,$B$2:$B438,"&lt;&gt;"&amp;B438)+SUM($Q$2:$Q438)</f>
        <v>135.05500000000001</v>
      </c>
      <c r="R438" t="b">
        <f>AND(ISNUMBER(FIND($E438,Tables!$I$2)), ISNUMBER(FIND($D438,Tables!$J$2)), $E438&lt;&gt;"")</f>
        <v>0</v>
      </c>
    </row>
    <row r="439" spans="1:18" x14ac:dyDescent="0.3">
      <c r="A439">
        <f t="shared" si="36"/>
        <v>422</v>
      </c>
      <c r="B439" s="4"/>
      <c r="I439" s="8"/>
      <c r="J439" s="5" t="str">
        <f t="shared" si="34"/>
        <v/>
      </c>
      <c r="K439" s="3"/>
      <c r="L439" s="3" t="str">
        <f t="shared" si="38"/>
        <v/>
      </c>
      <c r="N439" s="3" t="str">
        <f t="shared" si="37"/>
        <v/>
      </c>
      <c r="O439" s="6" t="str">
        <f t="shared" si="35"/>
        <v/>
      </c>
      <c r="P439" s="7">
        <f ca="1">SUMIFS($N$2:$N439,$B$2:$B439,"&lt;&gt;"&amp;B439)+SUM($Q$2:$Q439)</f>
        <v>135.05500000000001</v>
      </c>
      <c r="R439" t="b">
        <f>AND(ISNUMBER(FIND($E439,Tables!$I$2)), ISNUMBER(FIND($D439,Tables!$J$2)), $E439&lt;&gt;"")</f>
        <v>0</v>
      </c>
    </row>
    <row r="440" spans="1:18" x14ac:dyDescent="0.3">
      <c r="A440">
        <f t="shared" si="36"/>
        <v>423</v>
      </c>
      <c r="B440" s="4"/>
      <c r="I440" s="8"/>
      <c r="J440" s="5" t="str">
        <f t="shared" si="34"/>
        <v/>
      </c>
      <c r="K440" s="3"/>
      <c r="L440" s="3" t="str">
        <f t="shared" si="38"/>
        <v/>
      </c>
      <c r="N440" s="3" t="str">
        <f t="shared" si="37"/>
        <v/>
      </c>
      <c r="O440" s="6" t="str">
        <f t="shared" si="35"/>
        <v/>
      </c>
      <c r="P440" s="7">
        <f ca="1">SUMIFS($N$2:$N440,$B$2:$B440,"&lt;&gt;"&amp;B440)+SUM($Q$2:$Q440)</f>
        <v>135.05500000000001</v>
      </c>
      <c r="R440" t="b">
        <f>AND(ISNUMBER(FIND($E440,Tables!$I$2)), ISNUMBER(FIND($D440,Tables!$J$2)), $E440&lt;&gt;"")</f>
        <v>0</v>
      </c>
    </row>
    <row r="441" spans="1:18" x14ac:dyDescent="0.3">
      <c r="A441">
        <f t="shared" si="36"/>
        <v>424</v>
      </c>
      <c r="B441" s="4"/>
      <c r="I441" s="8"/>
      <c r="J441" s="5" t="str">
        <f t="shared" si="34"/>
        <v/>
      </c>
      <c r="K441" s="3"/>
      <c r="L441" s="3" t="str">
        <f t="shared" si="38"/>
        <v/>
      </c>
      <c r="N441" s="3" t="str">
        <f t="shared" si="37"/>
        <v/>
      </c>
      <c r="O441" s="6" t="str">
        <f t="shared" si="35"/>
        <v/>
      </c>
      <c r="P441" s="7">
        <f ca="1">SUMIFS($N$2:$N441,$B$2:$B441,"&lt;&gt;"&amp;B441)+SUM($Q$2:$Q441)</f>
        <v>135.05500000000001</v>
      </c>
      <c r="R441" t="b">
        <f>AND(ISNUMBER(FIND($E441,Tables!$I$2)), ISNUMBER(FIND($D441,Tables!$J$2)), $E441&lt;&gt;"")</f>
        <v>0</v>
      </c>
    </row>
    <row r="442" spans="1:18" x14ac:dyDescent="0.3">
      <c r="A442">
        <f t="shared" si="36"/>
        <v>425</v>
      </c>
      <c r="B442" s="4"/>
      <c r="I442" s="8"/>
      <c r="J442" s="5" t="str">
        <f t="shared" si="34"/>
        <v/>
      </c>
      <c r="K442" s="3"/>
      <c r="L442" s="3" t="str">
        <f t="shared" si="38"/>
        <v/>
      </c>
      <c r="N442" s="3" t="str">
        <f t="shared" si="37"/>
        <v/>
      </c>
      <c r="O442" s="6" t="str">
        <f t="shared" si="35"/>
        <v/>
      </c>
      <c r="P442" s="7">
        <f ca="1">SUMIFS($N$2:$N442,$B$2:$B442,"&lt;&gt;"&amp;B442)+SUM($Q$2:$Q442)</f>
        <v>135.05500000000001</v>
      </c>
      <c r="R442" t="b">
        <f>AND(ISNUMBER(FIND($E442,Tables!$I$2)), ISNUMBER(FIND($D442,Tables!$J$2)), $E442&lt;&gt;"")</f>
        <v>0</v>
      </c>
    </row>
    <row r="443" spans="1:18" x14ac:dyDescent="0.3">
      <c r="A443">
        <f t="shared" si="36"/>
        <v>426</v>
      </c>
      <c r="B443" s="4"/>
      <c r="I443" s="8"/>
      <c r="J443" s="5" t="str">
        <f t="shared" si="34"/>
        <v/>
      </c>
      <c r="K443" s="3"/>
      <c r="L443" s="3" t="str">
        <f t="shared" si="38"/>
        <v/>
      </c>
      <c r="N443" s="3" t="str">
        <f t="shared" si="37"/>
        <v/>
      </c>
      <c r="O443" s="6" t="str">
        <f t="shared" si="35"/>
        <v/>
      </c>
      <c r="P443" s="7">
        <f ca="1">SUMIFS($N$2:$N443,$B$2:$B443,"&lt;&gt;"&amp;B443)+SUM($Q$2:$Q443)</f>
        <v>135.05500000000001</v>
      </c>
      <c r="R443" t="b">
        <f>AND(ISNUMBER(FIND($E443,Tables!$I$2)), ISNUMBER(FIND($D443,Tables!$J$2)), $E443&lt;&gt;"")</f>
        <v>0</v>
      </c>
    </row>
    <row r="444" spans="1:18" x14ac:dyDescent="0.3">
      <c r="A444">
        <f t="shared" si="36"/>
        <v>427</v>
      </c>
      <c r="B444" s="4"/>
      <c r="I444" s="8"/>
      <c r="J444" s="5" t="str">
        <f t="shared" si="34"/>
        <v/>
      </c>
      <c r="K444" s="3"/>
      <c r="L444" s="3" t="str">
        <f t="shared" si="38"/>
        <v/>
      </c>
      <c r="N444" s="3" t="str">
        <f t="shared" si="37"/>
        <v/>
      </c>
      <c r="O444" s="6" t="str">
        <f t="shared" si="35"/>
        <v/>
      </c>
      <c r="P444" s="7">
        <f ca="1">SUMIFS($N$2:$N444,$B$2:$B444,"&lt;&gt;"&amp;B444)+SUM($Q$2:$Q444)</f>
        <v>135.05500000000001</v>
      </c>
      <c r="R444" t="b">
        <f>AND(ISNUMBER(FIND($E444,Tables!$I$2)), ISNUMBER(FIND($D444,Tables!$J$2)), $E444&lt;&gt;"")</f>
        <v>0</v>
      </c>
    </row>
    <row r="445" spans="1:18" x14ac:dyDescent="0.3">
      <c r="A445">
        <f t="shared" si="36"/>
        <v>428</v>
      </c>
      <c r="B445" s="4"/>
      <c r="I445" s="8"/>
      <c r="J445" s="5" t="str">
        <f t="shared" si="34"/>
        <v/>
      </c>
      <c r="K445" s="3"/>
      <c r="L445" s="3" t="str">
        <f t="shared" si="38"/>
        <v/>
      </c>
      <c r="N445" s="3" t="str">
        <f t="shared" si="37"/>
        <v/>
      </c>
      <c r="O445" s="6" t="str">
        <f t="shared" si="35"/>
        <v/>
      </c>
      <c r="P445" s="7">
        <f ca="1">SUMIFS($N$2:$N445,$B$2:$B445,"&lt;&gt;"&amp;B445)+SUM($Q$2:$Q445)</f>
        <v>135.05500000000001</v>
      </c>
      <c r="R445" t="b">
        <f>AND(ISNUMBER(FIND($E445,Tables!$I$2)), ISNUMBER(FIND($D445,Tables!$J$2)), $E445&lt;&gt;"")</f>
        <v>0</v>
      </c>
    </row>
    <row r="446" spans="1:18" x14ac:dyDescent="0.3">
      <c r="A446">
        <f t="shared" si="36"/>
        <v>429</v>
      </c>
      <c r="B446" s="4"/>
      <c r="I446" s="8"/>
      <c r="J446" s="5" t="str">
        <f t="shared" si="34"/>
        <v/>
      </c>
      <c r="K446" s="3"/>
      <c r="L446" s="3" t="str">
        <f t="shared" si="38"/>
        <v/>
      </c>
      <c r="N446" s="3" t="str">
        <f t="shared" si="37"/>
        <v/>
      </c>
      <c r="O446" s="6" t="str">
        <f t="shared" si="35"/>
        <v/>
      </c>
      <c r="P446" s="7">
        <f ca="1">SUMIFS($N$2:$N446,$B$2:$B446,"&lt;&gt;"&amp;B446)+SUM($Q$2:$Q446)</f>
        <v>135.05500000000001</v>
      </c>
      <c r="R446" t="b">
        <f>AND(ISNUMBER(FIND($E446,Tables!$I$2)), ISNUMBER(FIND($D446,Tables!$J$2)), $E446&lt;&gt;"")</f>
        <v>0</v>
      </c>
    </row>
    <row r="447" spans="1:18" x14ac:dyDescent="0.3">
      <c r="A447">
        <f t="shared" si="36"/>
        <v>430</v>
      </c>
      <c r="B447" s="4"/>
      <c r="I447" s="8"/>
      <c r="J447" s="5" t="str">
        <f t="shared" si="34"/>
        <v/>
      </c>
      <c r="K447" s="3"/>
      <c r="L447" s="3" t="str">
        <f t="shared" si="38"/>
        <v/>
      </c>
      <c r="N447" s="3" t="str">
        <f t="shared" si="37"/>
        <v/>
      </c>
      <c r="O447" s="6" t="str">
        <f t="shared" si="35"/>
        <v/>
      </c>
      <c r="P447" s="7">
        <f ca="1">SUMIFS($N$2:$N447,$B$2:$B447,"&lt;&gt;"&amp;B447)+SUM($Q$2:$Q447)</f>
        <v>135.05500000000001</v>
      </c>
      <c r="R447" t="b">
        <f>AND(ISNUMBER(FIND($E447,Tables!$I$2)), ISNUMBER(FIND($D447,Tables!$J$2)), $E447&lt;&gt;"")</f>
        <v>0</v>
      </c>
    </row>
    <row r="448" spans="1:18" x14ac:dyDescent="0.3">
      <c r="A448">
        <f t="shared" si="36"/>
        <v>431</v>
      </c>
      <c r="B448" s="4"/>
      <c r="I448" s="8"/>
      <c r="J448" s="5" t="str">
        <f t="shared" si="34"/>
        <v/>
      </c>
      <c r="K448" s="3"/>
      <c r="L448" s="3" t="str">
        <f t="shared" si="38"/>
        <v/>
      </c>
      <c r="N448" s="3" t="str">
        <f t="shared" si="37"/>
        <v/>
      </c>
      <c r="O448" s="6" t="str">
        <f t="shared" si="35"/>
        <v/>
      </c>
      <c r="P448" s="7">
        <f ca="1">SUMIFS($N$2:$N448,$B$2:$B448,"&lt;&gt;"&amp;B448)+SUM($Q$2:$Q448)</f>
        <v>135.05500000000001</v>
      </c>
      <c r="R448" t="b">
        <f>AND(ISNUMBER(FIND($E448,Tables!$I$2)), ISNUMBER(FIND($D448,Tables!$J$2)), $E448&lt;&gt;"")</f>
        <v>0</v>
      </c>
    </row>
    <row r="449" spans="1:18" x14ac:dyDescent="0.3">
      <c r="A449">
        <f t="shared" si="36"/>
        <v>432</v>
      </c>
      <c r="B449" s="4"/>
      <c r="I449" s="8"/>
      <c r="J449" s="5" t="str">
        <f t="shared" si="34"/>
        <v/>
      </c>
      <c r="K449" s="3"/>
      <c r="L449" s="3" t="str">
        <f t="shared" si="38"/>
        <v/>
      </c>
      <c r="N449" s="3" t="str">
        <f t="shared" si="37"/>
        <v/>
      </c>
      <c r="O449" s="6" t="str">
        <f t="shared" si="35"/>
        <v/>
      </c>
      <c r="P449" s="7">
        <f ca="1">SUMIFS($N$2:$N449,$B$2:$B449,"&lt;&gt;"&amp;B449)+SUM($Q$2:$Q449)</f>
        <v>135.05500000000001</v>
      </c>
      <c r="R449" t="b">
        <f>AND(ISNUMBER(FIND($E449,Tables!$I$2)), ISNUMBER(FIND($D449,Tables!$J$2)), $E449&lt;&gt;"")</f>
        <v>0</v>
      </c>
    </row>
    <row r="450" spans="1:18" x14ac:dyDescent="0.3">
      <c r="A450">
        <f t="shared" si="36"/>
        <v>433</v>
      </c>
      <c r="B450" s="4"/>
      <c r="I450" s="8"/>
      <c r="J450" s="5" t="str">
        <f t="shared" ref="J450:J513" si="39">IF(I450="", "", IF(I450&gt;0, I450/100 +1, -100/I450 +1))</f>
        <v/>
      </c>
      <c r="K450" s="3"/>
      <c r="L450" s="3" t="str">
        <f t="shared" si="38"/>
        <v/>
      </c>
      <c r="N450" s="3" t="str">
        <f t="shared" si="37"/>
        <v/>
      </c>
      <c r="O450" s="6" t="str">
        <f t="shared" ref="O450:O513" si="40">IFERROR(K450/VLOOKUP(_xlfn.MINIFS(A:A,B:B,B450,C:C,C450),A:P,16),"")</f>
        <v/>
      </c>
      <c r="P450" s="7">
        <f ca="1">SUMIFS($N$2:$N450,$B$2:$B450,"&lt;&gt;"&amp;B450)+SUM($Q$2:$Q450)</f>
        <v>135.05500000000001</v>
      </c>
      <c r="R450" t="b">
        <f>AND(ISNUMBER(FIND($E450,Tables!$I$2)), ISNUMBER(FIND($D450,Tables!$J$2)), $E450&lt;&gt;"")</f>
        <v>0</v>
      </c>
    </row>
    <row r="451" spans="1:18" x14ac:dyDescent="0.3">
      <c r="A451">
        <f t="shared" si="36"/>
        <v>434</v>
      </c>
      <c r="B451" s="4"/>
      <c r="I451" s="8"/>
      <c r="J451" s="5" t="str">
        <f t="shared" si="39"/>
        <v/>
      </c>
      <c r="K451" s="3"/>
      <c r="L451" s="3" t="str">
        <f t="shared" si="38"/>
        <v/>
      </c>
      <c r="N451" s="3" t="str">
        <f t="shared" si="37"/>
        <v/>
      </c>
      <c r="O451" s="6" t="str">
        <f t="shared" si="40"/>
        <v/>
      </c>
      <c r="P451" s="7">
        <f ca="1">SUMIFS($N$2:$N451,$B$2:$B451,"&lt;&gt;"&amp;B451)+SUM($Q$2:$Q451)</f>
        <v>135.05500000000001</v>
      </c>
      <c r="R451" t="b">
        <f>AND(ISNUMBER(FIND($E451,Tables!$I$2)), ISNUMBER(FIND($D451,Tables!$J$2)), $E451&lt;&gt;"")</f>
        <v>0</v>
      </c>
    </row>
    <row r="452" spans="1:18" x14ac:dyDescent="0.3">
      <c r="A452">
        <f t="shared" si="36"/>
        <v>435</v>
      </c>
      <c r="B452" s="4"/>
      <c r="I452" s="8"/>
      <c r="J452" s="5" t="str">
        <f t="shared" si="39"/>
        <v/>
      </c>
      <c r="K452" s="3"/>
      <c r="L452" s="3" t="str">
        <f t="shared" si="38"/>
        <v/>
      </c>
      <c r="N452" s="3" t="str">
        <f t="shared" si="37"/>
        <v/>
      </c>
      <c r="O452" s="6" t="str">
        <f t="shared" si="40"/>
        <v/>
      </c>
      <c r="P452" s="7">
        <f ca="1">SUMIFS($N$2:$N452,$B$2:$B452,"&lt;&gt;"&amp;B452)+SUM($Q$2:$Q452)</f>
        <v>135.05500000000001</v>
      </c>
      <c r="R452" t="b">
        <f>AND(ISNUMBER(FIND($E452,Tables!$I$2)), ISNUMBER(FIND($D452,Tables!$J$2)), $E452&lt;&gt;"")</f>
        <v>0</v>
      </c>
    </row>
    <row r="453" spans="1:18" x14ac:dyDescent="0.3">
      <c r="A453">
        <f t="shared" si="36"/>
        <v>436</v>
      </c>
      <c r="B453" s="4"/>
      <c r="I453" s="8"/>
      <c r="J453" s="5" t="str">
        <f t="shared" si="39"/>
        <v/>
      </c>
      <c r="K453" s="3"/>
      <c r="L453" s="3" t="str">
        <f t="shared" si="38"/>
        <v/>
      </c>
      <c r="N453" s="3" t="str">
        <f t="shared" si="37"/>
        <v/>
      </c>
      <c r="O453" s="6" t="str">
        <f t="shared" si="40"/>
        <v/>
      </c>
      <c r="P453" s="7">
        <f ca="1">SUMIFS($N$2:$N453,$B$2:$B453,"&lt;&gt;"&amp;B453)+SUM($Q$2:$Q453)</f>
        <v>135.05500000000001</v>
      </c>
      <c r="R453" t="b">
        <f>AND(ISNUMBER(FIND($E453,Tables!$I$2)), ISNUMBER(FIND($D453,Tables!$J$2)), $E453&lt;&gt;"")</f>
        <v>0</v>
      </c>
    </row>
    <row r="454" spans="1:18" x14ac:dyDescent="0.3">
      <c r="A454">
        <f t="shared" si="36"/>
        <v>437</v>
      </c>
      <c r="B454" s="4"/>
      <c r="I454" s="8"/>
      <c r="J454" s="5" t="str">
        <f t="shared" si="39"/>
        <v/>
      </c>
      <c r="K454" s="3"/>
      <c r="L454" s="3" t="str">
        <f t="shared" si="38"/>
        <v/>
      </c>
      <c r="N454" s="3" t="str">
        <f t="shared" si="37"/>
        <v/>
      </c>
      <c r="O454" s="6" t="str">
        <f t="shared" si="40"/>
        <v/>
      </c>
      <c r="P454" s="7">
        <f ca="1">SUMIFS($N$2:$N454,$B$2:$B454,"&lt;&gt;"&amp;B454)+SUM($Q$2:$Q454)</f>
        <v>135.05500000000001</v>
      </c>
      <c r="R454" t="b">
        <f>AND(ISNUMBER(FIND($E454,Tables!$I$2)), ISNUMBER(FIND($D454,Tables!$J$2)), $E454&lt;&gt;"")</f>
        <v>0</v>
      </c>
    </row>
    <row r="455" spans="1:18" x14ac:dyDescent="0.3">
      <c r="A455">
        <f t="shared" si="36"/>
        <v>438</v>
      </c>
      <c r="B455" s="4"/>
      <c r="I455" s="8"/>
      <c r="J455" s="5" t="str">
        <f t="shared" si="39"/>
        <v/>
      </c>
      <c r="K455" s="3"/>
      <c r="L455" s="3" t="str">
        <f t="shared" si="38"/>
        <v/>
      </c>
      <c r="N455" s="3" t="str">
        <f t="shared" si="37"/>
        <v/>
      </c>
      <c r="O455" s="6" t="str">
        <f t="shared" si="40"/>
        <v/>
      </c>
      <c r="P455" s="7">
        <f ca="1">SUMIFS($N$2:$N455,$B$2:$B455,"&lt;&gt;"&amp;B455)+SUM($Q$2:$Q455)</f>
        <v>135.05500000000001</v>
      </c>
      <c r="R455" t="b">
        <f>AND(ISNUMBER(FIND($E455,Tables!$I$2)), ISNUMBER(FIND($D455,Tables!$J$2)), $E455&lt;&gt;"")</f>
        <v>0</v>
      </c>
    </row>
    <row r="456" spans="1:18" x14ac:dyDescent="0.3">
      <c r="A456">
        <f t="shared" si="36"/>
        <v>439</v>
      </c>
      <c r="B456" s="4"/>
      <c r="I456" s="8"/>
      <c r="J456" s="5" t="str">
        <f t="shared" si="39"/>
        <v/>
      </c>
      <c r="K456" s="3"/>
      <c r="L456" s="3" t="str">
        <f t="shared" si="38"/>
        <v/>
      </c>
      <c r="N456" s="3" t="str">
        <f t="shared" si="37"/>
        <v/>
      </c>
      <c r="O456" s="6" t="str">
        <f t="shared" si="40"/>
        <v/>
      </c>
      <c r="P456" s="7">
        <f ca="1">SUMIFS($N$2:$N456,$B$2:$B456,"&lt;&gt;"&amp;B456)+SUM($Q$2:$Q456)</f>
        <v>135.05500000000001</v>
      </c>
      <c r="R456" t="b">
        <f>AND(ISNUMBER(FIND($E456,Tables!$I$2)), ISNUMBER(FIND($D456,Tables!$J$2)), $E456&lt;&gt;"")</f>
        <v>0</v>
      </c>
    </row>
    <row r="457" spans="1:18" x14ac:dyDescent="0.3">
      <c r="A457">
        <f t="shared" si="36"/>
        <v>440</v>
      </c>
      <c r="B457" s="4"/>
      <c r="I457" s="8"/>
      <c r="J457" s="5" t="str">
        <f t="shared" si="39"/>
        <v/>
      </c>
      <c r="K457" s="3"/>
      <c r="L457" s="3" t="str">
        <f t="shared" si="38"/>
        <v/>
      </c>
      <c r="N457" s="3" t="str">
        <f t="shared" si="37"/>
        <v/>
      </c>
      <c r="O457" s="6" t="str">
        <f t="shared" si="40"/>
        <v/>
      </c>
      <c r="P457" s="7">
        <f ca="1">SUMIFS($N$2:$N457,$B$2:$B457,"&lt;&gt;"&amp;B457)+SUM($Q$2:$Q457)</f>
        <v>135.05500000000001</v>
      </c>
      <c r="R457" t="b">
        <f>AND(ISNUMBER(FIND($E457,Tables!$I$2)), ISNUMBER(FIND($D457,Tables!$J$2)), $E457&lt;&gt;"")</f>
        <v>0</v>
      </c>
    </row>
    <row r="458" spans="1:18" x14ac:dyDescent="0.3">
      <c r="A458">
        <f t="shared" si="36"/>
        <v>441</v>
      </c>
      <c r="B458" s="4"/>
      <c r="I458" s="8"/>
      <c r="J458" s="5" t="str">
        <f t="shared" si="39"/>
        <v/>
      </c>
      <c r="K458" s="3"/>
      <c r="L458" s="3" t="str">
        <f t="shared" si="38"/>
        <v/>
      </c>
      <c r="N458" s="3" t="str">
        <f t="shared" si="37"/>
        <v/>
      </c>
      <c r="O458" s="6" t="str">
        <f t="shared" si="40"/>
        <v/>
      </c>
      <c r="P458" s="7">
        <f ca="1">SUMIFS($N$2:$N458,$B$2:$B458,"&lt;&gt;"&amp;B458)+SUM($Q$2:$Q458)</f>
        <v>135.05500000000001</v>
      </c>
      <c r="R458" t="b">
        <f>AND(ISNUMBER(FIND($E458,Tables!$I$2)), ISNUMBER(FIND($D458,Tables!$J$2)), $E458&lt;&gt;"")</f>
        <v>0</v>
      </c>
    </row>
    <row r="459" spans="1:18" x14ac:dyDescent="0.3">
      <c r="A459">
        <f t="shared" si="36"/>
        <v>442</v>
      </c>
      <c r="B459" s="4"/>
      <c r="I459" s="8"/>
      <c r="J459" s="5" t="str">
        <f t="shared" si="39"/>
        <v/>
      </c>
      <c r="K459" s="3"/>
      <c r="L459" s="3" t="str">
        <f t="shared" si="38"/>
        <v/>
      </c>
      <c r="N459" s="3" t="str">
        <f t="shared" si="37"/>
        <v/>
      </c>
      <c r="O459" s="6" t="str">
        <f t="shared" si="40"/>
        <v/>
      </c>
      <c r="P459" s="7">
        <f ca="1">SUMIFS($N$2:$N459,$B$2:$B459,"&lt;&gt;"&amp;B459)+SUM($Q$2:$Q459)</f>
        <v>135.05500000000001</v>
      </c>
      <c r="R459" t="b">
        <f>AND(ISNUMBER(FIND($E459,Tables!$I$2)), ISNUMBER(FIND($D459,Tables!$J$2)), $E459&lt;&gt;"")</f>
        <v>0</v>
      </c>
    </row>
    <row r="460" spans="1:18" x14ac:dyDescent="0.3">
      <c r="A460">
        <f t="shared" si="36"/>
        <v>443</v>
      </c>
      <c r="B460" s="4"/>
      <c r="I460" s="8"/>
      <c r="J460" s="5" t="str">
        <f t="shared" si="39"/>
        <v/>
      </c>
      <c r="K460" s="3"/>
      <c r="L460" s="3" t="str">
        <f t="shared" si="38"/>
        <v/>
      </c>
      <c r="N460" s="3" t="str">
        <f t="shared" si="37"/>
        <v/>
      </c>
      <c r="O460" s="6" t="str">
        <f t="shared" si="40"/>
        <v/>
      </c>
      <c r="P460" s="7">
        <f ca="1">SUMIFS($N$2:$N460,$B$2:$B460,"&lt;&gt;"&amp;B460)+SUM($Q$2:$Q460)</f>
        <v>135.05500000000001</v>
      </c>
      <c r="R460" t="b">
        <f>AND(ISNUMBER(FIND($E460,Tables!$I$2)), ISNUMBER(FIND($D460,Tables!$J$2)), $E460&lt;&gt;"")</f>
        <v>0</v>
      </c>
    </row>
    <row r="461" spans="1:18" x14ac:dyDescent="0.3">
      <c r="A461">
        <f t="shared" si="36"/>
        <v>444</v>
      </c>
      <c r="B461" s="4"/>
      <c r="I461" s="8"/>
      <c r="J461" s="5" t="str">
        <f t="shared" si="39"/>
        <v/>
      </c>
      <c r="K461" s="3"/>
      <c r="L461" s="3" t="str">
        <f t="shared" si="38"/>
        <v/>
      </c>
      <c r="N461" s="3" t="str">
        <f t="shared" si="37"/>
        <v/>
      </c>
      <c r="O461" s="6" t="str">
        <f t="shared" si="40"/>
        <v/>
      </c>
      <c r="P461" s="7">
        <f ca="1">SUMIFS($N$2:$N461,$B$2:$B461,"&lt;&gt;"&amp;B461)+SUM($Q$2:$Q461)</f>
        <v>135.05500000000001</v>
      </c>
      <c r="R461" t="b">
        <f>AND(ISNUMBER(FIND($E461,Tables!$I$2)), ISNUMBER(FIND($D461,Tables!$J$2)), $E461&lt;&gt;"")</f>
        <v>0</v>
      </c>
    </row>
    <row r="462" spans="1:18" x14ac:dyDescent="0.3">
      <c r="A462">
        <f t="shared" si="36"/>
        <v>445</v>
      </c>
      <c r="B462" s="4"/>
      <c r="I462" s="8"/>
      <c r="J462" s="5" t="str">
        <f t="shared" si="39"/>
        <v/>
      </c>
      <c r="K462" s="3"/>
      <c r="L462" s="3" t="str">
        <f t="shared" si="38"/>
        <v/>
      </c>
      <c r="N462" s="3" t="str">
        <f t="shared" si="37"/>
        <v/>
      </c>
      <c r="O462" s="6" t="str">
        <f t="shared" si="40"/>
        <v/>
      </c>
      <c r="P462" s="7">
        <f ca="1">SUMIFS($N$2:$N462,$B$2:$B462,"&lt;&gt;"&amp;B462)+SUM($Q$2:$Q462)</f>
        <v>135.05500000000001</v>
      </c>
      <c r="R462" t="b">
        <f>AND(ISNUMBER(FIND($E462,Tables!$I$2)), ISNUMBER(FIND($D462,Tables!$J$2)), $E462&lt;&gt;"")</f>
        <v>0</v>
      </c>
    </row>
    <row r="463" spans="1:18" x14ac:dyDescent="0.3">
      <c r="A463">
        <f t="shared" si="36"/>
        <v>446</v>
      </c>
      <c r="B463" s="4"/>
      <c r="I463" s="8"/>
      <c r="J463" s="5" t="str">
        <f t="shared" si="39"/>
        <v/>
      </c>
      <c r="K463" s="3"/>
      <c r="L463" s="3" t="str">
        <f t="shared" si="38"/>
        <v/>
      </c>
      <c r="N463" s="3" t="str">
        <f t="shared" si="37"/>
        <v/>
      </c>
      <c r="O463" s="6" t="str">
        <f t="shared" si="40"/>
        <v/>
      </c>
      <c r="P463" s="7">
        <f ca="1">SUMIFS($N$2:$N463,$B$2:$B463,"&lt;&gt;"&amp;B463)+SUM($Q$2:$Q463)</f>
        <v>135.05500000000001</v>
      </c>
      <c r="R463" t="b">
        <f>AND(ISNUMBER(FIND($E463,Tables!$I$2)), ISNUMBER(FIND($D463,Tables!$J$2)), $E463&lt;&gt;"")</f>
        <v>0</v>
      </c>
    </row>
    <row r="464" spans="1:18" x14ac:dyDescent="0.3">
      <c r="A464">
        <f t="shared" si="36"/>
        <v>447</v>
      </c>
      <c r="B464" s="4"/>
      <c r="I464" s="8"/>
      <c r="J464" s="5" t="str">
        <f t="shared" si="39"/>
        <v/>
      </c>
      <c r="K464" s="3"/>
      <c r="L464" s="3" t="str">
        <f t="shared" si="38"/>
        <v/>
      </c>
      <c r="N464" s="3" t="str">
        <f t="shared" si="37"/>
        <v/>
      </c>
      <c r="O464" s="6" t="str">
        <f t="shared" si="40"/>
        <v/>
      </c>
      <c r="P464" s="7">
        <f ca="1">SUMIFS($N$2:$N464,$B$2:$B464,"&lt;&gt;"&amp;B464)+SUM($Q$2:$Q464)</f>
        <v>135.05500000000001</v>
      </c>
      <c r="R464" t="b">
        <f>AND(ISNUMBER(FIND($E464,Tables!$I$2)), ISNUMBER(FIND($D464,Tables!$J$2)), $E464&lt;&gt;"")</f>
        <v>0</v>
      </c>
    </row>
    <row r="465" spans="1:18" x14ac:dyDescent="0.3">
      <c r="A465">
        <f t="shared" si="36"/>
        <v>448</v>
      </c>
      <c r="B465" s="4"/>
      <c r="I465" s="8"/>
      <c r="J465" s="5" t="str">
        <f t="shared" si="39"/>
        <v/>
      </c>
      <c r="K465" s="3"/>
      <c r="L465" s="3" t="str">
        <f t="shared" si="38"/>
        <v/>
      </c>
      <c r="N465" s="3" t="str">
        <f t="shared" si="37"/>
        <v/>
      </c>
      <c r="O465" s="6" t="str">
        <f t="shared" si="40"/>
        <v/>
      </c>
      <c r="P465" s="7">
        <f ca="1">SUMIFS($N$2:$N465,$B$2:$B465,"&lt;&gt;"&amp;B465)+SUM($Q$2:$Q465)</f>
        <v>135.05500000000001</v>
      </c>
      <c r="R465" t="b">
        <f>AND(ISNUMBER(FIND($E465,Tables!$I$2)), ISNUMBER(FIND($D465,Tables!$J$2)), $E465&lt;&gt;"")</f>
        <v>0</v>
      </c>
    </row>
    <row r="466" spans="1:18" x14ac:dyDescent="0.3">
      <c r="A466">
        <f t="shared" si="36"/>
        <v>449</v>
      </c>
      <c r="B466" s="4"/>
      <c r="I466" s="8"/>
      <c r="J466" s="5" t="str">
        <f t="shared" si="39"/>
        <v/>
      </c>
      <c r="K466" s="3"/>
      <c r="L466" s="3" t="str">
        <f t="shared" si="38"/>
        <v/>
      </c>
      <c r="N466" s="3" t="str">
        <f t="shared" si="37"/>
        <v/>
      </c>
      <c r="O466" s="6" t="str">
        <f t="shared" si="40"/>
        <v/>
      </c>
      <c r="P466" s="7">
        <f ca="1">SUMIFS($N$2:$N466,$B$2:$B466,"&lt;&gt;"&amp;B466)+SUM($Q$2:$Q466)</f>
        <v>135.05500000000001</v>
      </c>
      <c r="R466" t="b">
        <f>AND(ISNUMBER(FIND($E466,Tables!$I$2)), ISNUMBER(FIND($D466,Tables!$J$2)), $E466&lt;&gt;"")</f>
        <v>0</v>
      </c>
    </row>
    <row r="467" spans="1:18" x14ac:dyDescent="0.3">
      <c r="A467">
        <f t="shared" si="36"/>
        <v>450</v>
      </c>
      <c r="B467" s="4"/>
      <c r="I467" s="8"/>
      <c r="J467" s="5" t="str">
        <f t="shared" si="39"/>
        <v/>
      </c>
      <c r="K467" s="3"/>
      <c r="L467" s="3" t="str">
        <f t="shared" si="38"/>
        <v/>
      </c>
      <c r="N467" s="3" t="str">
        <f t="shared" si="37"/>
        <v/>
      </c>
      <c r="O467" s="6" t="str">
        <f t="shared" si="40"/>
        <v/>
      </c>
      <c r="P467" s="7">
        <f ca="1">SUMIFS($N$2:$N467,$B$2:$B467,"&lt;&gt;"&amp;B467)+SUM($Q$2:$Q467)</f>
        <v>135.05500000000001</v>
      </c>
      <c r="R467" t="b">
        <f>AND(ISNUMBER(FIND($E467,Tables!$I$2)), ISNUMBER(FIND($D467,Tables!$J$2)), $E467&lt;&gt;"")</f>
        <v>0</v>
      </c>
    </row>
    <row r="468" spans="1:18" x14ac:dyDescent="0.3">
      <c r="A468">
        <f t="shared" si="36"/>
        <v>451</v>
      </c>
      <c r="B468" s="4"/>
      <c r="I468" s="8"/>
      <c r="J468" s="5" t="str">
        <f t="shared" si="39"/>
        <v/>
      </c>
      <c r="K468" s="3"/>
      <c r="L468" s="3" t="str">
        <f t="shared" si="38"/>
        <v/>
      </c>
      <c r="N468" s="3" t="str">
        <f t="shared" si="37"/>
        <v/>
      </c>
      <c r="O468" s="6" t="str">
        <f t="shared" si="40"/>
        <v/>
      </c>
      <c r="P468" s="7">
        <f ca="1">SUMIFS($N$2:$N468,$B$2:$B468,"&lt;&gt;"&amp;B468)+SUM($Q$2:$Q468)</f>
        <v>135.05500000000001</v>
      </c>
      <c r="R468" t="b">
        <f>AND(ISNUMBER(FIND($E468,Tables!$I$2)), ISNUMBER(FIND($D468,Tables!$J$2)), $E468&lt;&gt;"")</f>
        <v>0</v>
      </c>
    </row>
    <row r="469" spans="1:18" x14ac:dyDescent="0.3">
      <c r="A469">
        <f t="shared" si="36"/>
        <v>452</v>
      </c>
      <c r="B469" s="4"/>
      <c r="I469" s="8"/>
      <c r="J469" s="5" t="str">
        <f t="shared" si="39"/>
        <v/>
      </c>
      <c r="K469" s="3"/>
      <c r="L469" s="3" t="str">
        <f t="shared" si="38"/>
        <v/>
      </c>
      <c r="N469" s="3" t="str">
        <f t="shared" si="37"/>
        <v/>
      </c>
      <c r="O469" s="6" t="str">
        <f t="shared" si="40"/>
        <v/>
      </c>
      <c r="P469" s="7">
        <f ca="1">SUMIFS($N$2:$N469,$B$2:$B469,"&lt;&gt;"&amp;B469)+SUM($Q$2:$Q469)</f>
        <v>135.05500000000001</v>
      </c>
      <c r="R469" t="b">
        <f>AND(ISNUMBER(FIND($E469,Tables!$I$2)), ISNUMBER(FIND($D469,Tables!$J$2)), $E469&lt;&gt;"")</f>
        <v>0</v>
      </c>
    </row>
    <row r="470" spans="1:18" x14ac:dyDescent="0.3">
      <c r="A470">
        <f t="shared" si="36"/>
        <v>453</v>
      </c>
      <c r="B470" s="4"/>
      <c r="I470" s="8"/>
      <c r="J470" s="5" t="str">
        <f t="shared" si="39"/>
        <v/>
      </c>
      <c r="K470" s="3"/>
      <c r="L470" s="3" t="str">
        <f t="shared" si="38"/>
        <v/>
      </c>
      <c r="N470" s="3" t="str">
        <f t="shared" si="37"/>
        <v/>
      </c>
      <c r="O470" s="6" t="str">
        <f t="shared" si="40"/>
        <v/>
      </c>
      <c r="P470" s="7">
        <f ca="1">SUMIFS($N$2:$N470,$B$2:$B470,"&lt;&gt;"&amp;B470)+SUM($Q$2:$Q470)</f>
        <v>135.05500000000001</v>
      </c>
      <c r="R470" t="b">
        <f>AND(ISNUMBER(FIND($E470,Tables!$I$2)), ISNUMBER(FIND($D470,Tables!$J$2)), $E470&lt;&gt;"")</f>
        <v>0</v>
      </c>
    </row>
    <row r="471" spans="1:18" x14ac:dyDescent="0.3">
      <c r="A471">
        <f t="shared" si="36"/>
        <v>454</v>
      </c>
      <c r="B471" s="4"/>
      <c r="I471" s="8"/>
      <c r="J471" s="5" t="str">
        <f t="shared" si="39"/>
        <v/>
      </c>
      <c r="K471" s="3"/>
      <c r="L471" s="3" t="str">
        <f t="shared" si="38"/>
        <v/>
      </c>
      <c r="N471" s="3" t="str">
        <f t="shared" si="37"/>
        <v/>
      </c>
      <c r="O471" s="6" t="str">
        <f t="shared" si="40"/>
        <v/>
      </c>
      <c r="P471" s="7">
        <f ca="1">SUMIFS($N$2:$N471,$B$2:$B471,"&lt;&gt;"&amp;B471)+SUM($Q$2:$Q471)</f>
        <v>135.05500000000001</v>
      </c>
      <c r="R471" t="b">
        <f>AND(ISNUMBER(FIND($E471,Tables!$I$2)), ISNUMBER(FIND($D471,Tables!$J$2)), $E471&lt;&gt;"")</f>
        <v>0</v>
      </c>
    </row>
    <row r="472" spans="1:18" x14ac:dyDescent="0.3">
      <c r="A472">
        <f t="shared" si="36"/>
        <v>455</v>
      </c>
      <c r="B472" s="4"/>
      <c r="I472" s="8"/>
      <c r="J472" s="5" t="str">
        <f t="shared" si="39"/>
        <v/>
      </c>
      <c r="K472" s="3"/>
      <c r="L472" s="3" t="str">
        <f t="shared" si="38"/>
        <v/>
      </c>
      <c r="N472" s="3" t="str">
        <f t="shared" si="37"/>
        <v/>
      </c>
      <c r="O472" s="6" t="str">
        <f t="shared" si="40"/>
        <v/>
      </c>
      <c r="P472" s="7">
        <f ca="1">SUMIFS($N$2:$N472,$B$2:$B472,"&lt;&gt;"&amp;B472)+SUM($Q$2:$Q472)</f>
        <v>135.05500000000001</v>
      </c>
      <c r="R472" t="b">
        <f>AND(ISNUMBER(FIND($E472,Tables!$I$2)), ISNUMBER(FIND($D472,Tables!$J$2)), $E472&lt;&gt;"")</f>
        <v>0</v>
      </c>
    </row>
    <row r="473" spans="1:18" x14ac:dyDescent="0.3">
      <c r="A473">
        <f t="shared" si="36"/>
        <v>456</v>
      </c>
      <c r="B473" s="4"/>
      <c r="I473" s="8"/>
      <c r="J473" s="5" t="str">
        <f t="shared" si="39"/>
        <v/>
      </c>
      <c r="K473" s="3"/>
      <c r="L473" s="3" t="str">
        <f t="shared" si="38"/>
        <v/>
      </c>
      <c r="N473" s="3" t="str">
        <f t="shared" si="37"/>
        <v/>
      </c>
      <c r="O473" s="6" t="str">
        <f t="shared" si="40"/>
        <v/>
      </c>
      <c r="P473" s="7">
        <f ca="1">SUMIFS($N$2:$N473,$B$2:$B473,"&lt;&gt;"&amp;B473)+SUM($Q$2:$Q473)</f>
        <v>135.05500000000001</v>
      </c>
      <c r="R473" t="b">
        <f>AND(ISNUMBER(FIND($E473,Tables!$I$2)), ISNUMBER(FIND($D473,Tables!$J$2)), $E473&lt;&gt;"")</f>
        <v>0</v>
      </c>
    </row>
    <row r="474" spans="1:18" x14ac:dyDescent="0.3">
      <c r="A474">
        <f t="shared" si="36"/>
        <v>457</v>
      </c>
      <c r="B474" s="4"/>
      <c r="I474" s="8"/>
      <c r="J474" s="5" t="str">
        <f t="shared" si="39"/>
        <v/>
      </c>
      <c r="K474" s="3"/>
      <c r="L474" s="3" t="str">
        <f t="shared" si="38"/>
        <v/>
      </c>
      <c r="N474" s="3" t="str">
        <f t="shared" si="37"/>
        <v/>
      </c>
      <c r="O474" s="6" t="str">
        <f t="shared" si="40"/>
        <v/>
      </c>
      <c r="P474" s="7">
        <f ca="1">SUMIFS($N$2:$N474,$B$2:$B474,"&lt;&gt;"&amp;B474)+SUM($Q$2:$Q474)</f>
        <v>135.05500000000001</v>
      </c>
      <c r="R474" t="b">
        <f>AND(ISNUMBER(FIND($E474,Tables!$I$2)), ISNUMBER(FIND($D474,Tables!$J$2)), $E474&lt;&gt;"")</f>
        <v>0</v>
      </c>
    </row>
    <row r="475" spans="1:18" x14ac:dyDescent="0.3">
      <c r="A475">
        <f t="shared" si="36"/>
        <v>458</v>
      </c>
      <c r="B475" s="4"/>
      <c r="I475" s="8"/>
      <c r="J475" s="5" t="str">
        <f t="shared" si="39"/>
        <v/>
      </c>
      <c r="K475" s="3"/>
      <c r="L475" s="3" t="str">
        <f t="shared" si="38"/>
        <v/>
      </c>
      <c r="N475" s="3" t="str">
        <f t="shared" si="37"/>
        <v/>
      </c>
      <c r="O475" s="6" t="str">
        <f t="shared" si="40"/>
        <v/>
      </c>
      <c r="P475" s="7">
        <f ca="1">SUMIFS($N$2:$N475,$B$2:$B475,"&lt;&gt;"&amp;B475)+SUM($Q$2:$Q475)</f>
        <v>135.05500000000001</v>
      </c>
      <c r="R475" t="b">
        <f>AND(ISNUMBER(FIND($E475,Tables!$I$2)), ISNUMBER(FIND($D475,Tables!$J$2)), $E475&lt;&gt;"")</f>
        <v>0</v>
      </c>
    </row>
    <row r="476" spans="1:18" x14ac:dyDescent="0.3">
      <c r="A476">
        <f t="shared" si="36"/>
        <v>459</v>
      </c>
      <c r="B476" s="4"/>
      <c r="I476" s="8"/>
      <c r="J476" s="5" t="str">
        <f t="shared" si="39"/>
        <v/>
      </c>
      <c r="K476" s="3"/>
      <c r="L476" s="3" t="str">
        <f t="shared" si="38"/>
        <v/>
      </c>
      <c r="N476" s="3" t="str">
        <f t="shared" si="37"/>
        <v/>
      </c>
      <c r="O476" s="6" t="str">
        <f t="shared" si="40"/>
        <v/>
      </c>
      <c r="P476" s="7">
        <f ca="1">SUMIFS($N$2:$N476,$B$2:$B476,"&lt;&gt;"&amp;B476)+SUM($Q$2:$Q476)</f>
        <v>135.05500000000001</v>
      </c>
      <c r="R476" t="b">
        <f>AND(ISNUMBER(FIND($E476,Tables!$I$2)), ISNUMBER(FIND($D476,Tables!$J$2)), $E476&lt;&gt;"")</f>
        <v>0</v>
      </c>
    </row>
    <row r="477" spans="1:18" x14ac:dyDescent="0.3">
      <c r="A477">
        <f t="shared" si="36"/>
        <v>460</v>
      </c>
      <c r="B477" s="4"/>
      <c r="I477" s="8"/>
      <c r="J477" s="5" t="str">
        <f t="shared" si="39"/>
        <v/>
      </c>
      <c r="K477" s="3"/>
      <c r="L477" s="3" t="str">
        <f t="shared" si="38"/>
        <v/>
      </c>
      <c r="N477" s="3" t="str">
        <f t="shared" si="37"/>
        <v/>
      </c>
      <c r="O477" s="6" t="str">
        <f t="shared" si="40"/>
        <v/>
      </c>
      <c r="P477" s="7">
        <f ca="1">SUMIFS($N$2:$N477,$B$2:$B477,"&lt;&gt;"&amp;B477)+SUM($Q$2:$Q477)</f>
        <v>135.05500000000001</v>
      </c>
      <c r="R477" t="b">
        <f>AND(ISNUMBER(FIND($E477,Tables!$I$2)), ISNUMBER(FIND($D477,Tables!$J$2)), $E477&lt;&gt;"")</f>
        <v>0</v>
      </c>
    </row>
    <row r="478" spans="1:18" x14ac:dyDescent="0.3">
      <c r="A478">
        <f t="shared" si="36"/>
        <v>461</v>
      </c>
      <c r="B478" s="4"/>
      <c r="I478" s="8"/>
      <c r="J478" s="5" t="str">
        <f t="shared" si="39"/>
        <v/>
      </c>
      <c r="K478" s="3"/>
      <c r="L478" s="3" t="str">
        <f t="shared" si="38"/>
        <v/>
      </c>
      <c r="N478" s="3" t="str">
        <f t="shared" si="37"/>
        <v/>
      </c>
      <c r="O478" s="6" t="str">
        <f t="shared" si="40"/>
        <v/>
      </c>
      <c r="P478" s="7">
        <f ca="1">SUMIFS($N$2:$N478,$B$2:$B478,"&lt;&gt;"&amp;B478)+SUM($Q$2:$Q478)</f>
        <v>135.05500000000001</v>
      </c>
      <c r="R478" t="b">
        <f>AND(ISNUMBER(FIND($E478,Tables!$I$2)), ISNUMBER(FIND($D478,Tables!$J$2)), $E478&lt;&gt;"")</f>
        <v>0</v>
      </c>
    </row>
    <row r="479" spans="1:18" x14ac:dyDescent="0.3">
      <c r="A479">
        <f t="shared" si="36"/>
        <v>462</v>
      </c>
      <c r="B479" s="4"/>
      <c r="I479" s="8"/>
      <c r="J479" s="5" t="str">
        <f t="shared" si="39"/>
        <v/>
      </c>
      <c r="K479" s="3"/>
      <c r="L479" s="3" t="str">
        <f t="shared" si="38"/>
        <v/>
      </c>
      <c r="N479" s="3" t="str">
        <f t="shared" si="37"/>
        <v/>
      </c>
      <c r="O479" s="6" t="str">
        <f t="shared" si="40"/>
        <v/>
      </c>
      <c r="P479" s="7">
        <f ca="1">SUMIFS($N$2:$N479,$B$2:$B479,"&lt;&gt;"&amp;B479)+SUM($Q$2:$Q479)</f>
        <v>135.05500000000001</v>
      </c>
      <c r="R479" t="b">
        <f>AND(ISNUMBER(FIND($E479,Tables!$I$2)), ISNUMBER(FIND($D479,Tables!$J$2)), $E479&lt;&gt;"")</f>
        <v>0</v>
      </c>
    </row>
    <row r="480" spans="1:18" x14ac:dyDescent="0.3">
      <c r="A480">
        <f t="shared" si="36"/>
        <v>463</v>
      </c>
      <c r="B480" s="4"/>
      <c r="I480" s="8"/>
      <c r="J480" s="5" t="str">
        <f t="shared" si="39"/>
        <v/>
      </c>
      <c r="K480" s="3"/>
      <c r="L480" s="3" t="str">
        <f t="shared" si="38"/>
        <v/>
      </c>
      <c r="N480" s="3" t="str">
        <f t="shared" si="37"/>
        <v/>
      </c>
      <c r="O480" s="6" t="str">
        <f t="shared" si="40"/>
        <v/>
      </c>
      <c r="P480" s="7">
        <f ca="1">SUMIFS($N$2:$N480,$B$2:$B480,"&lt;&gt;"&amp;B480)+SUM($Q$2:$Q480)</f>
        <v>135.05500000000001</v>
      </c>
      <c r="R480" t="b">
        <f>AND(ISNUMBER(FIND($E480,Tables!$I$2)), ISNUMBER(FIND($D480,Tables!$J$2)), $E480&lt;&gt;"")</f>
        <v>0</v>
      </c>
    </row>
    <row r="481" spans="1:18" x14ac:dyDescent="0.3">
      <c r="A481">
        <f t="shared" si="36"/>
        <v>464</v>
      </c>
      <c r="B481" s="4"/>
      <c r="I481" s="8"/>
      <c r="J481" s="5" t="str">
        <f t="shared" si="39"/>
        <v/>
      </c>
      <c r="K481" s="3"/>
      <c r="L481" s="3" t="str">
        <f t="shared" si="38"/>
        <v/>
      </c>
      <c r="N481" s="3" t="str">
        <f t="shared" si="37"/>
        <v/>
      </c>
      <c r="O481" s="6" t="str">
        <f t="shared" si="40"/>
        <v/>
      </c>
      <c r="P481" s="7">
        <f ca="1">SUMIFS($N$2:$N481,$B$2:$B481,"&lt;&gt;"&amp;B481)+SUM($Q$2:$Q481)</f>
        <v>135.05500000000001</v>
      </c>
      <c r="R481" t="b">
        <f>AND(ISNUMBER(FIND($E481,Tables!$I$2)), ISNUMBER(FIND($D481,Tables!$J$2)), $E481&lt;&gt;"")</f>
        <v>0</v>
      </c>
    </row>
    <row r="482" spans="1:18" x14ac:dyDescent="0.3">
      <c r="A482">
        <f t="shared" ref="A482:A545" si="41">IF(AND(B482="", D482&lt;&gt;""), A481, A481+1)</f>
        <v>465</v>
      </c>
      <c r="B482" s="4"/>
      <c r="I482" s="8"/>
      <c r="J482" s="5" t="str">
        <f t="shared" si="39"/>
        <v/>
      </c>
      <c r="K482" s="3"/>
      <c r="L482" s="3" t="str">
        <f t="shared" si="38"/>
        <v/>
      </c>
      <c r="N482" s="3" t="str">
        <f t="shared" si="37"/>
        <v/>
      </c>
      <c r="O482" s="6" t="str">
        <f t="shared" si="40"/>
        <v/>
      </c>
      <c r="P482" s="7">
        <f ca="1">SUMIFS($N$2:$N482,$B$2:$B482,"&lt;&gt;"&amp;B482)+SUM($Q$2:$Q482)</f>
        <v>135.05500000000001</v>
      </c>
      <c r="R482" t="b">
        <f>AND(ISNUMBER(FIND($E482,Tables!$I$2)), ISNUMBER(FIND($D482,Tables!$J$2)), $E482&lt;&gt;"")</f>
        <v>0</v>
      </c>
    </row>
    <row r="483" spans="1:18" x14ac:dyDescent="0.3">
      <c r="A483">
        <f t="shared" si="41"/>
        <v>466</v>
      </c>
      <c r="B483" s="4"/>
      <c r="I483" s="8"/>
      <c r="J483" s="5" t="str">
        <f t="shared" si="39"/>
        <v/>
      </c>
      <c r="K483" s="3"/>
      <c r="L483" s="3" t="str">
        <f t="shared" si="38"/>
        <v/>
      </c>
      <c r="N483" s="3" t="str">
        <f t="shared" si="37"/>
        <v/>
      </c>
      <c r="O483" s="6" t="str">
        <f t="shared" si="40"/>
        <v/>
      </c>
      <c r="P483" s="7">
        <f ca="1">SUMIFS($N$2:$N483,$B$2:$B483,"&lt;&gt;"&amp;B483)+SUM($Q$2:$Q483)</f>
        <v>135.05500000000001</v>
      </c>
      <c r="R483" t="b">
        <f>AND(ISNUMBER(FIND($E483,Tables!$I$2)), ISNUMBER(FIND($D483,Tables!$J$2)), $E483&lt;&gt;"")</f>
        <v>0</v>
      </c>
    </row>
    <row r="484" spans="1:18" x14ac:dyDescent="0.3">
      <c r="A484">
        <f t="shared" si="41"/>
        <v>467</v>
      </c>
      <c r="B484" s="4"/>
      <c r="I484" s="8"/>
      <c r="J484" s="5" t="str">
        <f t="shared" si="39"/>
        <v/>
      </c>
      <c r="K484" s="3"/>
      <c r="L484" s="3" t="str">
        <f t="shared" si="38"/>
        <v/>
      </c>
      <c r="N484" s="3" t="str">
        <f t="shared" si="37"/>
        <v/>
      </c>
      <c r="O484" s="6" t="str">
        <f t="shared" si="40"/>
        <v/>
      </c>
      <c r="P484" s="7">
        <f ca="1">SUMIFS($N$2:$N484,$B$2:$B484,"&lt;&gt;"&amp;B484)+SUM($Q$2:$Q484)</f>
        <v>135.05500000000001</v>
      </c>
      <c r="R484" t="b">
        <f>AND(ISNUMBER(FIND($E484,Tables!$I$2)), ISNUMBER(FIND($D484,Tables!$J$2)), $E484&lt;&gt;"")</f>
        <v>0</v>
      </c>
    </row>
    <row r="485" spans="1:18" x14ac:dyDescent="0.3">
      <c r="A485">
        <f t="shared" si="41"/>
        <v>468</v>
      </c>
      <c r="B485" s="4"/>
      <c r="I485" s="8"/>
      <c r="J485" s="5" t="str">
        <f t="shared" si="39"/>
        <v/>
      </c>
      <c r="K485" s="3"/>
      <c r="L485" s="3" t="str">
        <f t="shared" si="38"/>
        <v/>
      </c>
      <c r="N485" s="3" t="str">
        <f t="shared" si="37"/>
        <v/>
      </c>
      <c r="O485" s="6" t="str">
        <f t="shared" si="40"/>
        <v/>
      </c>
      <c r="P485" s="7">
        <f ca="1">SUMIFS($N$2:$N485,$B$2:$B485,"&lt;&gt;"&amp;B485)+SUM($Q$2:$Q485)</f>
        <v>135.05500000000001</v>
      </c>
      <c r="R485" t="b">
        <f>AND(ISNUMBER(FIND($E485,Tables!$I$2)), ISNUMBER(FIND($D485,Tables!$J$2)), $E485&lt;&gt;"")</f>
        <v>0</v>
      </c>
    </row>
    <row r="486" spans="1:18" x14ac:dyDescent="0.3">
      <c r="A486">
        <f t="shared" si="41"/>
        <v>469</v>
      </c>
      <c r="B486" s="4"/>
      <c r="I486" s="8"/>
      <c r="J486" s="5" t="str">
        <f t="shared" si="39"/>
        <v/>
      </c>
      <c r="K486" s="3"/>
      <c r="L486" s="3" t="str">
        <f t="shared" si="38"/>
        <v/>
      </c>
      <c r="N486" s="3" t="str">
        <f t="shared" si="37"/>
        <v/>
      </c>
      <c r="O486" s="6" t="str">
        <f t="shared" si="40"/>
        <v/>
      </c>
      <c r="P486" s="7">
        <f ca="1">SUMIFS($N$2:$N486,$B$2:$B486,"&lt;&gt;"&amp;B486)+SUM($Q$2:$Q486)</f>
        <v>135.05500000000001</v>
      </c>
      <c r="R486" t="b">
        <f>AND(ISNUMBER(FIND($E486,Tables!$I$2)), ISNUMBER(FIND($D486,Tables!$J$2)), $E486&lt;&gt;"")</f>
        <v>0</v>
      </c>
    </row>
    <row r="487" spans="1:18" x14ac:dyDescent="0.3">
      <c r="A487">
        <f t="shared" si="41"/>
        <v>470</v>
      </c>
      <c r="B487" s="4"/>
      <c r="I487" s="8"/>
      <c r="J487" s="5" t="str">
        <f t="shared" si="39"/>
        <v/>
      </c>
      <c r="K487" s="3"/>
      <c r="L487" s="3" t="str">
        <f t="shared" si="38"/>
        <v/>
      </c>
      <c r="N487" s="3" t="str">
        <f t="shared" si="37"/>
        <v/>
      </c>
      <c r="O487" s="6" t="str">
        <f t="shared" si="40"/>
        <v/>
      </c>
      <c r="P487" s="7">
        <f ca="1">SUMIFS($N$2:$N487,$B$2:$B487,"&lt;&gt;"&amp;B487)+SUM($Q$2:$Q487)</f>
        <v>135.05500000000001</v>
      </c>
      <c r="R487" t="b">
        <f>AND(ISNUMBER(FIND($E487,Tables!$I$2)), ISNUMBER(FIND($D487,Tables!$J$2)), $E487&lt;&gt;"")</f>
        <v>0</v>
      </c>
    </row>
    <row r="488" spans="1:18" x14ac:dyDescent="0.3">
      <c r="A488">
        <f t="shared" si="41"/>
        <v>471</v>
      </c>
      <c r="B488" s="4"/>
      <c r="I488" s="8"/>
      <c r="J488" s="5" t="str">
        <f t="shared" si="39"/>
        <v/>
      </c>
      <c r="K488" s="3"/>
      <c r="L488" s="3" t="str">
        <f t="shared" si="38"/>
        <v/>
      </c>
      <c r="N488" s="3" t="str">
        <f t="shared" ref="N488:N551" si="42">IF(L488 = "", "", IF(M488="", "", IF(OR(M488="Draw",M488="NC"), 0, IF(M488="win", L488, -1*K488))))</f>
        <v/>
      </c>
      <c r="O488" s="6" t="str">
        <f t="shared" si="40"/>
        <v/>
      </c>
      <c r="P488" s="7">
        <f ca="1">SUMIFS($N$2:$N488,$B$2:$B488,"&lt;&gt;"&amp;B488)+SUM($Q$2:$Q488)</f>
        <v>135.05500000000001</v>
      </c>
      <c r="R488" t="b">
        <f>AND(ISNUMBER(FIND($E488,Tables!$I$2)), ISNUMBER(FIND($D488,Tables!$J$2)), $E488&lt;&gt;"")</f>
        <v>0</v>
      </c>
    </row>
    <row r="489" spans="1:18" x14ac:dyDescent="0.3">
      <c r="A489">
        <f t="shared" si="41"/>
        <v>472</v>
      </c>
      <c r="B489" s="4"/>
      <c r="I489" s="8"/>
      <c r="J489" s="5" t="str">
        <f t="shared" si="39"/>
        <v/>
      </c>
      <c r="K489" s="3"/>
      <c r="L489" s="3" t="str">
        <f t="shared" si="38"/>
        <v/>
      </c>
      <c r="N489" s="3" t="str">
        <f t="shared" si="42"/>
        <v/>
      </c>
      <c r="O489" s="6" t="str">
        <f t="shared" si="40"/>
        <v/>
      </c>
      <c r="P489" s="7">
        <f ca="1">SUMIFS($N$2:$N489,$B$2:$B489,"&lt;&gt;"&amp;B489)+SUM($Q$2:$Q489)</f>
        <v>135.05500000000001</v>
      </c>
      <c r="R489" t="b">
        <f>AND(ISNUMBER(FIND($E489,Tables!$I$2)), ISNUMBER(FIND($D489,Tables!$J$2)), $E489&lt;&gt;"")</f>
        <v>0</v>
      </c>
    </row>
    <row r="490" spans="1:18" x14ac:dyDescent="0.3">
      <c r="A490">
        <f t="shared" si="41"/>
        <v>473</v>
      </c>
      <c r="B490" s="4"/>
      <c r="I490" s="8"/>
      <c r="J490" s="5" t="str">
        <f t="shared" si="39"/>
        <v/>
      </c>
      <c r="K490" s="3"/>
      <c r="L490" s="3" t="str">
        <f t="shared" si="38"/>
        <v/>
      </c>
      <c r="N490" s="3" t="str">
        <f t="shared" si="42"/>
        <v/>
      </c>
      <c r="O490" s="6" t="str">
        <f t="shared" si="40"/>
        <v/>
      </c>
      <c r="P490" s="7">
        <f ca="1">SUMIFS($N$2:$N490,$B$2:$B490,"&lt;&gt;"&amp;B490)+SUM($Q$2:$Q490)</f>
        <v>135.05500000000001</v>
      </c>
      <c r="R490" t="b">
        <f>AND(ISNUMBER(FIND($E490,Tables!$I$2)), ISNUMBER(FIND($D490,Tables!$J$2)), $E490&lt;&gt;"")</f>
        <v>0</v>
      </c>
    </row>
    <row r="491" spans="1:18" x14ac:dyDescent="0.3">
      <c r="A491">
        <f t="shared" si="41"/>
        <v>474</v>
      </c>
      <c r="B491" s="4"/>
      <c r="I491" s="8"/>
      <c r="J491" s="5" t="str">
        <f t="shared" si="39"/>
        <v/>
      </c>
      <c r="K491" s="3"/>
      <c r="L491" s="3" t="str">
        <f t="shared" si="38"/>
        <v/>
      </c>
      <c r="N491" s="3" t="str">
        <f t="shared" si="42"/>
        <v/>
      </c>
      <c r="O491" s="6" t="str">
        <f t="shared" si="40"/>
        <v/>
      </c>
      <c r="P491" s="7">
        <f ca="1">SUMIFS($N$2:$N491,$B$2:$B491,"&lt;&gt;"&amp;B491)+SUM($Q$2:$Q491)</f>
        <v>135.05500000000001</v>
      </c>
      <c r="R491" t="b">
        <f>AND(ISNUMBER(FIND($E491,Tables!$I$2)), ISNUMBER(FIND($D491,Tables!$J$2)), $E491&lt;&gt;"")</f>
        <v>0</v>
      </c>
    </row>
    <row r="492" spans="1:18" x14ac:dyDescent="0.3">
      <c r="A492">
        <f t="shared" si="41"/>
        <v>475</v>
      </c>
      <c r="B492" s="4"/>
      <c r="I492" s="8"/>
      <c r="J492" s="5" t="str">
        <f t="shared" si="39"/>
        <v/>
      </c>
      <c r="K492" s="3"/>
      <c r="L492" s="3" t="str">
        <f t="shared" si="38"/>
        <v/>
      </c>
      <c r="N492" s="3" t="str">
        <f t="shared" si="42"/>
        <v/>
      </c>
      <c r="O492" s="6" t="str">
        <f t="shared" si="40"/>
        <v/>
      </c>
      <c r="P492" s="7">
        <f ca="1">SUMIFS($N$2:$N492,$B$2:$B492,"&lt;&gt;"&amp;B492)+SUM($Q$2:$Q492)</f>
        <v>135.05500000000001</v>
      </c>
      <c r="R492" t="b">
        <f>AND(ISNUMBER(FIND($E492,Tables!$I$2)), ISNUMBER(FIND($D492,Tables!$J$2)), $E492&lt;&gt;"")</f>
        <v>0</v>
      </c>
    </row>
    <row r="493" spans="1:18" x14ac:dyDescent="0.3">
      <c r="A493">
        <f t="shared" si="41"/>
        <v>476</v>
      </c>
      <c r="B493" s="4"/>
      <c r="I493" s="8"/>
      <c r="J493" s="5" t="str">
        <f t="shared" si="39"/>
        <v/>
      </c>
      <c r="K493" s="3"/>
      <c r="L493" s="3" t="str">
        <f t="shared" si="38"/>
        <v/>
      </c>
      <c r="N493" s="3" t="str">
        <f t="shared" si="42"/>
        <v/>
      </c>
      <c r="O493" s="6" t="str">
        <f t="shared" si="40"/>
        <v/>
      </c>
      <c r="P493" s="7">
        <f ca="1">SUMIFS($N$2:$N493,$B$2:$B493,"&lt;&gt;"&amp;B493)+SUM($Q$2:$Q493)</f>
        <v>135.05500000000001</v>
      </c>
      <c r="R493" t="b">
        <f>AND(ISNUMBER(FIND($E493,Tables!$I$2)), ISNUMBER(FIND($D493,Tables!$J$2)), $E493&lt;&gt;"")</f>
        <v>0</v>
      </c>
    </row>
    <row r="494" spans="1:18" x14ac:dyDescent="0.3">
      <c r="A494">
        <f t="shared" si="41"/>
        <v>477</v>
      </c>
      <c r="B494" s="4"/>
      <c r="I494" s="8"/>
      <c r="J494" s="5" t="str">
        <f t="shared" si="39"/>
        <v/>
      </c>
      <c r="K494" s="3"/>
      <c r="L494" s="3" t="str">
        <f t="shared" si="38"/>
        <v/>
      </c>
      <c r="N494" s="3" t="str">
        <f t="shared" si="42"/>
        <v/>
      </c>
      <c r="O494" s="6" t="str">
        <f t="shared" si="40"/>
        <v/>
      </c>
      <c r="P494" s="7">
        <f ca="1">SUMIFS($N$2:$N494,$B$2:$B494,"&lt;&gt;"&amp;B494)+SUM($Q$2:$Q494)</f>
        <v>135.05500000000001</v>
      </c>
      <c r="R494" t="b">
        <f>AND(ISNUMBER(FIND($E494,Tables!$I$2)), ISNUMBER(FIND($D494,Tables!$J$2)), $E494&lt;&gt;"")</f>
        <v>0</v>
      </c>
    </row>
    <row r="495" spans="1:18" x14ac:dyDescent="0.3">
      <c r="A495">
        <f t="shared" si="41"/>
        <v>478</v>
      </c>
      <c r="B495" s="4"/>
      <c r="I495" s="8"/>
      <c r="J495" s="5" t="str">
        <f t="shared" si="39"/>
        <v/>
      </c>
      <c r="K495" s="3"/>
      <c r="L495" s="3" t="str">
        <f t="shared" si="38"/>
        <v/>
      </c>
      <c r="N495" s="3" t="str">
        <f t="shared" si="42"/>
        <v/>
      </c>
      <c r="O495" s="6" t="str">
        <f t="shared" si="40"/>
        <v/>
      </c>
      <c r="P495" s="7">
        <f ca="1">SUMIFS($N$2:$N495,$B$2:$B495,"&lt;&gt;"&amp;B495)+SUM($Q$2:$Q495)</f>
        <v>135.05500000000001</v>
      </c>
      <c r="R495" t="b">
        <f>AND(ISNUMBER(FIND($E495,Tables!$I$2)), ISNUMBER(FIND($D495,Tables!$J$2)), $E495&lt;&gt;"")</f>
        <v>0</v>
      </c>
    </row>
    <row r="496" spans="1:18" x14ac:dyDescent="0.3">
      <c r="A496">
        <f t="shared" si="41"/>
        <v>479</v>
      </c>
      <c r="B496" s="4"/>
      <c r="I496" s="8"/>
      <c r="J496" s="5" t="str">
        <f t="shared" si="39"/>
        <v/>
      </c>
      <c r="K496" s="3"/>
      <c r="L496" s="3" t="str">
        <f t="shared" si="38"/>
        <v/>
      </c>
      <c r="N496" s="3" t="str">
        <f t="shared" si="42"/>
        <v/>
      </c>
      <c r="O496" s="6" t="str">
        <f t="shared" si="40"/>
        <v/>
      </c>
      <c r="P496" s="7">
        <f ca="1">SUMIFS($N$2:$N496,$B$2:$B496,"&lt;&gt;"&amp;B496)+SUM($Q$2:$Q496)</f>
        <v>135.05500000000001</v>
      </c>
      <c r="R496" t="b">
        <f>AND(ISNUMBER(FIND($E496,Tables!$I$2)), ISNUMBER(FIND($D496,Tables!$J$2)), $E496&lt;&gt;"")</f>
        <v>0</v>
      </c>
    </row>
    <row r="497" spans="1:18" x14ac:dyDescent="0.3">
      <c r="A497">
        <f t="shared" si="41"/>
        <v>480</v>
      </c>
      <c r="B497" s="4"/>
      <c r="I497" s="8"/>
      <c r="J497" s="5" t="str">
        <f t="shared" si="39"/>
        <v/>
      </c>
      <c r="K497" s="3"/>
      <c r="L497" s="3" t="str">
        <f t="shared" si="38"/>
        <v/>
      </c>
      <c r="N497" s="3" t="str">
        <f t="shared" si="42"/>
        <v/>
      </c>
      <c r="O497" s="6" t="str">
        <f t="shared" si="40"/>
        <v/>
      </c>
      <c r="P497" s="7">
        <f ca="1">SUMIFS($N$2:$N497,$B$2:$B497,"&lt;&gt;"&amp;B497)+SUM($Q$2:$Q497)</f>
        <v>135.05500000000001</v>
      </c>
      <c r="R497" t="b">
        <f>AND(ISNUMBER(FIND($E497,Tables!$I$2)), ISNUMBER(FIND($D497,Tables!$J$2)), $E497&lt;&gt;"")</f>
        <v>0</v>
      </c>
    </row>
    <row r="498" spans="1:18" x14ac:dyDescent="0.3">
      <c r="A498">
        <f t="shared" si="41"/>
        <v>481</v>
      </c>
      <c r="B498" s="4"/>
      <c r="I498" s="8"/>
      <c r="J498" s="5" t="str">
        <f t="shared" si="39"/>
        <v/>
      </c>
      <c r="K498" s="3"/>
      <c r="L498" s="3" t="str">
        <f t="shared" ref="L498:L561" si="43">IFERROR(IF(K498=0, "", IF(I498&gt;0, K498/100*I498,K498/I498*-100)), "")</f>
        <v/>
      </c>
      <c r="N498" s="3" t="str">
        <f t="shared" si="42"/>
        <v/>
      </c>
      <c r="O498" s="6" t="str">
        <f t="shared" si="40"/>
        <v/>
      </c>
      <c r="P498" s="7">
        <f ca="1">SUMIFS($N$2:$N498,$B$2:$B498,"&lt;&gt;"&amp;B498)+SUM($Q$2:$Q498)</f>
        <v>135.05500000000001</v>
      </c>
      <c r="R498" t="b">
        <f>AND(ISNUMBER(FIND($E498,Tables!$I$2)), ISNUMBER(FIND($D498,Tables!$J$2)), $E498&lt;&gt;"")</f>
        <v>0</v>
      </c>
    </row>
    <row r="499" spans="1:18" x14ac:dyDescent="0.3">
      <c r="A499">
        <f t="shared" si="41"/>
        <v>482</v>
      </c>
      <c r="B499" s="4"/>
      <c r="I499" s="8"/>
      <c r="J499" s="5" t="str">
        <f t="shared" si="39"/>
        <v/>
      </c>
      <c r="K499" s="3"/>
      <c r="L499" s="3" t="str">
        <f t="shared" si="43"/>
        <v/>
      </c>
      <c r="N499" s="3" t="str">
        <f t="shared" si="42"/>
        <v/>
      </c>
      <c r="O499" s="6" t="str">
        <f t="shared" si="40"/>
        <v/>
      </c>
      <c r="P499" s="7">
        <f ca="1">SUMIFS($N$2:$N499,$B$2:$B499,"&lt;&gt;"&amp;B499)+SUM($Q$2:$Q499)</f>
        <v>135.05500000000001</v>
      </c>
      <c r="R499" t="b">
        <f>AND(ISNUMBER(FIND($E499,Tables!$I$2)), ISNUMBER(FIND($D499,Tables!$J$2)), $E499&lt;&gt;"")</f>
        <v>0</v>
      </c>
    </row>
    <row r="500" spans="1:18" x14ac:dyDescent="0.3">
      <c r="A500">
        <f t="shared" si="41"/>
        <v>483</v>
      </c>
      <c r="B500" s="4"/>
      <c r="I500" s="8"/>
      <c r="J500" s="5" t="str">
        <f t="shared" si="39"/>
        <v/>
      </c>
      <c r="K500" s="3"/>
      <c r="L500" s="3" t="str">
        <f t="shared" si="43"/>
        <v/>
      </c>
      <c r="N500" s="3" t="str">
        <f t="shared" si="42"/>
        <v/>
      </c>
      <c r="O500" s="6" t="str">
        <f t="shared" si="40"/>
        <v/>
      </c>
      <c r="P500" s="7">
        <f ca="1">SUMIFS($N$2:$N500,$B$2:$B500,"&lt;&gt;"&amp;B500)+SUM($Q$2:$Q500)</f>
        <v>135.05500000000001</v>
      </c>
      <c r="R500" t="b">
        <f>AND(ISNUMBER(FIND($E500,Tables!$I$2)), ISNUMBER(FIND($D500,Tables!$J$2)), $E500&lt;&gt;"")</f>
        <v>0</v>
      </c>
    </row>
    <row r="501" spans="1:18" x14ac:dyDescent="0.3">
      <c r="A501">
        <f t="shared" si="41"/>
        <v>484</v>
      </c>
      <c r="B501" s="4"/>
      <c r="I501" s="8"/>
      <c r="J501" s="5" t="str">
        <f t="shared" si="39"/>
        <v/>
      </c>
      <c r="K501" s="3"/>
      <c r="L501" s="3" t="str">
        <f t="shared" si="43"/>
        <v/>
      </c>
      <c r="N501" s="3" t="str">
        <f t="shared" si="42"/>
        <v/>
      </c>
      <c r="O501" s="6" t="str">
        <f t="shared" si="40"/>
        <v/>
      </c>
      <c r="P501" s="7">
        <f ca="1">SUMIFS($N$2:$N501,$B$2:$B501,"&lt;&gt;"&amp;B501)+SUM($Q$2:$Q501)</f>
        <v>135.05500000000001</v>
      </c>
      <c r="R501" t="b">
        <f>AND(ISNUMBER(FIND($E501,Tables!$I$2)), ISNUMBER(FIND($D501,Tables!$J$2)), $E501&lt;&gt;"")</f>
        <v>0</v>
      </c>
    </row>
    <row r="502" spans="1:18" x14ac:dyDescent="0.3">
      <c r="A502">
        <f t="shared" si="41"/>
        <v>485</v>
      </c>
      <c r="B502" s="4"/>
      <c r="I502" s="8"/>
      <c r="J502" s="5" t="str">
        <f t="shared" si="39"/>
        <v/>
      </c>
      <c r="K502" s="3"/>
      <c r="L502" s="3" t="str">
        <f t="shared" si="43"/>
        <v/>
      </c>
      <c r="N502" s="3" t="str">
        <f t="shared" si="42"/>
        <v/>
      </c>
      <c r="O502" s="6" t="str">
        <f t="shared" si="40"/>
        <v/>
      </c>
      <c r="P502" s="7">
        <f ca="1">SUMIFS($N$2:$N502,$B$2:$B502,"&lt;&gt;"&amp;B502)+SUM($Q$2:$Q502)</f>
        <v>135.05500000000001</v>
      </c>
      <c r="R502" t="b">
        <f>AND(ISNUMBER(FIND($E502,Tables!$I$2)), ISNUMBER(FIND($D502,Tables!$J$2)), $E502&lt;&gt;"")</f>
        <v>0</v>
      </c>
    </row>
    <row r="503" spans="1:18" x14ac:dyDescent="0.3">
      <c r="A503">
        <f t="shared" si="41"/>
        <v>486</v>
      </c>
      <c r="B503" s="4"/>
      <c r="I503" s="8"/>
      <c r="J503" s="5" t="str">
        <f t="shared" si="39"/>
        <v/>
      </c>
      <c r="K503" s="3"/>
      <c r="L503" s="3" t="str">
        <f t="shared" si="43"/>
        <v/>
      </c>
      <c r="N503" s="3" t="str">
        <f t="shared" si="42"/>
        <v/>
      </c>
      <c r="O503" s="6" t="str">
        <f t="shared" si="40"/>
        <v/>
      </c>
      <c r="P503" s="7">
        <f ca="1">SUMIFS($N$2:$N503,$B$2:$B503,"&lt;&gt;"&amp;B503)+SUM($Q$2:$Q503)</f>
        <v>135.05500000000001</v>
      </c>
      <c r="R503" t="b">
        <f>AND(ISNUMBER(FIND($E503,Tables!$I$2)), ISNUMBER(FIND($D503,Tables!$J$2)), $E503&lt;&gt;"")</f>
        <v>0</v>
      </c>
    </row>
    <row r="504" spans="1:18" x14ac:dyDescent="0.3">
      <c r="A504">
        <f t="shared" si="41"/>
        <v>487</v>
      </c>
      <c r="B504" s="4"/>
      <c r="I504" s="8"/>
      <c r="J504" s="5" t="str">
        <f t="shared" si="39"/>
        <v/>
      </c>
      <c r="K504" s="3"/>
      <c r="L504" s="3" t="str">
        <f t="shared" si="43"/>
        <v/>
      </c>
      <c r="N504" s="3" t="str">
        <f t="shared" si="42"/>
        <v/>
      </c>
      <c r="O504" s="6" t="str">
        <f t="shared" si="40"/>
        <v/>
      </c>
      <c r="P504" s="7">
        <f ca="1">SUMIFS($N$2:$N504,$B$2:$B504,"&lt;&gt;"&amp;B504)+SUM($Q$2:$Q504)</f>
        <v>135.05500000000001</v>
      </c>
      <c r="R504" t="b">
        <f>AND(ISNUMBER(FIND($E504,Tables!$I$2)), ISNUMBER(FIND($D504,Tables!$J$2)), $E504&lt;&gt;"")</f>
        <v>0</v>
      </c>
    </row>
    <row r="505" spans="1:18" x14ac:dyDescent="0.3">
      <c r="A505">
        <f t="shared" si="41"/>
        <v>488</v>
      </c>
      <c r="B505" s="4"/>
      <c r="I505" s="8"/>
      <c r="J505" s="5" t="str">
        <f t="shared" si="39"/>
        <v/>
      </c>
      <c r="K505" s="3"/>
      <c r="L505" s="3" t="str">
        <f t="shared" si="43"/>
        <v/>
      </c>
      <c r="N505" s="3" t="str">
        <f t="shared" si="42"/>
        <v/>
      </c>
      <c r="O505" s="6" t="str">
        <f t="shared" si="40"/>
        <v/>
      </c>
      <c r="P505" s="7">
        <f ca="1">SUMIFS($N$2:$N505,$B$2:$B505,"&lt;&gt;"&amp;B505)+SUM($Q$2:$Q505)</f>
        <v>135.05500000000001</v>
      </c>
      <c r="R505" t="b">
        <f>AND(ISNUMBER(FIND($E505,Tables!$I$2)), ISNUMBER(FIND($D505,Tables!$J$2)), $E505&lt;&gt;"")</f>
        <v>0</v>
      </c>
    </row>
    <row r="506" spans="1:18" x14ac:dyDescent="0.3">
      <c r="A506">
        <f t="shared" si="41"/>
        <v>489</v>
      </c>
      <c r="B506" s="4"/>
      <c r="I506" s="8"/>
      <c r="J506" s="5" t="str">
        <f t="shared" si="39"/>
        <v/>
      </c>
      <c r="K506" s="3"/>
      <c r="L506" s="3" t="str">
        <f t="shared" si="43"/>
        <v/>
      </c>
      <c r="N506" s="3" t="str">
        <f t="shared" si="42"/>
        <v/>
      </c>
      <c r="O506" s="6" t="str">
        <f t="shared" si="40"/>
        <v/>
      </c>
      <c r="P506" s="7">
        <f ca="1">SUMIFS($N$2:$N506,$B$2:$B506,"&lt;&gt;"&amp;B506)+SUM($Q$2:$Q506)</f>
        <v>135.05500000000001</v>
      </c>
      <c r="R506" t="b">
        <f>AND(ISNUMBER(FIND($E506,Tables!$I$2)), ISNUMBER(FIND($D506,Tables!$J$2)), $E506&lt;&gt;"")</f>
        <v>0</v>
      </c>
    </row>
    <row r="507" spans="1:18" x14ac:dyDescent="0.3">
      <c r="A507">
        <f t="shared" si="41"/>
        <v>490</v>
      </c>
      <c r="B507" s="4"/>
      <c r="I507" s="8"/>
      <c r="J507" s="5" t="str">
        <f t="shared" si="39"/>
        <v/>
      </c>
      <c r="K507" s="3"/>
      <c r="L507" s="3" t="str">
        <f t="shared" si="43"/>
        <v/>
      </c>
      <c r="N507" s="3" t="str">
        <f t="shared" si="42"/>
        <v/>
      </c>
      <c r="O507" s="6" t="str">
        <f t="shared" si="40"/>
        <v/>
      </c>
      <c r="P507" s="7">
        <f ca="1">SUMIFS($N$2:$N507,$B$2:$B507,"&lt;&gt;"&amp;B507)+SUM($Q$2:$Q507)</f>
        <v>135.05500000000001</v>
      </c>
      <c r="R507" t="b">
        <f>AND(ISNUMBER(FIND($E507,Tables!$I$2)), ISNUMBER(FIND($D507,Tables!$J$2)), $E507&lt;&gt;"")</f>
        <v>0</v>
      </c>
    </row>
    <row r="508" spans="1:18" x14ac:dyDescent="0.3">
      <c r="A508">
        <f t="shared" si="41"/>
        <v>491</v>
      </c>
      <c r="B508" s="4"/>
      <c r="I508" s="8"/>
      <c r="J508" s="5" t="str">
        <f t="shared" si="39"/>
        <v/>
      </c>
      <c r="K508" s="3"/>
      <c r="L508" s="3" t="str">
        <f t="shared" si="43"/>
        <v/>
      </c>
      <c r="N508" s="3" t="str">
        <f t="shared" si="42"/>
        <v/>
      </c>
      <c r="O508" s="6" t="str">
        <f t="shared" si="40"/>
        <v/>
      </c>
      <c r="P508" s="7">
        <f ca="1">SUMIFS($N$2:$N508,$B$2:$B508,"&lt;&gt;"&amp;B508)+SUM($Q$2:$Q508)</f>
        <v>135.05500000000001</v>
      </c>
      <c r="R508" t="b">
        <f>AND(ISNUMBER(FIND($E508,Tables!$I$2)), ISNUMBER(FIND($D508,Tables!$J$2)), $E508&lt;&gt;"")</f>
        <v>0</v>
      </c>
    </row>
    <row r="509" spans="1:18" x14ac:dyDescent="0.3">
      <c r="A509">
        <f t="shared" si="41"/>
        <v>492</v>
      </c>
      <c r="B509" s="4"/>
      <c r="I509" s="8"/>
      <c r="J509" s="5" t="str">
        <f t="shared" si="39"/>
        <v/>
      </c>
      <c r="K509" s="3"/>
      <c r="L509" s="3" t="str">
        <f t="shared" si="43"/>
        <v/>
      </c>
      <c r="N509" s="3" t="str">
        <f t="shared" si="42"/>
        <v/>
      </c>
      <c r="O509" s="6" t="str">
        <f t="shared" si="40"/>
        <v/>
      </c>
      <c r="P509" s="7">
        <f ca="1">SUMIFS($N$2:$N509,$B$2:$B509,"&lt;&gt;"&amp;B509)+SUM($Q$2:$Q509)</f>
        <v>135.05500000000001</v>
      </c>
      <c r="R509" t="b">
        <f>AND(ISNUMBER(FIND($E509,Tables!$I$2)), ISNUMBER(FIND($D509,Tables!$J$2)), $E509&lt;&gt;"")</f>
        <v>0</v>
      </c>
    </row>
    <row r="510" spans="1:18" x14ac:dyDescent="0.3">
      <c r="A510">
        <f t="shared" si="41"/>
        <v>493</v>
      </c>
      <c r="B510" s="4"/>
      <c r="I510" s="8"/>
      <c r="J510" s="5" t="str">
        <f t="shared" si="39"/>
        <v/>
      </c>
      <c r="K510" s="3"/>
      <c r="L510" s="3" t="str">
        <f t="shared" si="43"/>
        <v/>
      </c>
      <c r="N510" s="3" t="str">
        <f t="shared" si="42"/>
        <v/>
      </c>
      <c r="O510" s="6" t="str">
        <f t="shared" si="40"/>
        <v/>
      </c>
      <c r="P510" s="7">
        <f ca="1">SUMIFS($N$2:$N510,$B$2:$B510,"&lt;&gt;"&amp;B510)+SUM($Q$2:$Q510)</f>
        <v>135.05500000000001</v>
      </c>
      <c r="R510" t="b">
        <f>AND(ISNUMBER(FIND($E510,Tables!$I$2)), ISNUMBER(FIND($D510,Tables!$J$2)), $E510&lt;&gt;"")</f>
        <v>0</v>
      </c>
    </row>
    <row r="511" spans="1:18" x14ac:dyDescent="0.3">
      <c r="A511">
        <f t="shared" si="41"/>
        <v>494</v>
      </c>
      <c r="B511" s="4"/>
      <c r="I511" s="8"/>
      <c r="J511" s="5" t="str">
        <f t="shared" si="39"/>
        <v/>
      </c>
      <c r="K511" s="3"/>
      <c r="L511" s="3" t="str">
        <f t="shared" si="43"/>
        <v/>
      </c>
      <c r="N511" s="3" t="str">
        <f t="shared" si="42"/>
        <v/>
      </c>
      <c r="O511" s="6" t="str">
        <f t="shared" si="40"/>
        <v/>
      </c>
      <c r="P511" s="7">
        <f ca="1">SUMIFS($N$2:$N511,$B$2:$B511,"&lt;&gt;"&amp;B511)+SUM($Q$2:$Q511)</f>
        <v>135.05500000000001</v>
      </c>
      <c r="R511" t="b">
        <f>AND(ISNUMBER(FIND($E511,Tables!$I$2)), ISNUMBER(FIND($D511,Tables!$J$2)), $E511&lt;&gt;"")</f>
        <v>0</v>
      </c>
    </row>
    <row r="512" spans="1:18" x14ac:dyDescent="0.3">
      <c r="A512">
        <f t="shared" si="41"/>
        <v>495</v>
      </c>
      <c r="B512" s="4"/>
      <c r="I512" s="8"/>
      <c r="J512" s="5" t="str">
        <f t="shared" si="39"/>
        <v/>
      </c>
      <c r="K512" s="3"/>
      <c r="L512" s="3" t="str">
        <f t="shared" si="43"/>
        <v/>
      </c>
      <c r="N512" s="3" t="str">
        <f t="shared" si="42"/>
        <v/>
      </c>
      <c r="O512" s="6" t="str">
        <f t="shared" si="40"/>
        <v/>
      </c>
      <c r="P512" s="7">
        <f ca="1">SUMIFS($N$2:$N512,$B$2:$B512,"&lt;&gt;"&amp;B512)+SUM($Q$2:$Q512)</f>
        <v>135.05500000000001</v>
      </c>
      <c r="R512" t="b">
        <f>AND(ISNUMBER(FIND($E512,Tables!$I$2)), ISNUMBER(FIND($D512,Tables!$J$2)), $E512&lt;&gt;"")</f>
        <v>0</v>
      </c>
    </row>
    <row r="513" spans="1:18" x14ac:dyDescent="0.3">
      <c r="A513">
        <f t="shared" si="41"/>
        <v>496</v>
      </c>
      <c r="B513" s="4"/>
      <c r="I513" s="8"/>
      <c r="J513" s="5" t="str">
        <f t="shared" si="39"/>
        <v/>
      </c>
      <c r="K513" s="3"/>
      <c r="L513" s="3" t="str">
        <f t="shared" si="43"/>
        <v/>
      </c>
      <c r="N513" s="3" t="str">
        <f t="shared" si="42"/>
        <v/>
      </c>
      <c r="O513" s="6" t="str">
        <f t="shared" si="40"/>
        <v/>
      </c>
      <c r="P513" s="7">
        <f ca="1">SUMIFS($N$2:$N513,$B$2:$B513,"&lt;&gt;"&amp;B513)+SUM($Q$2:$Q513)</f>
        <v>135.05500000000001</v>
      </c>
      <c r="R513" t="b">
        <f>AND(ISNUMBER(FIND($E513,Tables!$I$2)), ISNUMBER(FIND($D513,Tables!$J$2)), $E513&lt;&gt;"")</f>
        <v>0</v>
      </c>
    </row>
    <row r="514" spans="1:18" x14ac:dyDescent="0.3">
      <c r="A514">
        <f t="shared" si="41"/>
        <v>497</v>
      </c>
      <c r="B514" s="4"/>
      <c r="I514" s="8"/>
      <c r="J514" s="5" t="str">
        <f t="shared" ref="J514:J577" si="44">IF(I514="", "", IF(I514&gt;0, I514/100 +1, -100/I514 +1))</f>
        <v/>
      </c>
      <c r="K514" s="3"/>
      <c r="L514" s="3" t="str">
        <f t="shared" si="43"/>
        <v/>
      </c>
      <c r="N514" s="3" t="str">
        <f t="shared" si="42"/>
        <v/>
      </c>
      <c r="O514" s="6" t="str">
        <f t="shared" ref="O514:O577" si="45">IFERROR(K514/VLOOKUP(_xlfn.MINIFS(A:A,B:B,B514,C:C,C514),A:P,16),"")</f>
        <v/>
      </c>
      <c r="P514" s="7">
        <f ca="1">SUMIFS($N$2:$N514,$B$2:$B514,"&lt;&gt;"&amp;B514)+SUM($Q$2:$Q514)</f>
        <v>135.05500000000001</v>
      </c>
      <c r="R514" t="b">
        <f>AND(ISNUMBER(FIND($E514,Tables!$I$2)), ISNUMBER(FIND($D514,Tables!$J$2)), $E514&lt;&gt;"")</f>
        <v>0</v>
      </c>
    </row>
    <row r="515" spans="1:18" x14ac:dyDescent="0.3">
      <c r="A515">
        <f t="shared" si="41"/>
        <v>498</v>
      </c>
      <c r="B515" s="4"/>
      <c r="I515" s="8"/>
      <c r="J515" s="5" t="str">
        <f t="shared" si="44"/>
        <v/>
      </c>
      <c r="K515" s="3"/>
      <c r="L515" s="3" t="str">
        <f t="shared" si="43"/>
        <v/>
      </c>
      <c r="N515" s="3" t="str">
        <f t="shared" si="42"/>
        <v/>
      </c>
      <c r="O515" s="6" t="str">
        <f t="shared" si="45"/>
        <v/>
      </c>
      <c r="P515" s="7">
        <f ca="1">SUMIFS($N$2:$N515,$B$2:$B515,"&lt;&gt;"&amp;B515)+SUM($Q$2:$Q515)</f>
        <v>135.05500000000001</v>
      </c>
      <c r="R515" t="b">
        <f>AND(ISNUMBER(FIND($E515,Tables!$I$2)), ISNUMBER(FIND($D515,Tables!$J$2)), $E515&lt;&gt;"")</f>
        <v>0</v>
      </c>
    </row>
    <row r="516" spans="1:18" x14ac:dyDescent="0.3">
      <c r="A516">
        <f t="shared" si="41"/>
        <v>499</v>
      </c>
      <c r="B516" s="4"/>
      <c r="I516" s="8"/>
      <c r="J516" s="5" t="str">
        <f t="shared" si="44"/>
        <v/>
      </c>
      <c r="K516" s="3"/>
      <c r="L516" s="3" t="str">
        <f t="shared" si="43"/>
        <v/>
      </c>
      <c r="N516" s="3" t="str">
        <f t="shared" si="42"/>
        <v/>
      </c>
      <c r="O516" s="6" t="str">
        <f t="shared" si="45"/>
        <v/>
      </c>
      <c r="P516" s="7">
        <f ca="1">SUMIFS($N$2:$N516,$B$2:$B516,"&lt;&gt;"&amp;B516)+SUM($Q$2:$Q516)</f>
        <v>135.05500000000001</v>
      </c>
      <c r="R516" t="b">
        <f>AND(ISNUMBER(FIND($E516,Tables!$I$2)), ISNUMBER(FIND($D516,Tables!$J$2)), $E516&lt;&gt;"")</f>
        <v>0</v>
      </c>
    </row>
    <row r="517" spans="1:18" x14ac:dyDescent="0.3">
      <c r="A517">
        <f t="shared" si="41"/>
        <v>500</v>
      </c>
      <c r="B517" s="4"/>
      <c r="I517" s="8"/>
      <c r="J517" s="5" t="str">
        <f t="shared" si="44"/>
        <v/>
      </c>
      <c r="K517" s="3"/>
      <c r="L517" s="3" t="str">
        <f t="shared" si="43"/>
        <v/>
      </c>
      <c r="N517" s="3" t="str">
        <f t="shared" si="42"/>
        <v/>
      </c>
      <c r="O517" s="6" t="str">
        <f t="shared" si="45"/>
        <v/>
      </c>
      <c r="P517" s="7">
        <f ca="1">SUMIFS($N$2:$N517,$B$2:$B517,"&lt;&gt;"&amp;B517)+SUM($Q$2:$Q517)</f>
        <v>135.05500000000001</v>
      </c>
      <c r="R517" t="b">
        <f>AND(ISNUMBER(FIND($E517,Tables!$I$2)), ISNUMBER(FIND($D517,Tables!$J$2)), $E517&lt;&gt;"")</f>
        <v>0</v>
      </c>
    </row>
    <row r="518" spans="1:18" x14ac:dyDescent="0.3">
      <c r="A518">
        <f t="shared" si="41"/>
        <v>501</v>
      </c>
      <c r="B518" s="4"/>
      <c r="I518" s="8"/>
      <c r="J518" s="5" t="str">
        <f t="shared" si="44"/>
        <v/>
      </c>
      <c r="K518" s="3"/>
      <c r="L518" s="3" t="str">
        <f t="shared" si="43"/>
        <v/>
      </c>
      <c r="N518" s="3" t="str">
        <f t="shared" si="42"/>
        <v/>
      </c>
      <c r="O518" s="6" t="str">
        <f t="shared" si="45"/>
        <v/>
      </c>
      <c r="P518" s="7">
        <f ca="1">SUMIFS($N$2:$N518,$B$2:$B518,"&lt;&gt;"&amp;B518)+SUM($Q$2:$Q518)</f>
        <v>135.05500000000001</v>
      </c>
      <c r="R518" t="b">
        <f>AND(ISNUMBER(FIND($E518,Tables!$I$2)), ISNUMBER(FIND($D518,Tables!$J$2)), $E518&lt;&gt;"")</f>
        <v>0</v>
      </c>
    </row>
    <row r="519" spans="1:18" x14ac:dyDescent="0.3">
      <c r="A519">
        <f t="shared" si="41"/>
        <v>502</v>
      </c>
      <c r="B519" s="4"/>
      <c r="I519" s="8"/>
      <c r="J519" s="5" t="str">
        <f t="shared" si="44"/>
        <v/>
      </c>
      <c r="K519" s="3"/>
      <c r="L519" s="3" t="str">
        <f t="shared" si="43"/>
        <v/>
      </c>
      <c r="N519" s="3" t="str">
        <f t="shared" si="42"/>
        <v/>
      </c>
      <c r="O519" s="6" t="str">
        <f t="shared" si="45"/>
        <v/>
      </c>
      <c r="P519" s="7">
        <f ca="1">SUMIFS($N$2:$N519,$B$2:$B519,"&lt;&gt;"&amp;B519)+SUM($Q$2:$Q519)</f>
        <v>135.05500000000001</v>
      </c>
      <c r="R519" t="b">
        <f>AND(ISNUMBER(FIND($E519,Tables!$I$2)), ISNUMBER(FIND($D519,Tables!$J$2)), $E519&lt;&gt;"")</f>
        <v>0</v>
      </c>
    </row>
    <row r="520" spans="1:18" x14ac:dyDescent="0.3">
      <c r="A520">
        <f t="shared" si="41"/>
        <v>503</v>
      </c>
      <c r="B520" s="4"/>
      <c r="I520" s="8"/>
      <c r="J520" s="5" t="str">
        <f t="shared" si="44"/>
        <v/>
      </c>
      <c r="K520" s="3"/>
      <c r="L520" s="3" t="str">
        <f t="shared" si="43"/>
        <v/>
      </c>
      <c r="N520" s="3" t="str">
        <f t="shared" si="42"/>
        <v/>
      </c>
      <c r="O520" s="6" t="str">
        <f t="shared" si="45"/>
        <v/>
      </c>
      <c r="P520" s="7">
        <f ca="1">SUMIFS($N$2:$N520,$B$2:$B520,"&lt;&gt;"&amp;B520)+SUM($Q$2:$Q520)</f>
        <v>135.05500000000001</v>
      </c>
      <c r="R520" t="b">
        <f>AND(ISNUMBER(FIND($E520,Tables!$I$2)), ISNUMBER(FIND($D520,Tables!$J$2)), $E520&lt;&gt;"")</f>
        <v>0</v>
      </c>
    </row>
    <row r="521" spans="1:18" x14ac:dyDescent="0.3">
      <c r="A521">
        <f t="shared" si="41"/>
        <v>504</v>
      </c>
      <c r="B521" s="4"/>
      <c r="I521" s="8"/>
      <c r="J521" s="5" t="str">
        <f t="shared" si="44"/>
        <v/>
      </c>
      <c r="K521" s="3"/>
      <c r="L521" s="3" t="str">
        <f t="shared" si="43"/>
        <v/>
      </c>
      <c r="N521" s="3" t="str">
        <f t="shared" si="42"/>
        <v/>
      </c>
      <c r="O521" s="6" t="str">
        <f t="shared" si="45"/>
        <v/>
      </c>
      <c r="P521" s="7">
        <f ca="1">SUMIFS($N$2:$N521,$B$2:$B521,"&lt;&gt;"&amp;B521)+SUM($Q$2:$Q521)</f>
        <v>135.05500000000001</v>
      </c>
      <c r="R521" t="b">
        <f>AND(ISNUMBER(FIND($E521,Tables!$I$2)), ISNUMBER(FIND($D521,Tables!$J$2)), $E521&lt;&gt;"")</f>
        <v>0</v>
      </c>
    </row>
    <row r="522" spans="1:18" x14ac:dyDescent="0.3">
      <c r="A522">
        <f t="shared" si="41"/>
        <v>505</v>
      </c>
      <c r="B522" s="4"/>
      <c r="I522" s="8"/>
      <c r="J522" s="5" t="str">
        <f t="shared" si="44"/>
        <v/>
      </c>
      <c r="K522" s="3"/>
      <c r="L522" s="3" t="str">
        <f t="shared" si="43"/>
        <v/>
      </c>
      <c r="N522" s="3" t="str">
        <f t="shared" si="42"/>
        <v/>
      </c>
      <c r="O522" s="6" t="str">
        <f t="shared" si="45"/>
        <v/>
      </c>
      <c r="P522" s="7">
        <f ca="1">SUMIFS($N$2:$N522,$B$2:$B522,"&lt;&gt;"&amp;B522)+SUM($Q$2:$Q522)</f>
        <v>135.05500000000001</v>
      </c>
      <c r="R522" t="b">
        <f>AND(ISNUMBER(FIND($E522,Tables!$I$2)), ISNUMBER(FIND($D522,Tables!$J$2)), $E522&lt;&gt;"")</f>
        <v>0</v>
      </c>
    </row>
    <row r="523" spans="1:18" x14ac:dyDescent="0.3">
      <c r="A523">
        <f t="shared" si="41"/>
        <v>506</v>
      </c>
      <c r="B523" s="4"/>
      <c r="I523" s="8"/>
      <c r="J523" s="5" t="str">
        <f t="shared" si="44"/>
        <v/>
      </c>
      <c r="K523" s="3"/>
      <c r="L523" s="3" t="str">
        <f t="shared" si="43"/>
        <v/>
      </c>
      <c r="N523" s="3" t="str">
        <f t="shared" si="42"/>
        <v/>
      </c>
      <c r="O523" s="6" t="str">
        <f t="shared" si="45"/>
        <v/>
      </c>
      <c r="P523" s="7">
        <f ca="1">SUMIFS($N$2:$N523,$B$2:$B523,"&lt;&gt;"&amp;B523)+SUM($Q$2:$Q523)</f>
        <v>135.05500000000001</v>
      </c>
      <c r="R523" t="b">
        <f>AND(ISNUMBER(FIND($E523,Tables!$I$2)), ISNUMBER(FIND($D523,Tables!$J$2)), $E523&lt;&gt;"")</f>
        <v>0</v>
      </c>
    </row>
    <row r="524" spans="1:18" x14ac:dyDescent="0.3">
      <c r="A524">
        <f t="shared" si="41"/>
        <v>507</v>
      </c>
      <c r="B524" s="4"/>
      <c r="I524" s="8"/>
      <c r="J524" s="5" t="str">
        <f t="shared" si="44"/>
        <v/>
      </c>
      <c r="K524" s="3"/>
      <c r="L524" s="3" t="str">
        <f t="shared" si="43"/>
        <v/>
      </c>
      <c r="N524" s="3" t="str">
        <f t="shared" si="42"/>
        <v/>
      </c>
      <c r="O524" s="6" t="str">
        <f t="shared" si="45"/>
        <v/>
      </c>
      <c r="P524" s="7">
        <f ca="1">SUMIFS($N$2:$N524,$B$2:$B524,"&lt;&gt;"&amp;B524)+SUM($Q$2:$Q524)</f>
        <v>135.05500000000001</v>
      </c>
      <c r="R524" t="b">
        <f>AND(ISNUMBER(FIND($E524,Tables!$I$2)), ISNUMBER(FIND($D524,Tables!$J$2)), $E524&lt;&gt;"")</f>
        <v>0</v>
      </c>
    </row>
    <row r="525" spans="1:18" x14ac:dyDescent="0.3">
      <c r="A525">
        <f t="shared" si="41"/>
        <v>508</v>
      </c>
      <c r="B525" s="4"/>
      <c r="I525" s="8"/>
      <c r="J525" s="5" t="str">
        <f t="shared" si="44"/>
        <v/>
      </c>
      <c r="K525" s="3"/>
      <c r="L525" s="3" t="str">
        <f t="shared" si="43"/>
        <v/>
      </c>
      <c r="N525" s="3" t="str">
        <f t="shared" si="42"/>
        <v/>
      </c>
      <c r="O525" s="6" t="str">
        <f t="shared" si="45"/>
        <v/>
      </c>
      <c r="P525" s="7">
        <f ca="1">SUMIFS($N$2:$N525,$B$2:$B525,"&lt;&gt;"&amp;B525)+SUM($Q$2:$Q525)</f>
        <v>135.05500000000001</v>
      </c>
      <c r="R525" t="b">
        <f>AND(ISNUMBER(FIND($E525,Tables!$I$2)), ISNUMBER(FIND($D525,Tables!$J$2)), $E525&lt;&gt;"")</f>
        <v>0</v>
      </c>
    </row>
    <row r="526" spans="1:18" x14ac:dyDescent="0.3">
      <c r="A526">
        <f t="shared" si="41"/>
        <v>509</v>
      </c>
      <c r="B526" s="4"/>
      <c r="I526" s="8"/>
      <c r="J526" s="5" t="str">
        <f t="shared" si="44"/>
        <v/>
      </c>
      <c r="K526" s="3"/>
      <c r="L526" s="3" t="str">
        <f t="shared" si="43"/>
        <v/>
      </c>
      <c r="N526" s="3" t="str">
        <f t="shared" si="42"/>
        <v/>
      </c>
      <c r="O526" s="6" t="str">
        <f t="shared" si="45"/>
        <v/>
      </c>
      <c r="P526" s="7">
        <f ca="1">SUMIFS($N$2:$N526,$B$2:$B526,"&lt;&gt;"&amp;B526)+SUM($Q$2:$Q526)</f>
        <v>135.05500000000001</v>
      </c>
      <c r="R526" t="b">
        <f>AND(ISNUMBER(FIND($E526,Tables!$I$2)), ISNUMBER(FIND($D526,Tables!$J$2)), $E526&lt;&gt;"")</f>
        <v>0</v>
      </c>
    </row>
    <row r="527" spans="1:18" x14ac:dyDescent="0.3">
      <c r="A527">
        <f t="shared" si="41"/>
        <v>510</v>
      </c>
      <c r="B527" s="4"/>
      <c r="I527" s="8"/>
      <c r="J527" s="5" t="str">
        <f t="shared" si="44"/>
        <v/>
      </c>
      <c r="K527" s="3"/>
      <c r="L527" s="3" t="str">
        <f t="shared" si="43"/>
        <v/>
      </c>
      <c r="N527" s="3" t="str">
        <f t="shared" si="42"/>
        <v/>
      </c>
      <c r="O527" s="6" t="str">
        <f t="shared" si="45"/>
        <v/>
      </c>
      <c r="P527" s="7">
        <f ca="1">SUMIFS($N$2:$N527,$B$2:$B527,"&lt;&gt;"&amp;B527)+SUM($Q$2:$Q527)</f>
        <v>135.05500000000001</v>
      </c>
      <c r="R527" t="b">
        <f>AND(ISNUMBER(FIND($E527,Tables!$I$2)), ISNUMBER(FIND($D527,Tables!$J$2)), $E527&lt;&gt;"")</f>
        <v>0</v>
      </c>
    </row>
    <row r="528" spans="1:18" x14ac:dyDescent="0.3">
      <c r="A528">
        <f t="shared" si="41"/>
        <v>511</v>
      </c>
      <c r="B528" s="4"/>
      <c r="I528" s="8"/>
      <c r="J528" s="5" t="str">
        <f t="shared" si="44"/>
        <v/>
      </c>
      <c r="K528" s="3"/>
      <c r="L528" s="3" t="str">
        <f t="shared" si="43"/>
        <v/>
      </c>
      <c r="N528" s="3" t="str">
        <f t="shared" si="42"/>
        <v/>
      </c>
      <c r="O528" s="6" t="str">
        <f t="shared" si="45"/>
        <v/>
      </c>
      <c r="P528" s="7">
        <f ca="1">SUMIFS($N$2:$N528,$B$2:$B528,"&lt;&gt;"&amp;B528)+SUM($Q$2:$Q528)</f>
        <v>135.05500000000001</v>
      </c>
      <c r="R528" t="b">
        <f>AND(ISNUMBER(FIND($E528,Tables!$I$2)), ISNUMBER(FIND($D528,Tables!$J$2)), $E528&lt;&gt;"")</f>
        <v>0</v>
      </c>
    </row>
    <row r="529" spans="1:18" x14ac:dyDescent="0.3">
      <c r="A529">
        <f t="shared" si="41"/>
        <v>512</v>
      </c>
      <c r="B529" s="4"/>
      <c r="I529" s="8"/>
      <c r="J529" s="5" t="str">
        <f t="shared" si="44"/>
        <v/>
      </c>
      <c r="K529" s="3"/>
      <c r="L529" s="3" t="str">
        <f t="shared" si="43"/>
        <v/>
      </c>
      <c r="N529" s="3" t="str">
        <f t="shared" si="42"/>
        <v/>
      </c>
      <c r="O529" s="6" t="str">
        <f t="shared" si="45"/>
        <v/>
      </c>
      <c r="P529" s="7">
        <f ca="1">SUMIFS($N$2:$N529,$B$2:$B529,"&lt;&gt;"&amp;B529)+SUM($Q$2:$Q529)</f>
        <v>135.05500000000001</v>
      </c>
      <c r="R529" t="b">
        <f>AND(ISNUMBER(FIND($E529,Tables!$I$2)), ISNUMBER(FIND($D529,Tables!$J$2)), $E529&lt;&gt;"")</f>
        <v>0</v>
      </c>
    </row>
    <row r="530" spans="1:18" x14ac:dyDescent="0.3">
      <c r="A530">
        <f t="shared" si="41"/>
        <v>513</v>
      </c>
      <c r="B530" s="4"/>
      <c r="I530" s="8"/>
      <c r="J530" s="5" t="str">
        <f t="shared" si="44"/>
        <v/>
      </c>
      <c r="K530" s="3"/>
      <c r="L530" s="3" t="str">
        <f t="shared" si="43"/>
        <v/>
      </c>
      <c r="N530" s="3" t="str">
        <f t="shared" si="42"/>
        <v/>
      </c>
      <c r="O530" s="6" t="str">
        <f t="shared" si="45"/>
        <v/>
      </c>
      <c r="P530" s="7">
        <f ca="1">SUMIFS($N$2:$N530,$B$2:$B530,"&lt;&gt;"&amp;B530)+SUM($Q$2:$Q530)</f>
        <v>135.05500000000001</v>
      </c>
      <c r="R530" t="b">
        <f>AND(ISNUMBER(FIND($E530,Tables!$I$2)), ISNUMBER(FIND($D530,Tables!$J$2)), $E530&lt;&gt;"")</f>
        <v>0</v>
      </c>
    </row>
    <row r="531" spans="1:18" x14ac:dyDescent="0.3">
      <c r="A531">
        <f t="shared" si="41"/>
        <v>514</v>
      </c>
      <c r="B531" s="4"/>
      <c r="I531" s="8"/>
      <c r="J531" s="5" t="str">
        <f t="shared" si="44"/>
        <v/>
      </c>
      <c r="K531" s="3"/>
      <c r="L531" s="3" t="str">
        <f t="shared" si="43"/>
        <v/>
      </c>
      <c r="N531" s="3" t="str">
        <f t="shared" si="42"/>
        <v/>
      </c>
      <c r="O531" s="6" t="str">
        <f t="shared" si="45"/>
        <v/>
      </c>
      <c r="P531" s="7">
        <f ca="1">SUMIFS($N$2:$N531,$B$2:$B531,"&lt;&gt;"&amp;B531)+SUM($Q$2:$Q531)</f>
        <v>135.05500000000001</v>
      </c>
      <c r="R531" t="b">
        <f>AND(ISNUMBER(FIND($E531,Tables!$I$2)), ISNUMBER(FIND($D531,Tables!$J$2)), $E531&lt;&gt;"")</f>
        <v>0</v>
      </c>
    </row>
    <row r="532" spans="1:18" x14ac:dyDescent="0.3">
      <c r="A532">
        <f t="shared" si="41"/>
        <v>515</v>
      </c>
      <c r="B532" s="4"/>
      <c r="I532" s="8"/>
      <c r="J532" s="5" t="str">
        <f t="shared" si="44"/>
        <v/>
      </c>
      <c r="K532" s="3"/>
      <c r="L532" s="3" t="str">
        <f t="shared" si="43"/>
        <v/>
      </c>
      <c r="N532" s="3" t="str">
        <f t="shared" si="42"/>
        <v/>
      </c>
      <c r="O532" s="6" t="str">
        <f t="shared" si="45"/>
        <v/>
      </c>
      <c r="P532" s="7">
        <f ca="1">SUMIFS($N$2:$N532,$B$2:$B532,"&lt;&gt;"&amp;B532)+SUM($Q$2:$Q532)</f>
        <v>135.05500000000001</v>
      </c>
      <c r="R532" t="b">
        <f>AND(ISNUMBER(FIND($E532,Tables!$I$2)), ISNUMBER(FIND($D532,Tables!$J$2)), $E532&lt;&gt;"")</f>
        <v>0</v>
      </c>
    </row>
    <row r="533" spans="1:18" x14ac:dyDescent="0.3">
      <c r="A533">
        <f t="shared" si="41"/>
        <v>516</v>
      </c>
      <c r="B533" s="4"/>
      <c r="I533" s="8"/>
      <c r="J533" s="5" t="str">
        <f t="shared" si="44"/>
        <v/>
      </c>
      <c r="K533" s="3"/>
      <c r="L533" s="3" t="str">
        <f t="shared" si="43"/>
        <v/>
      </c>
      <c r="N533" s="3" t="str">
        <f t="shared" si="42"/>
        <v/>
      </c>
      <c r="O533" s="6" t="str">
        <f t="shared" si="45"/>
        <v/>
      </c>
      <c r="P533" s="7">
        <f ca="1">SUMIFS($N$2:$N533,$B$2:$B533,"&lt;&gt;"&amp;B533)+SUM($Q$2:$Q533)</f>
        <v>135.05500000000001</v>
      </c>
      <c r="R533" t="b">
        <f>AND(ISNUMBER(FIND($E533,Tables!$I$2)), ISNUMBER(FIND($D533,Tables!$J$2)), $E533&lt;&gt;"")</f>
        <v>0</v>
      </c>
    </row>
    <row r="534" spans="1:18" x14ac:dyDescent="0.3">
      <c r="A534">
        <f t="shared" si="41"/>
        <v>517</v>
      </c>
      <c r="B534" s="4"/>
      <c r="I534" s="8"/>
      <c r="J534" s="5" t="str">
        <f t="shared" si="44"/>
        <v/>
      </c>
      <c r="K534" s="3"/>
      <c r="L534" s="3" t="str">
        <f t="shared" si="43"/>
        <v/>
      </c>
      <c r="N534" s="3" t="str">
        <f t="shared" si="42"/>
        <v/>
      </c>
      <c r="O534" s="6" t="str">
        <f t="shared" si="45"/>
        <v/>
      </c>
      <c r="P534" s="7">
        <f ca="1">SUMIFS($N$2:$N534,$B$2:$B534,"&lt;&gt;"&amp;B534)+SUM($Q$2:$Q534)</f>
        <v>135.05500000000001</v>
      </c>
      <c r="R534" t="b">
        <f>AND(ISNUMBER(FIND($E534,Tables!$I$2)), ISNUMBER(FIND($D534,Tables!$J$2)), $E534&lt;&gt;"")</f>
        <v>0</v>
      </c>
    </row>
    <row r="535" spans="1:18" x14ac:dyDescent="0.3">
      <c r="A535">
        <f t="shared" si="41"/>
        <v>518</v>
      </c>
      <c r="B535" s="4"/>
      <c r="I535" s="8"/>
      <c r="J535" s="5" t="str">
        <f t="shared" si="44"/>
        <v/>
      </c>
      <c r="K535" s="3"/>
      <c r="L535" s="3" t="str">
        <f t="shared" si="43"/>
        <v/>
      </c>
      <c r="N535" s="3" t="str">
        <f t="shared" si="42"/>
        <v/>
      </c>
      <c r="O535" s="6" t="str">
        <f t="shared" si="45"/>
        <v/>
      </c>
      <c r="P535" s="7">
        <f ca="1">SUMIFS($N$2:$N535,$B$2:$B535,"&lt;&gt;"&amp;B535)+SUM($Q$2:$Q535)</f>
        <v>135.05500000000001</v>
      </c>
      <c r="R535" t="b">
        <f>AND(ISNUMBER(FIND($E535,Tables!$I$2)), ISNUMBER(FIND($D535,Tables!$J$2)), $E535&lt;&gt;"")</f>
        <v>0</v>
      </c>
    </row>
    <row r="536" spans="1:18" x14ac:dyDescent="0.3">
      <c r="A536">
        <f t="shared" si="41"/>
        <v>519</v>
      </c>
      <c r="B536" s="4"/>
      <c r="I536" s="8"/>
      <c r="J536" s="5" t="str">
        <f t="shared" si="44"/>
        <v/>
      </c>
      <c r="K536" s="3"/>
      <c r="L536" s="3" t="str">
        <f t="shared" si="43"/>
        <v/>
      </c>
      <c r="N536" s="3" t="str">
        <f t="shared" si="42"/>
        <v/>
      </c>
      <c r="O536" s="6" t="str">
        <f t="shared" si="45"/>
        <v/>
      </c>
      <c r="P536" s="7">
        <f ca="1">SUMIFS($N$2:$N536,$B$2:$B536,"&lt;&gt;"&amp;B536)+SUM($Q$2:$Q536)</f>
        <v>135.05500000000001</v>
      </c>
      <c r="R536" t="b">
        <f>AND(ISNUMBER(FIND($E536,Tables!$I$2)), ISNUMBER(FIND($D536,Tables!$J$2)), $E536&lt;&gt;"")</f>
        <v>0</v>
      </c>
    </row>
    <row r="537" spans="1:18" x14ac:dyDescent="0.3">
      <c r="A537">
        <f t="shared" si="41"/>
        <v>520</v>
      </c>
      <c r="B537" s="4"/>
      <c r="I537" s="8"/>
      <c r="J537" s="5" t="str">
        <f t="shared" si="44"/>
        <v/>
      </c>
      <c r="K537" s="3"/>
      <c r="L537" s="3" t="str">
        <f t="shared" si="43"/>
        <v/>
      </c>
      <c r="N537" s="3" t="str">
        <f t="shared" si="42"/>
        <v/>
      </c>
      <c r="O537" s="6" t="str">
        <f t="shared" si="45"/>
        <v/>
      </c>
      <c r="P537" s="7">
        <f ca="1">SUMIFS($N$2:$N537,$B$2:$B537,"&lt;&gt;"&amp;B537)+SUM($Q$2:$Q537)</f>
        <v>135.05500000000001</v>
      </c>
      <c r="R537" t="b">
        <f>AND(ISNUMBER(FIND($E537,Tables!$I$2)), ISNUMBER(FIND($D537,Tables!$J$2)), $E537&lt;&gt;"")</f>
        <v>0</v>
      </c>
    </row>
    <row r="538" spans="1:18" x14ac:dyDescent="0.3">
      <c r="A538">
        <f t="shared" si="41"/>
        <v>521</v>
      </c>
      <c r="B538" s="4"/>
      <c r="I538" s="8"/>
      <c r="J538" s="5" t="str">
        <f t="shared" si="44"/>
        <v/>
      </c>
      <c r="K538" s="3"/>
      <c r="L538" s="3" t="str">
        <f t="shared" si="43"/>
        <v/>
      </c>
      <c r="N538" s="3" t="str">
        <f t="shared" si="42"/>
        <v/>
      </c>
      <c r="O538" s="6" t="str">
        <f t="shared" si="45"/>
        <v/>
      </c>
      <c r="P538" s="7">
        <f ca="1">SUMIFS($N$2:$N538,$B$2:$B538,"&lt;&gt;"&amp;B538)+SUM($Q$2:$Q538)</f>
        <v>135.05500000000001</v>
      </c>
      <c r="R538" t="b">
        <f>AND(ISNUMBER(FIND($E538,Tables!$I$2)), ISNUMBER(FIND($D538,Tables!$J$2)), $E538&lt;&gt;"")</f>
        <v>0</v>
      </c>
    </row>
    <row r="539" spans="1:18" x14ac:dyDescent="0.3">
      <c r="A539">
        <f t="shared" si="41"/>
        <v>522</v>
      </c>
      <c r="B539" s="4"/>
      <c r="I539" s="8"/>
      <c r="J539" s="5" t="str">
        <f t="shared" si="44"/>
        <v/>
      </c>
      <c r="K539" s="3"/>
      <c r="L539" s="3" t="str">
        <f t="shared" si="43"/>
        <v/>
      </c>
      <c r="N539" s="3" t="str">
        <f t="shared" si="42"/>
        <v/>
      </c>
      <c r="O539" s="6" t="str">
        <f t="shared" si="45"/>
        <v/>
      </c>
      <c r="P539" s="7">
        <f ca="1">SUMIFS($N$2:$N539,$B$2:$B539,"&lt;&gt;"&amp;B539)+SUM($Q$2:$Q539)</f>
        <v>135.05500000000001</v>
      </c>
      <c r="R539" t="b">
        <f>AND(ISNUMBER(FIND($E539,Tables!$I$2)), ISNUMBER(FIND($D539,Tables!$J$2)), $E539&lt;&gt;"")</f>
        <v>0</v>
      </c>
    </row>
    <row r="540" spans="1:18" x14ac:dyDescent="0.3">
      <c r="A540">
        <f t="shared" si="41"/>
        <v>523</v>
      </c>
      <c r="B540" s="4"/>
      <c r="I540" s="8"/>
      <c r="J540" s="5" t="str">
        <f t="shared" si="44"/>
        <v/>
      </c>
      <c r="K540" s="3"/>
      <c r="L540" s="3" t="str">
        <f t="shared" si="43"/>
        <v/>
      </c>
      <c r="N540" s="3" t="str">
        <f t="shared" si="42"/>
        <v/>
      </c>
      <c r="O540" s="6" t="str">
        <f t="shared" si="45"/>
        <v/>
      </c>
      <c r="P540" s="7">
        <f ca="1">SUMIFS($N$2:$N540,$B$2:$B540,"&lt;&gt;"&amp;B540)+SUM($Q$2:$Q540)</f>
        <v>135.05500000000001</v>
      </c>
      <c r="R540" t="b">
        <f>AND(ISNUMBER(FIND($E540,Tables!$I$2)), ISNUMBER(FIND($D540,Tables!$J$2)), $E540&lt;&gt;"")</f>
        <v>0</v>
      </c>
    </row>
    <row r="541" spans="1:18" x14ac:dyDescent="0.3">
      <c r="A541">
        <f t="shared" si="41"/>
        <v>524</v>
      </c>
      <c r="B541" s="4"/>
      <c r="I541" s="8"/>
      <c r="J541" s="5" t="str">
        <f t="shared" si="44"/>
        <v/>
      </c>
      <c r="K541" s="3"/>
      <c r="L541" s="3" t="str">
        <f t="shared" si="43"/>
        <v/>
      </c>
      <c r="N541" s="3" t="str">
        <f t="shared" si="42"/>
        <v/>
      </c>
      <c r="O541" s="6" t="str">
        <f t="shared" si="45"/>
        <v/>
      </c>
      <c r="P541" s="7">
        <f ca="1">SUMIFS($N$2:$N541,$B$2:$B541,"&lt;&gt;"&amp;B541)+SUM($Q$2:$Q541)</f>
        <v>135.05500000000001</v>
      </c>
      <c r="R541" t="b">
        <f>AND(ISNUMBER(FIND($E541,Tables!$I$2)), ISNUMBER(FIND($D541,Tables!$J$2)), $E541&lt;&gt;"")</f>
        <v>0</v>
      </c>
    </row>
    <row r="542" spans="1:18" x14ac:dyDescent="0.3">
      <c r="A542">
        <f t="shared" si="41"/>
        <v>525</v>
      </c>
      <c r="B542" s="4"/>
      <c r="I542" s="8"/>
      <c r="J542" s="5" t="str">
        <f t="shared" si="44"/>
        <v/>
      </c>
      <c r="K542" s="3"/>
      <c r="L542" s="3" t="str">
        <f t="shared" si="43"/>
        <v/>
      </c>
      <c r="N542" s="3" t="str">
        <f t="shared" si="42"/>
        <v/>
      </c>
      <c r="O542" s="6" t="str">
        <f t="shared" si="45"/>
        <v/>
      </c>
      <c r="P542" s="7">
        <f ca="1">SUMIFS($N$2:$N542,$B$2:$B542,"&lt;&gt;"&amp;B542)+SUM($Q$2:$Q542)</f>
        <v>135.05500000000001</v>
      </c>
      <c r="R542" t="b">
        <f>AND(ISNUMBER(FIND($E542,Tables!$I$2)), ISNUMBER(FIND($D542,Tables!$J$2)), $E542&lt;&gt;"")</f>
        <v>0</v>
      </c>
    </row>
    <row r="543" spans="1:18" x14ac:dyDescent="0.3">
      <c r="A543">
        <f t="shared" si="41"/>
        <v>526</v>
      </c>
      <c r="B543" s="4"/>
      <c r="I543" s="8"/>
      <c r="J543" s="5" t="str">
        <f t="shared" si="44"/>
        <v/>
      </c>
      <c r="K543" s="3"/>
      <c r="L543" s="3" t="str">
        <f t="shared" si="43"/>
        <v/>
      </c>
      <c r="N543" s="3" t="str">
        <f t="shared" si="42"/>
        <v/>
      </c>
      <c r="O543" s="6" t="str">
        <f t="shared" si="45"/>
        <v/>
      </c>
      <c r="P543" s="7">
        <f ca="1">SUMIFS($N$2:$N543,$B$2:$B543,"&lt;&gt;"&amp;B543)+SUM($Q$2:$Q543)</f>
        <v>135.05500000000001</v>
      </c>
      <c r="R543" t="b">
        <f>AND(ISNUMBER(FIND($E543,Tables!$I$2)), ISNUMBER(FIND($D543,Tables!$J$2)), $E543&lt;&gt;"")</f>
        <v>0</v>
      </c>
    </row>
    <row r="544" spans="1:18" x14ac:dyDescent="0.3">
      <c r="A544">
        <f t="shared" si="41"/>
        <v>527</v>
      </c>
      <c r="B544" s="4"/>
      <c r="I544" s="8"/>
      <c r="J544" s="5" t="str">
        <f t="shared" si="44"/>
        <v/>
      </c>
      <c r="K544" s="3"/>
      <c r="L544" s="3" t="str">
        <f t="shared" si="43"/>
        <v/>
      </c>
      <c r="N544" s="3" t="str">
        <f t="shared" si="42"/>
        <v/>
      </c>
      <c r="O544" s="6" t="str">
        <f t="shared" si="45"/>
        <v/>
      </c>
      <c r="P544" s="7">
        <f ca="1">SUMIFS($N$2:$N544,$B$2:$B544,"&lt;&gt;"&amp;B544)+SUM($Q$2:$Q544)</f>
        <v>135.05500000000001</v>
      </c>
      <c r="R544" t="b">
        <f>AND(ISNUMBER(FIND($E544,Tables!$I$2)), ISNUMBER(FIND($D544,Tables!$J$2)), $E544&lt;&gt;"")</f>
        <v>0</v>
      </c>
    </row>
    <row r="545" spans="1:18" x14ac:dyDescent="0.3">
      <c r="A545">
        <f t="shared" si="41"/>
        <v>528</v>
      </c>
      <c r="B545" s="4"/>
      <c r="I545" s="8"/>
      <c r="J545" s="5" t="str">
        <f t="shared" si="44"/>
        <v/>
      </c>
      <c r="K545" s="3"/>
      <c r="L545" s="3" t="str">
        <f t="shared" si="43"/>
        <v/>
      </c>
      <c r="N545" s="3" t="str">
        <f t="shared" si="42"/>
        <v/>
      </c>
      <c r="O545" s="6" t="str">
        <f t="shared" si="45"/>
        <v/>
      </c>
      <c r="P545" s="7">
        <f ca="1">SUMIFS($N$2:$N545,$B$2:$B545,"&lt;&gt;"&amp;B545)+SUM($Q$2:$Q545)</f>
        <v>135.05500000000001</v>
      </c>
      <c r="R545" t="b">
        <f>AND(ISNUMBER(FIND($E545,Tables!$I$2)), ISNUMBER(FIND($D545,Tables!$J$2)), $E545&lt;&gt;"")</f>
        <v>0</v>
      </c>
    </row>
    <row r="546" spans="1:18" x14ac:dyDescent="0.3">
      <c r="A546">
        <f t="shared" ref="A546:A609" si="46">IF(AND(B546="", D546&lt;&gt;""), A545, A545+1)</f>
        <v>529</v>
      </c>
      <c r="B546" s="4"/>
      <c r="I546" s="8"/>
      <c r="J546" s="5" t="str">
        <f t="shared" si="44"/>
        <v/>
      </c>
      <c r="K546" s="3"/>
      <c r="L546" s="3" t="str">
        <f t="shared" si="43"/>
        <v/>
      </c>
      <c r="N546" s="3" t="str">
        <f t="shared" si="42"/>
        <v/>
      </c>
      <c r="O546" s="6" t="str">
        <f t="shared" si="45"/>
        <v/>
      </c>
      <c r="P546" s="7">
        <f ca="1">SUMIFS($N$2:$N546,$B$2:$B546,"&lt;&gt;"&amp;B546)+SUM($Q$2:$Q546)</f>
        <v>135.05500000000001</v>
      </c>
      <c r="R546" t="b">
        <f>AND(ISNUMBER(FIND($E546,Tables!$I$2)), ISNUMBER(FIND($D546,Tables!$J$2)), $E546&lt;&gt;"")</f>
        <v>0</v>
      </c>
    </row>
    <row r="547" spans="1:18" x14ac:dyDescent="0.3">
      <c r="A547">
        <f t="shared" si="46"/>
        <v>530</v>
      </c>
      <c r="B547" s="4"/>
      <c r="I547" s="8"/>
      <c r="J547" s="5" t="str">
        <f t="shared" si="44"/>
        <v/>
      </c>
      <c r="K547" s="3"/>
      <c r="L547" s="3" t="str">
        <f t="shared" si="43"/>
        <v/>
      </c>
      <c r="N547" s="3" t="str">
        <f t="shared" si="42"/>
        <v/>
      </c>
      <c r="O547" s="6" t="str">
        <f t="shared" si="45"/>
        <v/>
      </c>
      <c r="P547" s="7">
        <f ca="1">SUMIFS($N$2:$N547,$B$2:$B547,"&lt;&gt;"&amp;B547)+SUM($Q$2:$Q547)</f>
        <v>135.05500000000001</v>
      </c>
      <c r="R547" t="b">
        <f>AND(ISNUMBER(FIND($E547,Tables!$I$2)), ISNUMBER(FIND($D547,Tables!$J$2)), $E547&lt;&gt;"")</f>
        <v>0</v>
      </c>
    </row>
    <row r="548" spans="1:18" x14ac:dyDescent="0.3">
      <c r="A548">
        <f t="shared" si="46"/>
        <v>531</v>
      </c>
      <c r="B548" s="4"/>
      <c r="I548" s="8"/>
      <c r="J548" s="5" t="str">
        <f t="shared" si="44"/>
        <v/>
      </c>
      <c r="K548" s="3"/>
      <c r="L548" s="3" t="str">
        <f t="shared" si="43"/>
        <v/>
      </c>
      <c r="N548" s="3" t="str">
        <f t="shared" si="42"/>
        <v/>
      </c>
      <c r="O548" s="6" t="str">
        <f t="shared" si="45"/>
        <v/>
      </c>
      <c r="P548" s="7">
        <f ca="1">SUMIFS($N$2:$N548,$B$2:$B548,"&lt;&gt;"&amp;B548)+SUM($Q$2:$Q548)</f>
        <v>135.05500000000001</v>
      </c>
      <c r="R548" t="b">
        <f>AND(ISNUMBER(FIND($E548,Tables!$I$2)), ISNUMBER(FIND($D548,Tables!$J$2)), $E548&lt;&gt;"")</f>
        <v>0</v>
      </c>
    </row>
    <row r="549" spans="1:18" x14ac:dyDescent="0.3">
      <c r="A549">
        <f t="shared" si="46"/>
        <v>532</v>
      </c>
      <c r="B549" s="4"/>
      <c r="I549" s="8"/>
      <c r="J549" s="5" t="str">
        <f t="shared" si="44"/>
        <v/>
      </c>
      <c r="K549" s="3"/>
      <c r="L549" s="3" t="str">
        <f t="shared" si="43"/>
        <v/>
      </c>
      <c r="N549" s="3" t="str">
        <f t="shared" si="42"/>
        <v/>
      </c>
      <c r="O549" s="6" t="str">
        <f t="shared" si="45"/>
        <v/>
      </c>
      <c r="P549" s="7">
        <f ca="1">SUMIFS($N$2:$N549,$B$2:$B549,"&lt;&gt;"&amp;B549)+SUM($Q$2:$Q549)</f>
        <v>135.05500000000001</v>
      </c>
      <c r="R549" t="b">
        <f>AND(ISNUMBER(FIND($E549,Tables!$I$2)), ISNUMBER(FIND($D549,Tables!$J$2)), $E549&lt;&gt;"")</f>
        <v>0</v>
      </c>
    </row>
    <row r="550" spans="1:18" x14ac:dyDescent="0.3">
      <c r="A550">
        <f t="shared" si="46"/>
        <v>533</v>
      </c>
      <c r="B550" s="4"/>
      <c r="I550" s="8"/>
      <c r="J550" s="5" t="str">
        <f t="shared" si="44"/>
        <v/>
      </c>
      <c r="K550" s="3"/>
      <c r="L550" s="3" t="str">
        <f t="shared" si="43"/>
        <v/>
      </c>
      <c r="N550" s="3" t="str">
        <f t="shared" si="42"/>
        <v/>
      </c>
      <c r="O550" s="6" t="str">
        <f t="shared" si="45"/>
        <v/>
      </c>
      <c r="P550" s="7">
        <f ca="1">SUMIFS($N$2:$N550,$B$2:$B550,"&lt;&gt;"&amp;B550)+SUM($Q$2:$Q550)</f>
        <v>135.05500000000001</v>
      </c>
      <c r="R550" t="b">
        <f>AND(ISNUMBER(FIND($E550,Tables!$I$2)), ISNUMBER(FIND($D550,Tables!$J$2)), $E550&lt;&gt;"")</f>
        <v>0</v>
      </c>
    </row>
    <row r="551" spans="1:18" x14ac:dyDescent="0.3">
      <c r="A551">
        <f t="shared" si="46"/>
        <v>534</v>
      </c>
      <c r="B551" s="4"/>
      <c r="I551" s="8"/>
      <c r="J551" s="5" t="str">
        <f t="shared" si="44"/>
        <v/>
      </c>
      <c r="K551" s="3"/>
      <c r="L551" s="3" t="str">
        <f t="shared" si="43"/>
        <v/>
      </c>
      <c r="N551" s="3" t="str">
        <f t="shared" si="42"/>
        <v/>
      </c>
      <c r="O551" s="6" t="str">
        <f t="shared" si="45"/>
        <v/>
      </c>
      <c r="P551" s="7">
        <f ca="1">SUMIFS($N$2:$N551,$B$2:$B551,"&lt;&gt;"&amp;B551)+SUM($Q$2:$Q551)</f>
        <v>135.05500000000001</v>
      </c>
      <c r="R551" t="b">
        <f>AND(ISNUMBER(FIND($E551,Tables!$I$2)), ISNUMBER(FIND($D551,Tables!$J$2)), $E551&lt;&gt;"")</f>
        <v>0</v>
      </c>
    </row>
    <row r="552" spans="1:18" x14ac:dyDescent="0.3">
      <c r="A552">
        <f t="shared" si="46"/>
        <v>535</v>
      </c>
      <c r="B552" s="4"/>
      <c r="I552" s="8"/>
      <c r="J552" s="5" t="str">
        <f t="shared" si="44"/>
        <v/>
      </c>
      <c r="K552" s="3"/>
      <c r="L552" s="3" t="str">
        <f t="shared" si="43"/>
        <v/>
      </c>
      <c r="N552" s="3" t="str">
        <f t="shared" ref="N552:N615" si="47">IF(L552 = "", "", IF(M552="", "", IF(OR(M552="Draw",M552="NC"), 0, IF(M552="win", L552, -1*K552))))</f>
        <v/>
      </c>
      <c r="O552" s="6" t="str">
        <f t="shared" si="45"/>
        <v/>
      </c>
      <c r="P552" s="7">
        <f ca="1">SUMIFS($N$2:$N552,$B$2:$B552,"&lt;&gt;"&amp;B552)+SUM($Q$2:$Q552)</f>
        <v>135.05500000000001</v>
      </c>
      <c r="R552" t="b">
        <f>AND(ISNUMBER(FIND($E552,Tables!$I$2)), ISNUMBER(FIND($D552,Tables!$J$2)), $E552&lt;&gt;"")</f>
        <v>0</v>
      </c>
    </row>
    <row r="553" spans="1:18" x14ac:dyDescent="0.3">
      <c r="A553">
        <f t="shared" si="46"/>
        <v>536</v>
      </c>
      <c r="B553" s="4"/>
      <c r="I553" s="8"/>
      <c r="J553" s="5" t="str">
        <f t="shared" si="44"/>
        <v/>
      </c>
      <c r="K553" s="3"/>
      <c r="L553" s="3" t="str">
        <f t="shared" si="43"/>
        <v/>
      </c>
      <c r="N553" s="3" t="str">
        <f t="shared" si="47"/>
        <v/>
      </c>
      <c r="O553" s="6" t="str">
        <f t="shared" si="45"/>
        <v/>
      </c>
      <c r="P553" s="7">
        <f ca="1">SUMIFS($N$2:$N553,$B$2:$B553,"&lt;&gt;"&amp;B553)+SUM($Q$2:$Q553)</f>
        <v>135.05500000000001</v>
      </c>
      <c r="R553" t="b">
        <f>AND(ISNUMBER(FIND($E553,Tables!$I$2)), ISNUMBER(FIND($D553,Tables!$J$2)), $E553&lt;&gt;"")</f>
        <v>0</v>
      </c>
    </row>
    <row r="554" spans="1:18" x14ac:dyDescent="0.3">
      <c r="A554">
        <f t="shared" si="46"/>
        <v>537</v>
      </c>
      <c r="B554" s="4"/>
      <c r="I554" s="8"/>
      <c r="J554" s="5" t="str">
        <f t="shared" si="44"/>
        <v/>
      </c>
      <c r="K554" s="3"/>
      <c r="L554" s="3" t="str">
        <f t="shared" si="43"/>
        <v/>
      </c>
      <c r="N554" s="3" t="str">
        <f t="shared" si="47"/>
        <v/>
      </c>
      <c r="O554" s="6" t="str">
        <f t="shared" si="45"/>
        <v/>
      </c>
      <c r="P554" s="7">
        <f ca="1">SUMIFS($N$2:$N554,$B$2:$B554,"&lt;&gt;"&amp;B554)+SUM($Q$2:$Q554)</f>
        <v>135.05500000000001</v>
      </c>
      <c r="R554" t="b">
        <f>AND(ISNUMBER(FIND($E554,Tables!$I$2)), ISNUMBER(FIND($D554,Tables!$J$2)), $E554&lt;&gt;"")</f>
        <v>0</v>
      </c>
    </row>
    <row r="555" spans="1:18" x14ac:dyDescent="0.3">
      <c r="A555">
        <f t="shared" si="46"/>
        <v>538</v>
      </c>
      <c r="B555" s="4"/>
      <c r="I555" s="8"/>
      <c r="J555" s="5" t="str">
        <f t="shared" si="44"/>
        <v/>
      </c>
      <c r="K555" s="3"/>
      <c r="L555" s="3" t="str">
        <f t="shared" si="43"/>
        <v/>
      </c>
      <c r="N555" s="3" t="str">
        <f t="shared" si="47"/>
        <v/>
      </c>
      <c r="O555" s="6" t="str">
        <f t="shared" si="45"/>
        <v/>
      </c>
      <c r="P555" s="7">
        <f ca="1">SUMIFS($N$2:$N555,$B$2:$B555,"&lt;&gt;"&amp;B555)+SUM($Q$2:$Q555)</f>
        <v>135.05500000000001</v>
      </c>
      <c r="R555" t="b">
        <f>AND(ISNUMBER(FIND($E555,Tables!$I$2)), ISNUMBER(FIND($D555,Tables!$J$2)), $E555&lt;&gt;"")</f>
        <v>0</v>
      </c>
    </row>
    <row r="556" spans="1:18" x14ac:dyDescent="0.3">
      <c r="A556">
        <f t="shared" si="46"/>
        <v>539</v>
      </c>
      <c r="B556" s="4"/>
      <c r="I556" s="8"/>
      <c r="J556" s="5" t="str">
        <f t="shared" si="44"/>
        <v/>
      </c>
      <c r="K556" s="3"/>
      <c r="L556" s="3" t="str">
        <f t="shared" si="43"/>
        <v/>
      </c>
      <c r="N556" s="3" t="str">
        <f t="shared" si="47"/>
        <v/>
      </c>
      <c r="O556" s="6" t="str">
        <f t="shared" si="45"/>
        <v/>
      </c>
      <c r="P556" s="7">
        <f ca="1">SUMIFS($N$2:$N556,$B$2:$B556,"&lt;&gt;"&amp;B556)+SUM($Q$2:$Q556)</f>
        <v>135.05500000000001</v>
      </c>
      <c r="R556" t="b">
        <f>AND(ISNUMBER(FIND($E556,Tables!$I$2)), ISNUMBER(FIND($D556,Tables!$J$2)), $E556&lt;&gt;"")</f>
        <v>0</v>
      </c>
    </row>
    <row r="557" spans="1:18" x14ac:dyDescent="0.3">
      <c r="A557">
        <f t="shared" si="46"/>
        <v>540</v>
      </c>
      <c r="B557" s="4"/>
      <c r="I557" s="8"/>
      <c r="J557" s="5" t="str">
        <f t="shared" si="44"/>
        <v/>
      </c>
      <c r="K557" s="3"/>
      <c r="L557" s="3" t="str">
        <f t="shared" si="43"/>
        <v/>
      </c>
      <c r="N557" s="3" t="str">
        <f t="shared" si="47"/>
        <v/>
      </c>
      <c r="O557" s="6" t="str">
        <f t="shared" si="45"/>
        <v/>
      </c>
      <c r="P557" s="7">
        <f ca="1">SUMIFS($N$2:$N557,$B$2:$B557,"&lt;&gt;"&amp;B557)+SUM($Q$2:$Q557)</f>
        <v>135.05500000000001</v>
      </c>
      <c r="R557" t="b">
        <f>AND(ISNUMBER(FIND($E557,Tables!$I$2)), ISNUMBER(FIND($D557,Tables!$J$2)), $E557&lt;&gt;"")</f>
        <v>0</v>
      </c>
    </row>
    <row r="558" spans="1:18" x14ac:dyDescent="0.3">
      <c r="A558">
        <f t="shared" si="46"/>
        <v>541</v>
      </c>
      <c r="B558" s="4"/>
      <c r="I558" s="8"/>
      <c r="J558" s="5" t="str">
        <f t="shared" si="44"/>
        <v/>
      </c>
      <c r="K558" s="3"/>
      <c r="L558" s="3" t="str">
        <f t="shared" si="43"/>
        <v/>
      </c>
      <c r="N558" s="3" t="str">
        <f t="shared" si="47"/>
        <v/>
      </c>
      <c r="O558" s="6" t="str">
        <f t="shared" si="45"/>
        <v/>
      </c>
      <c r="P558" s="7">
        <f ca="1">SUMIFS($N$2:$N558,$B$2:$B558,"&lt;&gt;"&amp;B558)+SUM($Q$2:$Q558)</f>
        <v>135.05500000000001</v>
      </c>
      <c r="R558" t="b">
        <f>AND(ISNUMBER(FIND($E558,Tables!$I$2)), ISNUMBER(FIND($D558,Tables!$J$2)), $E558&lt;&gt;"")</f>
        <v>0</v>
      </c>
    </row>
    <row r="559" spans="1:18" x14ac:dyDescent="0.3">
      <c r="A559">
        <f t="shared" si="46"/>
        <v>542</v>
      </c>
      <c r="B559" s="4"/>
      <c r="I559" s="8"/>
      <c r="J559" s="5" t="str">
        <f t="shared" si="44"/>
        <v/>
      </c>
      <c r="K559" s="3"/>
      <c r="L559" s="3" t="str">
        <f t="shared" si="43"/>
        <v/>
      </c>
      <c r="N559" s="3" t="str">
        <f t="shared" si="47"/>
        <v/>
      </c>
      <c r="O559" s="6" t="str">
        <f t="shared" si="45"/>
        <v/>
      </c>
      <c r="P559" s="7">
        <f ca="1">SUMIFS($N$2:$N559,$B$2:$B559,"&lt;&gt;"&amp;B559)+SUM($Q$2:$Q559)</f>
        <v>135.05500000000001</v>
      </c>
      <c r="R559" t="b">
        <f>AND(ISNUMBER(FIND($E559,Tables!$I$2)), ISNUMBER(FIND($D559,Tables!$J$2)), $E559&lt;&gt;"")</f>
        <v>0</v>
      </c>
    </row>
    <row r="560" spans="1:18" x14ac:dyDescent="0.3">
      <c r="A560">
        <f t="shared" si="46"/>
        <v>543</v>
      </c>
      <c r="B560" s="4"/>
      <c r="I560" s="8"/>
      <c r="J560" s="5" t="str">
        <f t="shared" si="44"/>
        <v/>
      </c>
      <c r="K560" s="3"/>
      <c r="L560" s="3" t="str">
        <f t="shared" si="43"/>
        <v/>
      </c>
      <c r="N560" s="3" t="str">
        <f t="shared" si="47"/>
        <v/>
      </c>
      <c r="O560" s="6" t="str">
        <f t="shared" si="45"/>
        <v/>
      </c>
      <c r="P560" s="7">
        <f ca="1">SUMIFS($N$2:$N560,$B$2:$B560,"&lt;&gt;"&amp;B560)+SUM($Q$2:$Q560)</f>
        <v>135.05500000000001</v>
      </c>
      <c r="R560" t="b">
        <f>AND(ISNUMBER(FIND($E560,Tables!$I$2)), ISNUMBER(FIND($D560,Tables!$J$2)), $E560&lt;&gt;"")</f>
        <v>0</v>
      </c>
    </row>
    <row r="561" spans="1:18" x14ac:dyDescent="0.3">
      <c r="A561">
        <f t="shared" si="46"/>
        <v>544</v>
      </c>
      <c r="B561" s="4"/>
      <c r="I561" s="8"/>
      <c r="J561" s="5" t="str">
        <f t="shared" si="44"/>
        <v/>
      </c>
      <c r="K561" s="3"/>
      <c r="L561" s="3" t="str">
        <f t="shared" si="43"/>
        <v/>
      </c>
      <c r="N561" s="3" t="str">
        <f t="shared" si="47"/>
        <v/>
      </c>
      <c r="O561" s="6" t="str">
        <f t="shared" si="45"/>
        <v/>
      </c>
      <c r="P561" s="7">
        <f ca="1">SUMIFS($N$2:$N561,$B$2:$B561,"&lt;&gt;"&amp;B561)+SUM($Q$2:$Q561)</f>
        <v>135.05500000000001</v>
      </c>
      <c r="R561" t="b">
        <f>AND(ISNUMBER(FIND($E561,Tables!$I$2)), ISNUMBER(FIND($D561,Tables!$J$2)), $E561&lt;&gt;"")</f>
        <v>0</v>
      </c>
    </row>
    <row r="562" spans="1:18" x14ac:dyDescent="0.3">
      <c r="A562">
        <f t="shared" si="46"/>
        <v>545</v>
      </c>
      <c r="B562" s="4"/>
      <c r="I562" s="8"/>
      <c r="J562" s="5" t="str">
        <f t="shared" si="44"/>
        <v/>
      </c>
      <c r="K562" s="3"/>
      <c r="L562" s="3" t="str">
        <f t="shared" ref="L562:L625" si="48">IFERROR(IF(K562=0, "", IF(I562&gt;0, K562/100*I562,K562/I562*-100)), "")</f>
        <v/>
      </c>
      <c r="N562" s="3" t="str">
        <f t="shared" si="47"/>
        <v/>
      </c>
      <c r="O562" s="6" t="str">
        <f t="shared" si="45"/>
        <v/>
      </c>
      <c r="P562" s="7">
        <f ca="1">SUMIFS($N$2:$N562,$B$2:$B562,"&lt;&gt;"&amp;B562)+SUM($Q$2:$Q562)</f>
        <v>135.05500000000001</v>
      </c>
      <c r="R562" t="b">
        <f>AND(ISNUMBER(FIND($E562,Tables!$I$2)), ISNUMBER(FIND($D562,Tables!$J$2)), $E562&lt;&gt;"")</f>
        <v>0</v>
      </c>
    </row>
    <row r="563" spans="1:18" x14ac:dyDescent="0.3">
      <c r="A563">
        <f t="shared" si="46"/>
        <v>546</v>
      </c>
      <c r="B563" s="4"/>
      <c r="I563" s="8"/>
      <c r="J563" s="5" t="str">
        <f t="shared" si="44"/>
        <v/>
      </c>
      <c r="K563" s="3"/>
      <c r="L563" s="3" t="str">
        <f t="shared" si="48"/>
        <v/>
      </c>
      <c r="N563" s="3" t="str">
        <f t="shared" si="47"/>
        <v/>
      </c>
      <c r="O563" s="6" t="str">
        <f t="shared" si="45"/>
        <v/>
      </c>
      <c r="P563" s="7">
        <f ca="1">SUMIFS($N$2:$N563,$B$2:$B563,"&lt;&gt;"&amp;B563)+SUM($Q$2:$Q563)</f>
        <v>135.05500000000001</v>
      </c>
      <c r="R563" t="b">
        <f>AND(ISNUMBER(FIND($E563,Tables!$I$2)), ISNUMBER(FIND($D563,Tables!$J$2)), $E563&lt;&gt;"")</f>
        <v>0</v>
      </c>
    </row>
    <row r="564" spans="1:18" x14ac:dyDescent="0.3">
      <c r="A564">
        <f t="shared" si="46"/>
        <v>547</v>
      </c>
      <c r="B564" s="4"/>
      <c r="I564" s="8"/>
      <c r="J564" s="5" t="str">
        <f t="shared" si="44"/>
        <v/>
      </c>
      <c r="K564" s="3"/>
      <c r="L564" s="3" t="str">
        <f t="shared" si="48"/>
        <v/>
      </c>
      <c r="N564" s="3" t="str">
        <f t="shared" si="47"/>
        <v/>
      </c>
      <c r="O564" s="6" t="str">
        <f t="shared" si="45"/>
        <v/>
      </c>
      <c r="P564" s="7">
        <f ca="1">SUMIFS($N$2:$N564,$B$2:$B564,"&lt;&gt;"&amp;B564)+SUM($Q$2:$Q564)</f>
        <v>135.05500000000001</v>
      </c>
      <c r="R564" t="b">
        <f>AND(ISNUMBER(FIND($E564,Tables!$I$2)), ISNUMBER(FIND($D564,Tables!$J$2)), $E564&lt;&gt;"")</f>
        <v>0</v>
      </c>
    </row>
    <row r="565" spans="1:18" x14ac:dyDescent="0.3">
      <c r="A565">
        <f t="shared" si="46"/>
        <v>548</v>
      </c>
      <c r="B565" s="4"/>
      <c r="I565" s="8"/>
      <c r="J565" s="5" t="str">
        <f t="shared" si="44"/>
        <v/>
      </c>
      <c r="K565" s="3"/>
      <c r="L565" s="3" t="str">
        <f t="shared" si="48"/>
        <v/>
      </c>
      <c r="N565" s="3" t="str">
        <f t="shared" si="47"/>
        <v/>
      </c>
      <c r="O565" s="6" t="str">
        <f t="shared" si="45"/>
        <v/>
      </c>
      <c r="P565" s="7">
        <f ca="1">SUMIFS($N$2:$N565,$B$2:$B565,"&lt;&gt;"&amp;B565)+SUM($Q$2:$Q565)</f>
        <v>135.05500000000001</v>
      </c>
      <c r="R565" t="b">
        <f>AND(ISNUMBER(FIND($E565,Tables!$I$2)), ISNUMBER(FIND($D565,Tables!$J$2)), $E565&lt;&gt;"")</f>
        <v>0</v>
      </c>
    </row>
    <row r="566" spans="1:18" x14ac:dyDescent="0.3">
      <c r="A566">
        <f t="shared" si="46"/>
        <v>549</v>
      </c>
      <c r="B566" s="4"/>
      <c r="I566" s="8"/>
      <c r="J566" s="5" t="str">
        <f t="shared" si="44"/>
        <v/>
      </c>
      <c r="K566" s="3"/>
      <c r="L566" s="3" t="str">
        <f t="shared" si="48"/>
        <v/>
      </c>
      <c r="N566" s="3" t="str">
        <f t="shared" si="47"/>
        <v/>
      </c>
      <c r="O566" s="6" t="str">
        <f t="shared" si="45"/>
        <v/>
      </c>
      <c r="P566" s="7">
        <f ca="1">SUMIFS($N$2:$N566,$B$2:$B566,"&lt;&gt;"&amp;B566)+SUM($Q$2:$Q566)</f>
        <v>135.05500000000001</v>
      </c>
      <c r="R566" t="b">
        <f>AND(ISNUMBER(FIND($E566,Tables!$I$2)), ISNUMBER(FIND($D566,Tables!$J$2)), $E566&lt;&gt;"")</f>
        <v>0</v>
      </c>
    </row>
    <row r="567" spans="1:18" x14ac:dyDescent="0.3">
      <c r="A567">
        <f t="shared" si="46"/>
        <v>550</v>
      </c>
      <c r="B567" s="4"/>
      <c r="I567" s="8"/>
      <c r="J567" s="5" t="str">
        <f t="shared" si="44"/>
        <v/>
      </c>
      <c r="K567" s="3"/>
      <c r="L567" s="3" t="str">
        <f t="shared" si="48"/>
        <v/>
      </c>
      <c r="N567" s="3" t="str">
        <f t="shared" si="47"/>
        <v/>
      </c>
      <c r="O567" s="6" t="str">
        <f t="shared" si="45"/>
        <v/>
      </c>
      <c r="P567" s="7">
        <f ca="1">SUMIFS($N$2:$N567,$B$2:$B567,"&lt;&gt;"&amp;B567)+SUM($Q$2:$Q567)</f>
        <v>135.05500000000001</v>
      </c>
      <c r="R567" t="b">
        <f>AND(ISNUMBER(FIND($E567,Tables!$I$2)), ISNUMBER(FIND($D567,Tables!$J$2)), $E567&lt;&gt;"")</f>
        <v>0</v>
      </c>
    </row>
    <row r="568" spans="1:18" x14ac:dyDescent="0.3">
      <c r="A568">
        <f t="shared" si="46"/>
        <v>551</v>
      </c>
      <c r="B568" s="4"/>
      <c r="I568" s="8"/>
      <c r="J568" s="5" t="str">
        <f t="shared" si="44"/>
        <v/>
      </c>
      <c r="K568" s="3"/>
      <c r="L568" s="3" t="str">
        <f t="shared" si="48"/>
        <v/>
      </c>
      <c r="N568" s="3" t="str">
        <f t="shared" si="47"/>
        <v/>
      </c>
      <c r="O568" s="6" t="str">
        <f t="shared" si="45"/>
        <v/>
      </c>
      <c r="P568" s="7">
        <f ca="1">SUMIFS($N$2:$N568,$B$2:$B568,"&lt;&gt;"&amp;B568)+SUM($Q$2:$Q568)</f>
        <v>135.05500000000001</v>
      </c>
      <c r="R568" t="b">
        <f>AND(ISNUMBER(FIND($E568,Tables!$I$2)), ISNUMBER(FIND($D568,Tables!$J$2)), $E568&lt;&gt;"")</f>
        <v>0</v>
      </c>
    </row>
    <row r="569" spans="1:18" x14ac:dyDescent="0.3">
      <c r="A569">
        <f t="shared" si="46"/>
        <v>552</v>
      </c>
      <c r="B569" s="4"/>
      <c r="I569" s="8"/>
      <c r="J569" s="5" t="str">
        <f t="shared" si="44"/>
        <v/>
      </c>
      <c r="K569" s="3"/>
      <c r="L569" s="3" t="str">
        <f t="shared" si="48"/>
        <v/>
      </c>
      <c r="N569" s="3" t="str">
        <f t="shared" si="47"/>
        <v/>
      </c>
      <c r="O569" s="6" t="str">
        <f t="shared" si="45"/>
        <v/>
      </c>
      <c r="P569" s="7">
        <f ca="1">SUMIFS($N$2:$N569,$B$2:$B569,"&lt;&gt;"&amp;B569)+SUM($Q$2:$Q569)</f>
        <v>135.05500000000001</v>
      </c>
      <c r="R569" t="b">
        <f>AND(ISNUMBER(FIND($E569,Tables!$I$2)), ISNUMBER(FIND($D569,Tables!$J$2)), $E569&lt;&gt;"")</f>
        <v>0</v>
      </c>
    </row>
    <row r="570" spans="1:18" x14ac:dyDescent="0.3">
      <c r="A570">
        <f t="shared" si="46"/>
        <v>553</v>
      </c>
      <c r="B570" s="4"/>
      <c r="I570" s="8"/>
      <c r="J570" s="5" t="str">
        <f t="shared" si="44"/>
        <v/>
      </c>
      <c r="K570" s="3"/>
      <c r="L570" s="3" t="str">
        <f t="shared" si="48"/>
        <v/>
      </c>
      <c r="N570" s="3" t="str">
        <f t="shared" si="47"/>
        <v/>
      </c>
      <c r="O570" s="6" t="str">
        <f t="shared" si="45"/>
        <v/>
      </c>
      <c r="P570" s="7">
        <f ca="1">SUMIFS($N$2:$N570,$B$2:$B570,"&lt;&gt;"&amp;B570)+SUM($Q$2:$Q570)</f>
        <v>135.05500000000001</v>
      </c>
      <c r="R570" t="b">
        <f>AND(ISNUMBER(FIND($E570,Tables!$I$2)), ISNUMBER(FIND($D570,Tables!$J$2)), $E570&lt;&gt;"")</f>
        <v>0</v>
      </c>
    </row>
    <row r="571" spans="1:18" x14ac:dyDescent="0.3">
      <c r="A571">
        <f t="shared" si="46"/>
        <v>554</v>
      </c>
      <c r="B571" s="4"/>
      <c r="I571" s="8"/>
      <c r="J571" s="5" t="str">
        <f t="shared" si="44"/>
        <v/>
      </c>
      <c r="K571" s="3"/>
      <c r="L571" s="3" t="str">
        <f t="shared" si="48"/>
        <v/>
      </c>
      <c r="N571" s="3" t="str">
        <f t="shared" si="47"/>
        <v/>
      </c>
      <c r="O571" s="6" t="str">
        <f t="shared" si="45"/>
        <v/>
      </c>
      <c r="P571" s="7">
        <f ca="1">SUMIFS($N$2:$N571,$B$2:$B571,"&lt;&gt;"&amp;B571)+SUM($Q$2:$Q571)</f>
        <v>135.05500000000001</v>
      </c>
      <c r="R571" t="b">
        <f>AND(ISNUMBER(FIND($E571,Tables!$I$2)), ISNUMBER(FIND($D571,Tables!$J$2)), $E571&lt;&gt;"")</f>
        <v>0</v>
      </c>
    </row>
    <row r="572" spans="1:18" x14ac:dyDescent="0.3">
      <c r="A572">
        <f t="shared" si="46"/>
        <v>555</v>
      </c>
      <c r="B572" s="4"/>
      <c r="I572" s="8"/>
      <c r="J572" s="5" t="str">
        <f t="shared" si="44"/>
        <v/>
      </c>
      <c r="K572" s="3"/>
      <c r="L572" s="3" t="str">
        <f t="shared" si="48"/>
        <v/>
      </c>
      <c r="N572" s="3" t="str">
        <f t="shared" si="47"/>
        <v/>
      </c>
      <c r="O572" s="6" t="str">
        <f t="shared" si="45"/>
        <v/>
      </c>
      <c r="P572" s="7">
        <f ca="1">SUMIFS($N$2:$N572,$B$2:$B572,"&lt;&gt;"&amp;B572)+SUM($Q$2:$Q572)</f>
        <v>135.05500000000001</v>
      </c>
      <c r="R572" t="b">
        <f>AND(ISNUMBER(FIND($E572,Tables!$I$2)), ISNUMBER(FIND($D572,Tables!$J$2)), $E572&lt;&gt;"")</f>
        <v>0</v>
      </c>
    </row>
    <row r="573" spans="1:18" x14ac:dyDescent="0.3">
      <c r="A573">
        <f t="shared" si="46"/>
        <v>556</v>
      </c>
      <c r="B573" s="4"/>
      <c r="I573" s="8"/>
      <c r="J573" s="5" t="str">
        <f t="shared" si="44"/>
        <v/>
      </c>
      <c r="K573" s="3"/>
      <c r="L573" s="3" t="str">
        <f t="shared" si="48"/>
        <v/>
      </c>
      <c r="N573" s="3" t="str">
        <f t="shared" si="47"/>
        <v/>
      </c>
      <c r="O573" s="6" t="str">
        <f t="shared" si="45"/>
        <v/>
      </c>
      <c r="P573" s="7">
        <f ca="1">SUMIFS($N$2:$N573,$B$2:$B573,"&lt;&gt;"&amp;B573)+SUM($Q$2:$Q573)</f>
        <v>135.05500000000001</v>
      </c>
      <c r="R573" t="b">
        <f>AND(ISNUMBER(FIND($E573,Tables!$I$2)), ISNUMBER(FIND($D573,Tables!$J$2)), $E573&lt;&gt;"")</f>
        <v>0</v>
      </c>
    </row>
    <row r="574" spans="1:18" x14ac:dyDescent="0.3">
      <c r="A574">
        <f t="shared" si="46"/>
        <v>557</v>
      </c>
      <c r="B574" s="4"/>
      <c r="I574" s="8"/>
      <c r="J574" s="5" t="str">
        <f t="shared" si="44"/>
        <v/>
      </c>
      <c r="K574" s="3"/>
      <c r="L574" s="3" t="str">
        <f t="shared" si="48"/>
        <v/>
      </c>
      <c r="N574" s="3" t="str">
        <f t="shared" si="47"/>
        <v/>
      </c>
      <c r="O574" s="6" t="str">
        <f t="shared" si="45"/>
        <v/>
      </c>
      <c r="P574" s="7">
        <f ca="1">SUMIFS($N$2:$N574,$B$2:$B574,"&lt;&gt;"&amp;B574)+SUM($Q$2:$Q574)</f>
        <v>135.05500000000001</v>
      </c>
      <c r="R574" t="b">
        <f>AND(ISNUMBER(FIND($E574,Tables!$I$2)), ISNUMBER(FIND($D574,Tables!$J$2)), $E574&lt;&gt;"")</f>
        <v>0</v>
      </c>
    </row>
    <row r="575" spans="1:18" x14ac:dyDescent="0.3">
      <c r="A575">
        <f t="shared" si="46"/>
        <v>558</v>
      </c>
      <c r="B575" s="4"/>
      <c r="I575" s="8"/>
      <c r="J575" s="5" t="str">
        <f t="shared" si="44"/>
        <v/>
      </c>
      <c r="K575" s="3"/>
      <c r="L575" s="3" t="str">
        <f t="shared" si="48"/>
        <v/>
      </c>
      <c r="N575" s="3" t="str">
        <f t="shared" si="47"/>
        <v/>
      </c>
      <c r="O575" s="6" t="str">
        <f t="shared" si="45"/>
        <v/>
      </c>
      <c r="P575" s="7">
        <f ca="1">SUMIFS($N$2:$N575,$B$2:$B575,"&lt;&gt;"&amp;B575)+SUM($Q$2:$Q575)</f>
        <v>135.05500000000001</v>
      </c>
      <c r="R575" t="b">
        <f>AND(ISNUMBER(FIND($E575,Tables!$I$2)), ISNUMBER(FIND($D575,Tables!$J$2)), $E575&lt;&gt;"")</f>
        <v>0</v>
      </c>
    </row>
    <row r="576" spans="1:18" x14ac:dyDescent="0.3">
      <c r="A576">
        <f t="shared" si="46"/>
        <v>559</v>
      </c>
      <c r="B576" s="4"/>
      <c r="I576" s="8"/>
      <c r="J576" s="5" t="str">
        <f t="shared" si="44"/>
        <v/>
      </c>
      <c r="K576" s="3"/>
      <c r="L576" s="3" t="str">
        <f t="shared" si="48"/>
        <v/>
      </c>
      <c r="N576" s="3" t="str">
        <f t="shared" si="47"/>
        <v/>
      </c>
      <c r="O576" s="6" t="str">
        <f t="shared" si="45"/>
        <v/>
      </c>
      <c r="P576" s="7">
        <f ca="1">SUMIFS($N$2:$N576,$B$2:$B576,"&lt;&gt;"&amp;B576)+SUM($Q$2:$Q576)</f>
        <v>135.05500000000001</v>
      </c>
      <c r="R576" t="b">
        <f>AND(ISNUMBER(FIND($E576,Tables!$I$2)), ISNUMBER(FIND($D576,Tables!$J$2)), $E576&lt;&gt;"")</f>
        <v>0</v>
      </c>
    </row>
    <row r="577" spans="1:18" x14ac:dyDescent="0.3">
      <c r="A577">
        <f t="shared" si="46"/>
        <v>560</v>
      </c>
      <c r="B577" s="4"/>
      <c r="I577" s="8"/>
      <c r="J577" s="5" t="str">
        <f t="shared" si="44"/>
        <v/>
      </c>
      <c r="K577" s="3"/>
      <c r="L577" s="3" t="str">
        <f t="shared" si="48"/>
        <v/>
      </c>
      <c r="N577" s="3" t="str">
        <f t="shared" si="47"/>
        <v/>
      </c>
      <c r="O577" s="6" t="str">
        <f t="shared" si="45"/>
        <v/>
      </c>
      <c r="P577" s="7">
        <f ca="1">SUMIFS($N$2:$N577,$B$2:$B577,"&lt;&gt;"&amp;B577)+SUM($Q$2:$Q577)</f>
        <v>135.05500000000001</v>
      </c>
      <c r="R577" t="b">
        <f>AND(ISNUMBER(FIND($E577,Tables!$I$2)), ISNUMBER(FIND($D577,Tables!$J$2)), $E577&lt;&gt;"")</f>
        <v>0</v>
      </c>
    </row>
    <row r="578" spans="1:18" x14ac:dyDescent="0.3">
      <c r="A578">
        <f t="shared" si="46"/>
        <v>561</v>
      </c>
      <c r="B578" s="4"/>
      <c r="I578" s="8"/>
      <c r="J578" s="5" t="str">
        <f t="shared" ref="J578:J641" si="49">IF(I578="", "", IF(I578&gt;0, I578/100 +1, -100/I578 +1))</f>
        <v/>
      </c>
      <c r="K578" s="3"/>
      <c r="L578" s="3" t="str">
        <f t="shared" si="48"/>
        <v/>
      </c>
      <c r="N578" s="3" t="str">
        <f t="shared" si="47"/>
        <v/>
      </c>
      <c r="O578" s="6" t="str">
        <f t="shared" ref="O578:O641" si="50">IFERROR(K578/VLOOKUP(_xlfn.MINIFS(A:A,B:B,B578,C:C,C578),A:P,16),"")</f>
        <v/>
      </c>
      <c r="P578" s="7">
        <f ca="1">SUMIFS($N$2:$N578,$B$2:$B578,"&lt;&gt;"&amp;B578)+SUM($Q$2:$Q578)</f>
        <v>135.05500000000001</v>
      </c>
      <c r="R578" t="b">
        <f>AND(ISNUMBER(FIND($E578,Tables!$I$2)), ISNUMBER(FIND($D578,Tables!$J$2)), $E578&lt;&gt;"")</f>
        <v>0</v>
      </c>
    </row>
    <row r="579" spans="1:18" x14ac:dyDescent="0.3">
      <c r="A579">
        <f t="shared" si="46"/>
        <v>562</v>
      </c>
      <c r="B579" s="4"/>
      <c r="I579" s="8"/>
      <c r="J579" s="5" t="str">
        <f t="shared" si="49"/>
        <v/>
      </c>
      <c r="K579" s="3"/>
      <c r="L579" s="3" t="str">
        <f t="shared" si="48"/>
        <v/>
      </c>
      <c r="N579" s="3" t="str">
        <f t="shared" si="47"/>
        <v/>
      </c>
      <c r="O579" s="6" t="str">
        <f t="shared" si="50"/>
        <v/>
      </c>
      <c r="P579" s="7">
        <f ca="1">SUMIFS($N$2:$N579,$B$2:$B579,"&lt;&gt;"&amp;B579)+SUM($Q$2:$Q579)</f>
        <v>135.05500000000001</v>
      </c>
      <c r="R579" t="b">
        <f>AND(ISNUMBER(FIND($E579,Tables!$I$2)), ISNUMBER(FIND($D579,Tables!$J$2)), $E579&lt;&gt;"")</f>
        <v>0</v>
      </c>
    </row>
    <row r="580" spans="1:18" x14ac:dyDescent="0.3">
      <c r="A580">
        <f t="shared" si="46"/>
        <v>563</v>
      </c>
      <c r="B580" s="4"/>
      <c r="I580" s="8"/>
      <c r="J580" s="5" t="str">
        <f t="shared" si="49"/>
        <v/>
      </c>
      <c r="K580" s="3"/>
      <c r="L580" s="3" t="str">
        <f t="shared" si="48"/>
        <v/>
      </c>
      <c r="N580" s="3" t="str">
        <f t="shared" si="47"/>
        <v/>
      </c>
      <c r="O580" s="6" t="str">
        <f t="shared" si="50"/>
        <v/>
      </c>
      <c r="P580" s="7">
        <f ca="1">SUMIFS($N$2:$N580,$B$2:$B580,"&lt;&gt;"&amp;B580)+SUM($Q$2:$Q580)</f>
        <v>135.05500000000001</v>
      </c>
      <c r="R580" t="b">
        <f>AND(ISNUMBER(FIND($E580,Tables!$I$2)), ISNUMBER(FIND($D580,Tables!$J$2)), $E580&lt;&gt;"")</f>
        <v>0</v>
      </c>
    </row>
    <row r="581" spans="1:18" x14ac:dyDescent="0.3">
      <c r="A581">
        <f t="shared" si="46"/>
        <v>564</v>
      </c>
      <c r="B581" s="4"/>
      <c r="I581" s="8"/>
      <c r="J581" s="5" t="str">
        <f t="shared" si="49"/>
        <v/>
      </c>
      <c r="K581" s="3"/>
      <c r="L581" s="3" t="str">
        <f t="shared" si="48"/>
        <v/>
      </c>
      <c r="N581" s="3" t="str">
        <f t="shared" si="47"/>
        <v/>
      </c>
      <c r="O581" s="6" t="str">
        <f t="shared" si="50"/>
        <v/>
      </c>
      <c r="P581" s="7">
        <f ca="1">SUMIFS($N$2:$N581,$B$2:$B581,"&lt;&gt;"&amp;B581)+SUM($Q$2:$Q581)</f>
        <v>135.05500000000001</v>
      </c>
      <c r="R581" t="b">
        <f>AND(ISNUMBER(FIND($E581,Tables!$I$2)), ISNUMBER(FIND($D581,Tables!$J$2)), $E581&lt;&gt;"")</f>
        <v>0</v>
      </c>
    </row>
    <row r="582" spans="1:18" x14ac:dyDescent="0.3">
      <c r="A582">
        <f t="shared" si="46"/>
        <v>565</v>
      </c>
      <c r="B582" s="4"/>
      <c r="I582" s="8"/>
      <c r="J582" s="5" t="str">
        <f t="shared" si="49"/>
        <v/>
      </c>
      <c r="K582" s="3"/>
      <c r="L582" s="3" t="str">
        <f t="shared" si="48"/>
        <v/>
      </c>
      <c r="N582" s="3" t="str">
        <f t="shared" si="47"/>
        <v/>
      </c>
      <c r="O582" s="6" t="str">
        <f t="shared" si="50"/>
        <v/>
      </c>
      <c r="P582" s="7">
        <f ca="1">SUMIFS($N$2:$N582,$B$2:$B582,"&lt;&gt;"&amp;B582)+SUM($Q$2:$Q582)</f>
        <v>135.05500000000001</v>
      </c>
      <c r="R582" t="b">
        <f>AND(ISNUMBER(FIND($E582,Tables!$I$2)), ISNUMBER(FIND($D582,Tables!$J$2)), $E582&lt;&gt;"")</f>
        <v>0</v>
      </c>
    </row>
    <row r="583" spans="1:18" x14ac:dyDescent="0.3">
      <c r="A583">
        <f t="shared" si="46"/>
        <v>566</v>
      </c>
      <c r="B583" s="4"/>
      <c r="I583" s="8"/>
      <c r="J583" s="5" t="str">
        <f t="shared" si="49"/>
        <v/>
      </c>
      <c r="K583" s="3"/>
      <c r="L583" s="3" t="str">
        <f t="shared" si="48"/>
        <v/>
      </c>
      <c r="N583" s="3" t="str">
        <f t="shared" si="47"/>
        <v/>
      </c>
      <c r="O583" s="6" t="str">
        <f t="shared" si="50"/>
        <v/>
      </c>
      <c r="P583" s="7">
        <f ca="1">SUMIFS($N$2:$N583,$B$2:$B583,"&lt;&gt;"&amp;B583)+SUM($Q$2:$Q583)</f>
        <v>135.05500000000001</v>
      </c>
      <c r="R583" t="b">
        <f>AND(ISNUMBER(FIND($E583,Tables!$I$2)), ISNUMBER(FIND($D583,Tables!$J$2)), $E583&lt;&gt;"")</f>
        <v>0</v>
      </c>
    </row>
    <row r="584" spans="1:18" x14ac:dyDescent="0.3">
      <c r="A584">
        <f t="shared" si="46"/>
        <v>567</v>
      </c>
      <c r="B584" s="4"/>
      <c r="I584" s="8"/>
      <c r="J584" s="5" t="str">
        <f t="shared" si="49"/>
        <v/>
      </c>
      <c r="K584" s="3"/>
      <c r="L584" s="3" t="str">
        <f t="shared" si="48"/>
        <v/>
      </c>
      <c r="N584" s="3" t="str">
        <f t="shared" si="47"/>
        <v/>
      </c>
      <c r="O584" s="6" t="str">
        <f t="shared" si="50"/>
        <v/>
      </c>
      <c r="P584" s="7">
        <f ca="1">SUMIFS($N$2:$N584,$B$2:$B584,"&lt;&gt;"&amp;B584)+SUM($Q$2:$Q584)</f>
        <v>135.05500000000001</v>
      </c>
      <c r="R584" t="b">
        <f>AND(ISNUMBER(FIND($E584,Tables!$I$2)), ISNUMBER(FIND($D584,Tables!$J$2)), $E584&lt;&gt;"")</f>
        <v>0</v>
      </c>
    </row>
    <row r="585" spans="1:18" x14ac:dyDescent="0.3">
      <c r="A585">
        <f t="shared" si="46"/>
        <v>568</v>
      </c>
      <c r="B585" s="4"/>
      <c r="I585" s="8"/>
      <c r="J585" s="5" t="str">
        <f t="shared" si="49"/>
        <v/>
      </c>
      <c r="K585" s="3"/>
      <c r="L585" s="3" t="str">
        <f t="shared" si="48"/>
        <v/>
      </c>
      <c r="N585" s="3" t="str">
        <f t="shared" si="47"/>
        <v/>
      </c>
      <c r="O585" s="6" t="str">
        <f t="shared" si="50"/>
        <v/>
      </c>
      <c r="P585" s="7">
        <f ca="1">SUMIFS($N$2:$N585,$B$2:$B585,"&lt;&gt;"&amp;B585)+SUM($Q$2:$Q585)</f>
        <v>135.05500000000001</v>
      </c>
      <c r="R585" t="b">
        <f>AND(ISNUMBER(FIND($E585,Tables!$I$2)), ISNUMBER(FIND($D585,Tables!$J$2)), $E585&lt;&gt;"")</f>
        <v>0</v>
      </c>
    </row>
    <row r="586" spans="1:18" x14ac:dyDescent="0.3">
      <c r="A586">
        <f t="shared" si="46"/>
        <v>569</v>
      </c>
      <c r="B586" s="4"/>
      <c r="I586" s="8"/>
      <c r="J586" s="5" t="str">
        <f t="shared" si="49"/>
        <v/>
      </c>
      <c r="K586" s="3"/>
      <c r="L586" s="3" t="str">
        <f t="shared" si="48"/>
        <v/>
      </c>
      <c r="N586" s="3" t="str">
        <f t="shared" si="47"/>
        <v/>
      </c>
      <c r="O586" s="6" t="str">
        <f t="shared" si="50"/>
        <v/>
      </c>
      <c r="P586" s="7">
        <f ca="1">SUMIFS($N$2:$N586,$B$2:$B586,"&lt;&gt;"&amp;B586)+SUM($Q$2:$Q586)</f>
        <v>135.05500000000001</v>
      </c>
      <c r="R586" t="b">
        <f>AND(ISNUMBER(FIND($E586,Tables!$I$2)), ISNUMBER(FIND($D586,Tables!$J$2)), $E586&lt;&gt;"")</f>
        <v>0</v>
      </c>
    </row>
    <row r="587" spans="1:18" x14ac:dyDescent="0.3">
      <c r="A587">
        <f t="shared" si="46"/>
        <v>570</v>
      </c>
      <c r="B587" s="4"/>
      <c r="I587" s="8"/>
      <c r="J587" s="5" t="str">
        <f t="shared" si="49"/>
        <v/>
      </c>
      <c r="K587" s="3"/>
      <c r="L587" s="3" t="str">
        <f t="shared" si="48"/>
        <v/>
      </c>
      <c r="N587" s="3" t="str">
        <f t="shared" si="47"/>
        <v/>
      </c>
      <c r="O587" s="6" t="str">
        <f t="shared" si="50"/>
        <v/>
      </c>
      <c r="P587" s="7">
        <f ca="1">SUMIFS($N$2:$N587,$B$2:$B587,"&lt;&gt;"&amp;B587)+SUM($Q$2:$Q587)</f>
        <v>135.05500000000001</v>
      </c>
      <c r="R587" t="b">
        <f>AND(ISNUMBER(FIND($E587,Tables!$I$2)), ISNUMBER(FIND($D587,Tables!$J$2)), $E587&lt;&gt;"")</f>
        <v>0</v>
      </c>
    </row>
    <row r="588" spans="1:18" x14ac:dyDescent="0.3">
      <c r="A588">
        <f t="shared" si="46"/>
        <v>571</v>
      </c>
      <c r="B588" s="4"/>
      <c r="I588" s="8"/>
      <c r="J588" s="5" t="str">
        <f t="shared" si="49"/>
        <v/>
      </c>
      <c r="K588" s="3"/>
      <c r="L588" s="3" t="str">
        <f t="shared" si="48"/>
        <v/>
      </c>
      <c r="N588" s="3" t="str">
        <f t="shared" si="47"/>
        <v/>
      </c>
      <c r="O588" s="6" t="str">
        <f t="shared" si="50"/>
        <v/>
      </c>
      <c r="P588" s="7">
        <f ca="1">SUMIFS($N$2:$N588,$B$2:$B588,"&lt;&gt;"&amp;B588)+SUM($Q$2:$Q588)</f>
        <v>135.05500000000001</v>
      </c>
      <c r="R588" t="b">
        <f>AND(ISNUMBER(FIND($E588,Tables!$I$2)), ISNUMBER(FIND($D588,Tables!$J$2)), $E588&lt;&gt;"")</f>
        <v>0</v>
      </c>
    </row>
    <row r="589" spans="1:18" x14ac:dyDescent="0.3">
      <c r="A589">
        <f t="shared" si="46"/>
        <v>572</v>
      </c>
      <c r="B589" s="4"/>
      <c r="I589" s="8"/>
      <c r="J589" s="5" t="str">
        <f t="shared" si="49"/>
        <v/>
      </c>
      <c r="K589" s="3"/>
      <c r="L589" s="3" t="str">
        <f t="shared" si="48"/>
        <v/>
      </c>
      <c r="N589" s="3" t="str">
        <f t="shared" si="47"/>
        <v/>
      </c>
      <c r="O589" s="6" t="str">
        <f t="shared" si="50"/>
        <v/>
      </c>
      <c r="P589" s="7">
        <f ca="1">SUMIFS($N$2:$N589,$B$2:$B589,"&lt;&gt;"&amp;B589)+SUM($Q$2:$Q589)</f>
        <v>135.05500000000001</v>
      </c>
      <c r="R589" t="b">
        <f>AND(ISNUMBER(FIND($E589,Tables!$I$2)), ISNUMBER(FIND($D589,Tables!$J$2)), $E589&lt;&gt;"")</f>
        <v>0</v>
      </c>
    </row>
    <row r="590" spans="1:18" x14ac:dyDescent="0.3">
      <c r="A590">
        <f t="shared" si="46"/>
        <v>573</v>
      </c>
      <c r="B590" s="4"/>
      <c r="I590" s="8"/>
      <c r="J590" s="5" t="str">
        <f t="shared" si="49"/>
        <v/>
      </c>
      <c r="K590" s="3"/>
      <c r="L590" s="3" t="str">
        <f t="shared" si="48"/>
        <v/>
      </c>
      <c r="N590" s="3" t="str">
        <f t="shared" si="47"/>
        <v/>
      </c>
      <c r="O590" s="6" t="str">
        <f t="shared" si="50"/>
        <v/>
      </c>
      <c r="P590" s="7">
        <f ca="1">SUMIFS($N$2:$N590,$B$2:$B590,"&lt;&gt;"&amp;B590)+SUM($Q$2:$Q590)</f>
        <v>135.05500000000001</v>
      </c>
      <c r="R590" t="b">
        <f>AND(ISNUMBER(FIND($E590,Tables!$I$2)), ISNUMBER(FIND($D590,Tables!$J$2)), $E590&lt;&gt;"")</f>
        <v>0</v>
      </c>
    </row>
    <row r="591" spans="1:18" x14ac:dyDescent="0.3">
      <c r="A591">
        <f t="shared" si="46"/>
        <v>574</v>
      </c>
      <c r="B591" s="4"/>
      <c r="I591" s="8"/>
      <c r="J591" s="5" t="str">
        <f t="shared" si="49"/>
        <v/>
      </c>
      <c r="K591" s="3"/>
      <c r="L591" s="3" t="str">
        <f t="shared" si="48"/>
        <v/>
      </c>
      <c r="N591" s="3" t="str">
        <f t="shared" si="47"/>
        <v/>
      </c>
      <c r="O591" s="6" t="str">
        <f t="shared" si="50"/>
        <v/>
      </c>
      <c r="P591" s="7">
        <f ca="1">SUMIFS($N$2:$N591,$B$2:$B591,"&lt;&gt;"&amp;B591)+SUM($Q$2:$Q591)</f>
        <v>135.05500000000001</v>
      </c>
      <c r="R591" t="b">
        <f>AND(ISNUMBER(FIND($E591,Tables!$I$2)), ISNUMBER(FIND($D591,Tables!$J$2)), $E591&lt;&gt;"")</f>
        <v>0</v>
      </c>
    </row>
    <row r="592" spans="1:18" x14ac:dyDescent="0.3">
      <c r="A592">
        <f t="shared" si="46"/>
        <v>575</v>
      </c>
      <c r="B592" s="4"/>
      <c r="I592" s="8"/>
      <c r="J592" s="5" t="str">
        <f t="shared" si="49"/>
        <v/>
      </c>
      <c r="K592" s="3"/>
      <c r="L592" s="3" t="str">
        <f t="shared" si="48"/>
        <v/>
      </c>
      <c r="N592" s="3" t="str">
        <f t="shared" si="47"/>
        <v/>
      </c>
      <c r="O592" s="6" t="str">
        <f t="shared" si="50"/>
        <v/>
      </c>
      <c r="P592" s="7">
        <f ca="1">SUMIFS($N$2:$N592,$B$2:$B592,"&lt;&gt;"&amp;B592)+SUM($Q$2:$Q592)</f>
        <v>135.05500000000001</v>
      </c>
      <c r="R592" t="b">
        <f>AND(ISNUMBER(FIND($E592,Tables!$I$2)), ISNUMBER(FIND($D592,Tables!$J$2)), $E592&lt;&gt;"")</f>
        <v>0</v>
      </c>
    </row>
    <row r="593" spans="1:18" x14ac:dyDescent="0.3">
      <c r="A593">
        <f t="shared" si="46"/>
        <v>576</v>
      </c>
      <c r="B593" s="4"/>
      <c r="I593" s="8"/>
      <c r="J593" s="5" t="str">
        <f t="shared" si="49"/>
        <v/>
      </c>
      <c r="K593" s="3"/>
      <c r="L593" s="3" t="str">
        <f t="shared" si="48"/>
        <v/>
      </c>
      <c r="N593" s="3" t="str">
        <f t="shared" si="47"/>
        <v/>
      </c>
      <c r="O593" s="6" t="str">
        <f t="shared" si="50"/>
        <v/>
      </c>
      <c r="P593" s="7">
        <f ca="1">SUMIFS($N$2:$N593,$B$2:$B593,"&lt;&gt;"&amp;B593)+SUM($Q$2:$Q593)</f>
        <v>135.05500000000001</v>
      </c>
      <c r="R593" t="b">
        <f>AND(ISNUMBER(FIND($E593,Tables!$I$2)), ISNUMBER(FIND($D593,Tables!$J$2)), $E593&lt;&gt;"")</f>
        <v>0</v>
      </c>
    </row>
    <row r="594" spans="1:18" x14ac:dyDescent="0.3">
      <c r="A594">
        <f t="shared" si="46"/>
        <v>577</v>
      </c>
      <c r="B594" s="4"/>
      <c r="I594" s="8"/>
      <c r="J594" s="5" t="str">
        <f t="shared" si="49"/>
        <v/>
      </c>
      <c r="K594" s="3"/>
      <c r="L594" s="3" t="str">
        <f t="shared" si="48"/>
        <v/>
      </c>
      <c r="N594" s="3" t="str">
        <f t="shared" si="47"/>
        <v/>
      </c>
      <c r="O594" s="6" t="str">
        <f t="shared" si="50"/>
        <v/>
      </c>
      <c r="P594" s="7">
        <f ca="1">SUMIFS($N$2:$N594,$B$2:$B594,"&lt;&gt;"&amp;B594)+SUM($Q$2:$Q594)</f>
        <v>135.05500000000001</v>
      </c>
      <c r="R594" t="b">
        <f>AND(ISNUMBER(FIND($E594,Tables!$I$2)), ISNUMBER(FIND($D594,Tables!$J$2)), $E594&lt;&gt;"")</f>
        <v>0</v>
      </c>
    </row>
    <row r="595" spans="1:18" x14ac:dyDescent="0.3">
      <c r="A595">
        <f t="shared" si="46"/>
        <v>578</v>
      </c>
      <c r="B595" s="4"/>
      <c r="I595" s="8"/>
      <c r="J595" s="5" t="str">
        <f t="shared" si="49"/>
        <v/>
      </c>
      <c r="K595" s="3"/>
      <c r="L595" s="3" t="str">
        <f t="shared" si="48"/>
        <v/>
      </c>
      <c r="N595" s="3" t="str">
        <f t="shared" si="47"/>
        <v/>
      </c>
      <c r="O595" s="6" t="str">
        <f t="shared" si="50"/>
        <v/>
      </c>
      <c r="P595" s="7">
        <f ca="1">SUMIFS($N$2:$N595,$B$2:$B595,"&lt;&gt;"&amp;B595)+SUM($Q$2:$Q595)</f>
        <v>135.05500000000001</v>
      </c>
      <c r="R595" t="b">
        <f>AND(ISNUMBER(FIND($E595,Tables!$I$2)), ISNUMBER(FIND($D595,Tables!$J$2)), $E595&lt;&gt;"")</f>
        <v>0</v>
      </c>
    </row>
    <row r="596" spans="1:18" x14ac:dyDescent="0.3">
      <c r="A596">
        <f t="shared" si="46"/>
        <v>579</v>
      </c>
      <c r="B596" s="4"/>
      <c r="I596" s="8"/>
      <c r="J596" s="5" t="str">
        <f t="shared" si="49"/>
        <v/>
      </c>
      <c r="K596" s="3"/>
      <c r="L596" s="3" t="str">
        <f t="shared" si="48"/>
        <v/>
      </c>
      <c r="N596" s="3" t="str">
        <f t="shared" si="47"/>
        <v/>
      </c>
      <c r="O596" s="6" t="str">
        <f t="shared" si="50"/>
        <v/>
      </c>
      <c r="P596" s="7">
        <f ca="1">SUMIFS($N$2:$N596,$B$2:$B596,"&lt;&gt;"&amp;B596)+SUM($Q$2:$Q596)</f>
        <v>135.05500000000001</v>
      </c>
      <c r="R596" t="b">
        <f>AND(ISNUMBER(FIND($E596,Tables!$I$2)), ISNUMBER(FIND($D596,Tables!$J$2)), $E596&lt;&gt;"")</f>
        <v>0</v>
      </c>
    </row>
    <row r="597" spans="1:18" x14ac:dyDescent="0.3">
      <c r="A597">
        <f t="shared" si="46"/>
        <v>580</v>
      </c>
      <c r="B597" s="4"/>
      <c r="I597" s="8"/>
      <c r="J597" s="5" t="str">
        <f t="shared" si="49"/>
        <v/>
      </c>
      <c r="K597" s="3"/>
      <c r="L597" s="3" t="str">
        <f t="shared" si="48"/>
        <v/>
      </c>
      <c r="N597" s="3" t="str">
        <f t="shared" si="47"/>
        <v/>
      </c>
      <c r="O597" s="6" t="str">
        <f t="shared" si="50"/>
        <v/>
      </c>
      <c r="P597" s="7">
        <f ca="1">SUMIFS($N$2:$N597,$B$2:$B597,"&lt;&gt;"&amp;B597)+SUM($Q$2:$Q597)</f>
        <v>135.05500000000001</v>
      </c>
      <c r="R597" t="b">
        <f>AND(ISNUMBER(FIND($E597,Tables!$I$2)), ISNUMBER(FIND($D597,Tables!$J$2)), $E597&lt;&gt;"")</f>
        <v>0</v>
      </c>
    </row>
    <row r="598" spans="1:18" x14ac:dyDescent="0.3">
      <c r="A598">
        <f t="shared" si="46"/>
        <v>581</v>
      </c>
      <c r="B598" s="4"/>
      <c r="I598" s="8"/>
      <c r="J598" s="5" t="str">
        <f t="shared" si="49"/>
        <v/>
      </c>
      <c r="K598" s="3"/>
      <c r="L598" s="3" t="str">
        <f t="shared" si="48"/>
        <v/>
      </c>
      <c r="N598" s="3" t="str">
        <f t="shared" si="47"/>
        <v/>
      </c>
      <c r="O598" s="6" t="str">
        <f t="shared" si="50"/>
        <v/>
      </c>
      <c r="P598" s="7">
        <f ca="1">SUMIFS($N$2:$N598,$B$2:$B598,"&lt;&gt;"&amp;B598)+SUM($Q$2:$Q598)</f>
        <v>135.05500000000001</v>
      </c>
      <c r="R598" t="b">
        <f>AND(ISNUMBER(FIND($E598,Tables!$I$2)), ISNUMBER(FIND($D598,Tables!$J$2)), $E598&lt;&gt;"")</f>
        <v>0</v>
      </c>
    </row>
    <row r="599" spans="1:18" x14ac:dyDescent="0.3">
      <c r="A599">
        <f t="shared" si="46"/>
        <v>582</v>
      </c>
      <c r="B599" s="4"/>
      <c r="I599" s="8"/>
      <c r="J599" s="5" t="str">
        <f t="shared" si="49"/>
        <v/>
      </c>
      <c r="K599" s="3"/>
      <c r="L599" s="3" t="str">
        <f t="shared" si="48"/>
        <v/>
      </c>
      <c r="N599" s="3" t="str">
        <f t="shared" si="47"/>
        <v/>
      </c>
      <c r="O599" s="6" t="str">
        <f t="shared" si="50"/>
        <v/>
      </c>
      <c r="P599" s="7">
        <f ca="1">SUMIFS($N$2:$N599,$B$2:$B599,"&lt;&gt;"&amp;B599)+SUM($Q$2:$Q599)</f>
        <v>135.05500000000001</v>
      </c>
      <c r="R599" t="b">
        <f>AND(ISNUMBER(FIND($E599,Tables!$I$2)), ISNUMBER(FIND($D599,Tables!$J$2)), $E599&lt;&gt;"")</f>
        <v>0</v>
      </c>
    </row>
    <row r="600" spans="1:18" x14ac:dyDescent="0.3">
      <c r="A600">
        <f t="shared" si="46"/>
        <v>583</v>
      </c>
      <c r="B600" s="4"/>
      <c r="I600" s="8"/>
      <c r="J600" s="5" t="str">
        <f t="shared" si="49"/>
        <v/>
      </c>
      <c r="K600" s="3"/>
      <c r="L600" s="3" t="str">
        <f t="shared" si="48"/>
        <v/>
      </c>
      <c r="N600" s="3" t="str">
        <f t="shared" si="47"/>
        <v/>
      </c>
      <c r="O600" s="6" t="str">
        <f t="shared" si="50"/>
        <v/>
      </c>
      <c r="P600" s="7">
        <f ca="1">SUMIFS($N$2:$N600,$B$2:$B600,"&lt;&gt;"&amp;B600)+SUM($Q$2:$Q600)</f>
        <v>135.05500000000001</v>
      </c>
      <c r="R600" t="b">
        <f>AND(ISNUMBER(FIND($E600,Tables!$I$2)), ISNUMBER(FIND($D600,Tables!$J$2)), $E600&lt;&gt;"")</f>
        <v>0</v>
      </c>
    </row>
    <row r="601" spans="1:18" x14ac:dyDescent="0.3">
      <c r="A601">
        <f t="shared" si="46"/>
        <v>584</v>
      </c>
      <c r="B601" s="4"/>
      <c r="I601" s="8"/>
      <c r="J601" s="5" t="str">
        <f t="shared" si="49"/>
        <v/>
      </c>
      <c r="K601" s="3"/>
      <c r="L601" s="3" t="str">
        <f t="shared" si="48"/>
        <v/>
      </c>
      <c r="N601" s="3" t="str">
        <f t="shared" si="47"/>
        <v/>
      </c>
      <c r="O601" s="6" t="str">
        <f t="shared" si="50"/>
        <v/>
      </c>
      <c r="P601" s="7">
        <f ca="1">SUMIFS($N$2:$N601,$B$2:$B601,"&lt;&gt;"&amp;B601)+SUM($Q$2:$Q601)</f>
        <v>135.05500000000001</v>
      </c>
      <c r="R601" t="b">
        <f>AND(ISNUMBER(FIND($E601,Tables!$I$2)), ISNUMBER(FIND($D601,Tables!$J$2)), $E601&lt;&gt;"")</f>
        <v>0</v>
      </c>
    </row>
    <row r="602" spans="1:18" x14ac:dyDescent="0.3">
      <c r="A602">
        <f t="shared" si="46"/>
        <v>585</v>
      </c>
      <c r="B602" s="4"/>
      <c r="I602" s="8"/>
      <c r="J602" s="5" t="str">
        <f t="shared" si="49"/>
        <v/>
      </c>
      <c r="K602" s="3"/>
      <c r="L602" s="3" t="str">
        <f t="shared" si="48"/>
        <v/>
      </c>
      <c r="N602" s="3" t="str">
        <f t="shared" si="47"/>
        <v/>
      </c>
      <c r="O602" s="6" t="str">
        <f t="shared" si="50"/>
        <v/>
      </c>
      <c r="P602" s="7">
        <f ca="1">SUMIFS($N$2:$N602,$B$2:$B602,"&lt;&gt;"&amp;B602)+SUM($Q$2:$Q602)</f>
        <v>135.05500000000001</v>
      </c>
      <c r="R602" t="b">
        <f>AND(ISNUMBER(FIND($E602,Tables!$I$2)), ISNUMBER(FIND($D602,Tables!$J$2)), $E602&lt;&gt;"")</f>
        <v>0</v>
      </c>
    </row>
    <row r="603" spans="1:18" x14ac:dyDescent="0.3">
      <c r="A603">
        <f t="shared" si="46"/>
        <v>586</v>
      </c>
      <c r="B603" s="4"/>
      <c r="I603" s="8"/>
      <c r="J603" s="5" t="str">
        <f t="shared" si="49"/>
        <v/>
      </c>
      <c r="K603" s="3"/>
      <c r="L603" s="3" t="str">
        <f t="shared" si="48"/>
        <v/>
      </c>
      <c r="N603" s="3" t="str">
        <f t="shared" si="47"/>
        <v/>
      </c>
      <c r="O603" s="6" t="str">
        <f t="shared" si="50"/>
        <v/>
      </c>
      <c r="P603" s="7">
        <f ca="1">SUMIFS($N$2:$N603,$B$2:$B603,"&lt;&gt;"&amp;B603)+SUM($Q$2:$Q603)</f>
        <v>135.05500000000001</v>
      </c>
      <c r="R603" t="b">
        <f>AND(ISNUMBER(FIND($E603,Tables!$I$2)), ISNUMBER(FIND($D603,Tables!$J$2)), $E603&lt;&gt;"")</f>
        <v>0</v>
      </c>
    </row>
    <row r="604" spans="1:18" x14ac:dyDescent="0.3">
      <c r="A604">
        <f t="shared" si="46"/>
        <v>587</v>
      </c>
      <c r="B604" s="4"/>
      <c r="I604" s="8"/>
      <c r="J604" s="5" t="str">
        <f t="shared" si="49"/>
        <v/>
      </c>
      <c r="K604" s="3"/>
      <c r="L604" s="3" t="str">
        <f t="shared" si="48"/>
        <v/>
      </c>
      <c r="N604" s="3" t="str">
        <f t="shared" si="47"/>
        <v/>
      </c>
      <c r="O604" s="6" t="str">
        <f t="shared" si="50"/>
        <v/>
      </c>
      <c r="P604" s="7">
        <f ca="1">SUMIFS($N$2:$N604,$B$2:$B604,"&lt;&gt;"&amp;B604)+SUM($Q$2:$Q604)</f>
        <v>135.05500000000001</v>
      </c>
      <c r="R604" t="b">
        <f>AND(ISNUMBER(FIND($E604,Tables!$I$2)), ISNUMBER(FIND($D604,Tables!$J$2)), $E604&lt;&gt;"")</f>
        <v>0</v>
      </c>
    </row>
    <row r="605" spans="1:18" x14ac:dyDescent="0.3">
      <c r="A605">
        <f t="shared" si="46"/>
        <v>588</v>
      </c>
      <c r="B605" s="4"/>
      <c r="I605" s="8"/>
      <c r="J605" s="5" t="str">
        <f t="shared" si="49"/>
        <v/>
      </c>
      <c r="K605" s="3"/>
      <c r="L605" s="3" t="str">
        <f t="shared" si="48"/>
        <v/>
      </c>
      <c r="N605" s="3" t="str">
        <f t="shared" si="47"/>
        <v/>
      </c>
      <c r="O605" s="6" t="str">
        <f t="shared" si="50"/>
        <v/>
      </c>
      <c r="P605" s="7">
        <f ca="1">SUMIFS($N$2:$N605,$B$2:$B605,"&lt;&gt;"&amp;B605)+SUM($Q$2:$Q605)</f>
        <v>135.05500000000001</v>
      </c>
      <c r="R605" t="b">
        <f>AND(ISNUMBER(FIND($E605,Tables!$I$2)), ISNUMBER(FIND($D605,Tables!$J$2)), $E605&lt;&gt;"")</f>
        <v>0</v>
      </c>
    </row>
    <row r="606" spans="1:18" x14ac:dyDescent="0.3">
      <c r="A606">
        <f t="shared" si="46"/>
        <v>589</v>
      </c>
      <c r="B606" s="4"/>
      <c r="I606" s="8"/>
      <c r="J606" s="5" t="str">
        <f t="shared" si="49"/>
        <v/>
      </c>
      <c r="K606" s="3"/>
      <c r="L606" s="3" t="str">
        <f t="shared" si="48"/>
        <v/>
      </c>
      <c r="N606" s="3" t="str">
        <f t="shared" si="47"/>
        <v/>
      </c>
      <c r="O606" s="6" t="str">
        <f t="shared" si="50"/>
        <v/>
      </c>
      <c r="P606" s="7">
        <f ca="1">SUMIFS($N$2:$N606,$B$2:$B606,"&lt;&gt;"&amp;B606)+SUM($Q$2:$Q606)</f>
        <v>135.05500000000001</v>
      </c>
      <c r="R606" t="b">
        <f>AND(ISNUMBER(FIND($E606,Tables!$I$2)), ISNUMBER(FIND($D606,Tables!$J$2)), $E606&lt;&gt;"")</f>
        <v>0</v>
      </c>
    </row>
    <row r="607" spans="1:18" x14ac:dyDescent="0.3">
      <c r="A607">
        <f t="shared" si="46"/>
        <v>590</v>
      </c>
      <c r="B607" s="4"/>
      <c r="I607" s="8"/>
      <c r="J607" s="5" t="str">
        <f t="shared" si="49"/>
        <v/>
      </c>
      <c r="K607" s="3"/>
      <c r="L607" s="3" t="str">
        <f t="shared" si="48"/>
        <v/>
      </c>
      <c r="N607" s="3" t="str">
        <f t="shared" si="47"/>
        <v/>
      </c>
      <c r="O607" s="6" t="str">
        <f t="shared" si="50"/>
        <v/>
      </c>
      <c r="P607" s="7">
        <f ca="1">SUMIFS($N$2:$N607,$B$2:$B607,"&lt;&gt;"&amp;B607)+SUM($Q$2:$Q607)</f>
        <v>135.05500000000001</v>
      </c>
      <c r="R607" t="b">
        <f>AND(ISNUMBER(FIND($E607,Tables!$I$2)), ISNUMBER(FIND($D607,Tables!$J$2)), $E607&lt;&gt;"")</f>
        <v>0</v>
      </c>
    </row>
    <row r="608" spans="1:18" x14ac:dyDescent="0.3">
      <c r="A608">
        <f t="shared" si="46"/>
        <v>591</v>
      </c>
      <c r="B608" s="4"/>
      <c r="I608" s="8"/>
      <c r="J608" s="5" t="str">
        <f t="shared" si="49"/>
        <v/>
      </c>
      <c r="K608" s="3"/>
      <c r="L608" s="3" t="str">
        <f t="shared" si="48"/>
        <v/>
      </c>
      <c r="N608" s="3" t="str">
        <f t="shared" si="47"/>
        <v/>
      </c>
      <c r="O608" s="6" t="str">
        <f t="shared" si="50"/>
        <v/>
      </c>
      <c r="P608" s="7">
        <f ca="1">SUMIFS($N$2:$N608,$B$2:$B608,"&lt;&gt;"&amp;B608)+SUM($Q$2:$Q608)</f>
        <v>135.05500000000001</v>
      </c>
      <c r="R608" t="b">
        <f>AND(ISNUMBER(FIND($E608,Tables!$I$2)), ISNUMBER(FIND($D608,Tables!$J$2)), $E608&lt;&gt;"")</f>
        <v>0</v>
      </c>
    </row>
    <row r="609" spans="1:18" x14ac:dyDescent="0.3">
      <c r="A609">
        <f t="shared" si="46"/>
        <v>592</v>
      </c>
      <c r="B609" s="4"/>
      <c r="I609" s="8"/>
      <c r="J609" s="5" t="str">
        <f t="shared" si="49"/>
        <v/>
      </c>
      <c r="K609" s="3"/>
      <c r="L609" s="3" t="str">
        <f t="shared" si="48"/>
        <v/>
      </c>
      <c r="N609" s="3" t="str">
        <f t="shared" si="47"/>
        <v/>
      </c>
      <c r="O609" s="6" t="str">
        <f t="shared" si="50"/>
        <v/>
      </c>
      <c r="P609" s="7">
        <f ca="1">SUMIFS($N$2:$N609,$B$2:$B609,"&lt;&gt;"&amp;B609)+SUM($Q$2:$Q609)</f>
        <v>135.05500000000001</v>
      </c>
      <c r="R609" t="b">
        <f>AND(ISNUMBER(FIND($E609,Tables!$I$2)), ISNUMBER(FIND($D609,Tables!$J$2)), $E609&lt;&gt;"")</f>
        <v>0</v>
      </c>
    </row>
    <row r="610" spans="1:18" x14ac:dyDescent="0.3">
      <c r="A610">
        <f t="shared" ref="A610:A673" si="51">IF(AND(B610="", D610&lt;&gt;""), A609, A609+1)</f>
        <v>593</v>
      </c>
      <c r="B610" s="4"/>
      <c r="I610" s="8"/>
      <c r="J610" s="5" t="str">
        <f t="shared" si="49"/>
        <v/>
      </c>
      <c r="K610" s="3"/>
      <c r="L610" s="3" t="str">
        <f t="shared" si="48"/>
        <v/>
      </c>
      <c r="N610" s="3" t="str">
        <f t="shared" si="47"/>
        <v/>
      </c>
      <c r="O610" s="6" t="str">
        <f t="shared" si="50"/>
        <v/>
      </c>
      <c r="P610" s="7">
        <f ca="1">SUMIFS($N$2:$N610,$B$2:$B610,"&lt;&gt;"&amp;B610)+SUM($Q$2:$Q610)</f>
        <v>135.05500000000001</v>
      </c>
      <c r="R610" t="b">
        <f>AND(ISNUMBER(FIND($E610,Tables!$I$2)), ISNUMBER(FIND($D610,Tables!$J$2)), $E610&lt;&gt;"")</f>
        <v>0</v>
      </c>
    </row>
    <row r="611" spans="1:18" x14ac:dyDescent="0.3">
      <c r="A611">
        <f t="shared" si="51"/>
        <v>594</v>
      </c>
      <c r="B611" s="4"/>
      <c r="I611" s="8"/>
      <c r="J611" s="5" t="str">
        <f t="shared" si="49"/>
        <v/>
      </c>
      <c r="K611" s="3"/>
      <c r="L611" s="3" t="str">
        <f t="shared" si="48"/>
        <v/>
      </c>
      <c r="N611" s="3" t="str">
        <f t="shared" si="47"/>
        <v/>
      </c>
      <c r="O611" s="6" t="str">
        <f t="shared" si="50"/>
        <v/>
      </c>
      <c r="P611" s="7">
        <f ca="1">SUMIFS($N$2:$N611,$B$2:$B611,"&lt;&gt;"&amp;B611)+SUM($Q$2:$Q611)</f>
        <v>135.05500000000001</v>
      </c>
      <c r="R611" t="b">
        <f>AND(ISNUMBER(FIND($E611,Tables!$I$2)), ISNUMBER(FIND($D611,Tables!$J$2)), $E611&lt;&gt;"")</f>
        <v>0</v>
      </c>
    </row>
    <row r="612" spans="1:18" x14ac:dyDescent="0.3">
      <c r="A612">
        <f t="shared" si="51"/>
        <v>595</v>
      </c>
      <c r="B612" s="4"/>
      <c r="I612" s="8"/>
      <c r="J612" s="5" t="str">
        <f t="shared" si="49"/>
        <v/>
      </c>
      <c r="K612" s="3"/>
      <c r="L612" s="3" t="str">
        <f t="shared" si="48"/>
        <v/>
      </c>
      <c r="N612" s="3" t="str">
        <f t="shared" si="47"/>
        <v/>
      </c>
      <c r="O612" s="6" t="str">
        <f t="shared" si="50"/>
        <v/>
      </c>
      <c r="P612" s="7">
        <f ca="1">SUMIFS($N$2:$N612,$B$2:$B612,"&lt;&gt;"&amp;B612)+SUM($Q$2:$Q612)</f>
        <v>135.05500000000001</v>
      </c>
      <c r="R612" t="b">
        <f>AND(ISNUMBER(FIND($E612,Tables!$I$2)), ISNUMBER(FIND($D612,Tables!$J$2)), $E612&lt;&gt;"")</f>
        <v>0</v>
      </c>
    </row>
    <row r="613" spans="1:18" x14ac:dyDescent="0.3">
      <c r="A613">
        <f t="shared" si="51"/>
        <v>596</v>
      </c>
      <c r="B613" s="4"/>
      <c r="I613" s="8"/>
      <c r="J613" s="5" t="str">
        <f t="shared" si="49"/>
        <v/>
      </c>
      <c r="K613" s="3"/>
      <c r="L613" s="3" t="str">
        <f t="shared" si="48"/>
        <v/>
      </c>
      <c r="N613" s="3" t="str">
        <f t="shared" si="47"/>
        <v/>
      </c>
      <c r="O613" s="6" t="str">
        <f t="shared" si="50"/>
        <v/>
      </c>
      <c r="P613" s="7">
        <f ca="1">SUMIFS($N$2:$N613,$B$2:$B613,"&lt;&gt;"&amp;B613)+SUM($Q$2:$Q613)</f>
        <v>135.05500000000001</v>
      </c>
      <c r="R613" t="b">
        <f>AND(ISNUMBER(FIND($E613,Tables!$I$2)), ISNUMBER(FIND($D613,Tables!$J$2)), $E613&lt;&gt;"")</f>
        <v>0</v>
      </c>
    </row>
    <row r="614" spans="1:18" x14ac:dyDescent="0.3">
      <c r="A614">
        <f t="shared" si="51"/>
        <v>597</v>
      </c>
      <c r="B614" s="4"/>
      <c r="I614" s="8"/>
      <c r="J614" s="5" t="str">
        <f t="shared" si="49"/>
        <v/>
      </c>
      <c r="K614" s="3"/>
      <c r="L614" s="3" t="str">
        <f t="shared" si="48"/>
        <v/>
      </c>
      <c r="N614" s="3" t="str">
        <f t="shared" si="47"/>
        <v/>
      </c>
      <c r="O614" s="6" t="str">
        <f t="shared" si="50"/>
        <v/>
      </c>
      <c r="P614" s="7">
        <f ca="1">SUMIFS($N$2:$N614,$B$2:$B614,"&lt;&gt;"&amp;B614)+SUM($Q$2:$Q614)</f>
        <v>135.05500000000001</v>
      </c>
      <c r="R614" t="b">
        <f>AND(ISNUMBER(FIND($E614,Tables!$I$2)), ISNUMBER(FIND($D614,Tables!$J$2)), $E614&lt;&gt;"")</f>
        <v>0</v>
      </c>
    </row>
    <row r="615" spans="1:18" x14ac:dyDescent="0.3">
      <c r="A615">
        <f t="shared" si="51"/>
        <v>598</v>
      </c>
      <c r="B615" s="4"/>
      <c r="I615" s="8"/>
      <c r="J615" s="5" t="str">
        <f t="shared" si="49"/>
        <v/>
      </c>
      <c r="K615" s="3"/>
      <c r="L615" s="3" t="str">
        <f t="shared" si="48"/>
        <v/>
      </c>
      <c r="N615" s="3" t="str">
        <f t="shared" si="47"/>
        <v/>
      </c>
      <c r="O615" s="6" t="str">
        <f t="shared" si="50"/>
        <v/>
      </c>
      <c r="P615" s="7">
        <f ca="1">SUMIFS($N$2:$N615,$B$2:$B615,"&lt;&gt;"&amp;B615)+SUM($Q$2:$Q615)</f>
        <v>135.05500000000001</v>
      </c>
      <c r="R615" t="b">
        <f>AND(ISNUMBER(FIND($E615,Tables!$I$2)), ISNUMBER(FIND($D615,Tables!$J$2)), $E615&lt;&gt;"")</f>
        <v>0</v>
      </c>
    </row>
    <row r="616" spans="1:18" x14ac:dyDescent="0.3">
      <c r="A616">
        <f t="shared" si="51"/>
        <v>599</v>
      </c>
      <c r="B616" s="4"/>
      <c r="I616" s="8"/>
      <c r="J616" s="5" t="str">
        <f t="shared" si="49"/>
        <v/>
      </c>
      <c r="K616" s="3"/>
      <c r="L616" s="3" t="str">
        <f t="shared" si="48"/>
        <v/>
      </c>
      <c r="N616" s="3" t="str">
        <f t="shared" ref="N616:N679" si="52">IF(L616 = "", "", IF(M616="", "", IF(OR(M616="Draw",M616="NC"), 0, IF(M616="win", L616, -1*K616))))</f>
        <v/>
      </c>
      <c r="O616" s="6" t="str">
        <f t="shared" si="50"/>
        <v/>
      </c>
      <c r="P616" s="7">
        <f ca="1">SUMIFS($N$2:$N616,$B$2:$B616,"&lt;&gt;"&amp;B616)+SUM($Q$2:$Q616)</f>
        <v>135.05500000000001</v>
      </c>
      <c r="R616" t="b">
        <f>AND(ISNUMBER(FIND($E616,Tables!$I$2)), ISNUMBER(FIND($D616,Tables!$J$2)), $E616&lt;&gt;"")</f>
        <v>0</v>
      </c>
    </row>
    <row r="617" spans="1:18" x14ac:dyDescent="0.3">
      <c r="A617">
        <f t="shared" si="51"/>
        <v>600</v>
      </c>
      <c r="B617" s="4"/>
      <c r="I617" s="8"/>
      <c r="J617" s="5" t="str">
        <f t="shared" si="49"/>
        <v/>
      </c>
      <c r="K617" s="3"/>
      <c r="L617" s="3" t="str">
        <f t="shared" si="48"/>
        <v/>
      </c>
      <c r="N617" s="3" t="str">
        <f t="shared" si="52"/>
        <v/>
      </c>
      <c r="O617" s="6" t="str">
        <f t="shared" si="50"/>
        <v/>
      </c>
      <c r="P617" s="7">
        <f ca="1">SUMIFS($N$2:$N617,$B$2:$B617,"&lt;&gt;"&amp;B617)+SUM($Q$2:$Q617)</f>
        <v>135.05500000000001</v>
      </c>
      <c r="R617" t="b">
        <f>AND(ISNUMBER(FIND($E617,Tables!$I$2)), ISNUMBER(FIND($D617,Tables!$J$2)), $E617&lt;&gt;"")</f>
        <v>0</v>
      </c>
    </row>
    <row r="618" spans="1:18" x14ac:dyDescent="0.3">
      <c r="A618">
        <f t="shared" si="51"/>
        <v>601</v>
      </c>
      <c r="B618" s="4"/>
      <c r="I618" s="8"/>
      <c r="J618" s="5" t="str">
        <f t="shared" si="49"/>
        <v/>
      </c>
      <c r="K618" s="3"/>
      <c r="L618" s="3" t="str">
        <f t="shared" si="48"/>
        <v/>
      </c>
      <c r="N618" s="3" t="str">
        <f t="shared" si="52"/>
        <v/>
      </c>
      <c r="O618" s="6" t="str">
        <f t="shared" si="50"/>
        <v/>
      </c>
      <c r="P618" s="7">
        <f ca="1">SUMIFS($N$2:$N618,$B$2:$B618,"&lt;&gt;"&amp;B618)+SUM($Q$2:$Q618)</f>
        <v>135.05500000000001</v>
      </c>
      <c r="R618" t="b">
        <f>AND(ISNUMBER(FIND($E618,Tables!$I$2)), ISNUMBER(FIND($D618,Tables!$J$2)), $E618&lt;&gt;"")</f>
        <v>0</v>
      </c>
    </row>
    <row r="619" spans="1:18" x14ac:dyDescent="0.3">
      <c r="A619">
        <f t="shared" si="51"/>
        <v>602</v>
      </c>
      <c r="B619" s="4"/>
      <c r="I619" s="8"/>
      <c r="J619" s="5" t="str">
        <f t="shared" si="49"/>
        <v/>
      </c>
      <c r="K619" s="3"/>
      <c r="L619" s="3" t="str">
        <f t="shared" si="48"/>
        <v/>
      </c>
      <c r="N619" s="3" t="str">
        <f t="shared" si="52"/>
        <v/>
      </c>
      <c r="O619" s="6" t="str">
        <f t="shared" si="50"/>
        <v/>
      </c>
      <c r="P619" s="7">
        <f ca="1">SUMIFS($N$2:$N619,$B$2:$B619,"&lt;&gt;"&amp;B619)+SUM($Q$2:$Q619)</f>
        <v>135.05500000000001</v>
      </c>
      <c r="R619" t="b">
        <f>AND(ISNUMBER(FIND($E619,Tables!$I$2)), ISNUMBER(FIND($D619,Tables!$J$2)), $E619&lt;&gt;"")</f>
        <v>0</v>
      </c>
    </row>
    <row r="620" spans="1:18" x14ac:dyDescent="0.3">
      <c r="A620">
        <f t="shared" si="51"/>
        <v>603</v>
      </c>
      <c r="B620" s="4"/>
      <c r="I620" s="8"/>
      <c r="J620" s="5" t="str">
        <f t="shared" si="49"/>
        <v/>
      </c>
      <c r="K620" s="3"/>
      <c r="L620" s="3" t="str">
        <f t="shared" si="48"/>
        <v/>
      </c>
      <c r="N620" s="3" t="str">
        <f t="shared" si="52"/>
        <v/>
      </c>
      <c r="O620" s="6" t="str">
        <f t="shared" si="50"/>
        <v/>
      </c>
      <c r="P620" s="7">
        <f ca="1">SUMIFS($N$2:$N620,$B$2:$B620,"&lt;&gt;"&amp;B620)+SUM($Q$2:$Q620)</f>
        <v>135.05500000000001</v>
      </c>
      <c r="R620" t="b">
        <f>AND(ISNUMBER(FIND($E620,Tables!$I$2)), ISNUMBER(FIND($D620,Tables!$J$2)), $E620&lt;&gt;"")</f>
        <v>0</v>
      </c>
    </row>
    <row r="621" spans="1:18" x14ac:dyDescent="0.3">
      <c r="A621">
        <f t="shared" si="51"/>
        <v>604</v>
      </c>
      <c r="B621" s="4"/>
      <c r="I621" s="8"/>
      <c r="J621" s="5" t="str">
        <f t="shared" si="49"/>
        <v/>
      </c>
      <c r="K621" s="3"/>
      <c r="L621" s="3" t="str">
        <f t="shared" si="48"/>
        <v/>
      </c>
      <c r="N621" s="3" t="str">
        <f t="shared" si="52"/>
        <v/>
      </c>
      <c r="O621" s="6" t="str">
        <f t="shared" si="50"/>
        <v/>
      </c>
      <c r="P621" s="7">
        <f ca="1">SUMIFS($N$2:$N621,$B$2:$B621,"&lt;&gt;"&amp;B621)+SUM($Q$2:$Q621)</f>
        <v>135.05500000000001</v>
      </c>
      <c r="R621" t="b">
        <f>AND(ISNUMBER(FIND($E621,Tables!$I$2)), ISNUMBER(FIND($D621,Tables!$J$2)), $E621&lt;&gt;"")</f>
        <v>0</v>
      </c>
    </row>
    <row r="622" spans="1:18" x14ac:dyDescent="0.3">
      <c r="A622">
        <f t="shared" si="51"/>
        <v>605</v>
      </c>
      <c r="B622" s="4"/>
      <c r="I622" s="8"/>
      <c r="J622" s="5" t="str">
        <f t="shared" si="49"/>
        <v/>
      </c>
      <c r="K622" s="3"/>
      <c r="L622" s="3" t="str">
        <f t="shared" si="48"/>
        <v/>
      </c>
      <c r="N622" s="3" t="str">
        <f t="shared" si="52"/>
        <v/>
      </c>
      <c r="O622" s="6" t="str">
        <f t="shared" si="50"/>
        <v/>
      </c>
      <c r="P622" s="7">
        <f ca="1">SUMIFS($N$2:$N622,$B$2:$B622,"&lt;&gt;"&amp;B622)+SUM($Q$2:$Q622)</f>
        <v>135.05500000000001</v>
      </c>
      <c r="R622" t="b">
        <f>AND(ISNUMBER(FIND($E622,Tables!$I$2)), ISNUMBER(FIND($D622,Tables!$J$2)), $E622&lt;&gt;"")</f>
        <v>0</v>
      </c>
    </row>
    <row r="623" spans="1:18" x14ac:dyDescent="0.3">
      <c r="A623">
        <f t="shared" si="51"/>
        <v>606</v>
      </c>
      <c r="B623" s="4"/>
      <c r="I623" s="8"/>
      <c r="J623" s="5" t="str">
        <f t="shared" si="49"/>
        <v/>
      </c>
      <c r="K623" s="3"/>
      <c r="L623" s="3" t="str">
        <f t="shared" si="48"/>
        <v/>
      </c>
      <c r="N623" s="3" t="str">
        <f t="shared" si="52"/>
        <v/>
      </c>
      <c r="O623" s="6" t="str">
        <f t="shared" si="50"/>
        <v/>
      </c>
      <c r="P623" s="7">
        <f ca="1">SUMIFS($N$2:$N623,$B$2:$B623,"&lt;&gt;"&amp;B623)+SUM($Q$2:$Q623)</f>
        <v>135.05500000000001</v>
      </c>
      <c r="R623" t="b">
        <f>AND(ISNUMBER(FIND($E623,Tables!$I$2)), ISNUMBER(FIND($D623,Tables!$J$2)), $E623&lt;&gt;"")</f>
        <v>0</v>
      </c>
    </row>
    <row r="624" spans="1:18" x14ac:dyDescent="0.3">
      <c r="A624">
        <f t="shared" si="51"/>
        <v>607</v>
      </c>
      <c r="B624" s="4"/>
      <c r="I624" s="8"/>
      <c r="J624" s="5" t="str">
        <f t="shared" si="49"/>
        <v/>
      </c>
      <c r="K624" s="3"/>
      <c r="L624" s="3" t="str">
        <f t="shared" si="48"/>
        <v/>
      </c>
      <c r="N624" s="3" t="str">
        <f t="shared" si="52"/>
        <v/>
      </c>
      <c r="O624" s="6" t="str">
        <f t="shared" si="50"/>
        <v/>
      </c>
      <c r="P624" s="7">
        <f ca="1">SUMIFS($N$2:$N624,$B$2:$B624,"&lt;&gt;"&amp;B624)+SUM($Q$2:$Q624)</f>
        <v>135.05500000000001</v>
      </c>
      <c r="R624" t="b">
        <f>AND(ISNUMBER(FIND($E624,Tables!$I$2)), ISNUMBER(FIND($D624,Tables!$J$2)), $E624&lt;&gt;"")</f>
        <v>0</v>
      </c>
    </row>
    <row r="625" spans="1:18" x14ac:dyDescent="0.3">
      <c r="A625">
        <f t="shared" si="51"/>
        <v>608</v>
      </c>
      <c r="B625" s="4"/>
      <c r="I625" s="8"/>
      <c r="J625" s="5" t="str">
        <f t="shared" si="49"/>
        <v/>
      </c>
      <c r="K625" s="3"/>
      <c r="L625" s="3" t="str">
        <f t="shared" si="48"/>
        <v/>
      </c>
      <c r="N625" s="3" t="str">
        <f t="shared" si="52"/>
        <v/>
      </c>
      <c r="O625" s="6" t="str">
        <f t="shared" si="50"/>
        <v/>
      </c>
      <c r="P625" s="7">
        <f ca="1">SUMIFS($N$2:$N625,$B$2:$B625,"&lt;&gt;"&amp;B625)+SUM($Q$2:$Q625)</f>
        <v>135.05500000000001</v>
      </c>
      <c r="R625" t="b">
        <f>AND(ISNUMBER(FIND($E625,Tables!$I$2)), ISNUMBER(FIND($D625,Tables!$J$2)), $E625&lt;&gt;"")</f>
        <v>0</v>
      </c>
    </row>
    <row r="626" spans="1:18" x14ac:dyDescent="0.3">
      <c r="A626">
        <f t="shared" si="51"/>
        <v>609</v>
      </c>
      <c r="B626" s="4"/>
      <c r="I626" s="8"/>
      <c r="J626" s="5" t="str">
        <f t="shared" si="49"/>
        <v/>
      </c>
      <c r="K626" s="3"/>
      <c r="L626" s="3" t="str">
        <f t="shared" ref="L626:L689" si="53">IFERROR(IF(K626=0, "", IF(I626&gt;0, K626/100*I626,K626/I626*-100)), "")</f>
        <v/>
      </c>
      <c r="N626" s="3" t="str">
        <f t="shared" si="52"/>
        <v/>
      </c>
      <c r="O626" s="6" t="str">
        <f t="shared" si="50"/>
        <v/>
      </c>
      <c r="P626" s="7">
        <f ca="1">SUMIFS($N$2:$N626,$B$2:$B626,"&lt;&gt;"&amp;B626)+SUM($Q$2:$Q626)</f>
        <v>135.05500000000001</v>
      </c>
      <c r="R626" t="b">
        <f>AND(ISNUMBER(FIND($E626,Tables!$I$2)), ISNUMBER(FIND($D626,Tables!$J$2)), $E626&lt;&gt;"")</f>
        <v>0</v>
      </c>
    </row>
    <row r="627" spans="1:18" x14ac:dyDescent="0.3">
      <c r="A627">
        <f t="shared" si="51"/>
        <v>610</v>
      </c>
      <c r="B627" s="4"/>
      <c r="I627" s="8"/>
      <c r="J627" s="5" t="str">
        <f t="shared" si="49"/>
        <v/>
      </c>
      <c r="K627" s="3"/>
      <c r="L627" s="3" t="str">
        <f t="shared" si="53"/>
        <v/>
      </c>
      <c r="N627" s="3" t="str">
        <f t="shared" si="52"/>
        <v/>
      </c>
      <c r="O627" s="6" t="str">
        <f t="shared" si="50"/>
        <v/>
      </c>
      <c r="P627" s="7">
        <f ca="1">SUMIFS($N$2:$N627,$B$2:$B627,"&lt;&gt;"&amp;B627)+SUM($Q$2:$Q627)</f>
        <v>135.05500000000001</v>
      </c>
      <c r="R627" t="b">
        <f>AND(ISNUMBER(FIND($E627,Tables!$I$2)), ISNUMBER(FIND($D627,Tables!$J$2)), $E627&lt;&gt;"")</f>
        <v>0</v>
      </c>
    </row>
    <row r="628" spans="1:18" x14ac:dyDescent="0.3">
      <c r="A628">
        <f t="shared" si="51"/>
        <v>611</v>
      </c>
      <c r="B628" s="4"/>
      <c r="I628" s="8"/>
      <c r="J628" s="5" t="str">
        <f t="shared" si="49"/>
        <v/>
      </c>
      <c r="K628" s="3"/>
      <c r="L628" s="3" t="str">
        <f t="shared" si="53"/>
        <v/>
      </c>
      <c r="N628" s="3" t="str">
        <f t="shared" si="52"/>
        <v/>
      </c>
      <c r="O628" s="6" t="str">
        <f t="shared" si="50"/>
        <v/>
      </c>
      <c r="P628" s="7">
        <f ca="1">SUMIFS($N$2:$N628,$B$2:$B628,"&lt;&gt;"&amp;B628)+SUM($Q$2:$Q628)</f>
        <v>135.05500000000001</v>
      </c>
      <c r="R628" t="b">
        <f>AND(ISNUMBER(FIND($E628,Tables!$I$2)), ISNUMBER(FIND($D628,Tables!$J$2)), $E628&lt;&gt;"")</f>
        <v>0</v>
      </c>
    </row>
    <row r="629" spans="1:18" x14ac:dyDescent="0.3">
      <c r="A629">
        <f t="shared" si="51"/>
        <v>612</v>
      </c>
      <c r="B629" s="4"/>
      <c r="I629" s="8"/>
      <c r="J629" s="5" t="str">
        <f t="shared" si="49"/>
        <v/>
      </c>
      <c r="K629" s="3"/>
      <c r="L629" s="3" t="str">
        <f t="shared" si="53"/>
        <v/>
      </c>
      <c r="N629" s="3" t="str">
        <f t="shared" si="52"/>
        <v/>
      </c>
      <c r="O629" s="6" t="str">
        <f t="shared" si="50"/>
        <v/>
      </c>
      <c r="P629" s="7">
        <f ca="1">SUMIFS($N$2:$N629,$B$2:$B629,"&lt;&gt;"&amp;B629)+SUM($Q$2:$Q629)</f>
        <v>135.05500000000001</v>
      </c>
      <c r="R629" t="b">
        <f>AND(ISNUMBER(FIND($E629,Tables!$I$2)), ISNUMBER(FIND($D629,Tables!$J$2)), $E629&lt;&gt;"")</f>
        <v>0</v>
      </c>
    </row>
    <row r="630" spans="1:18" x14ac:dyDescent="0.3">
      <c r="A630">
        <f t="shared" si="51"/>
        <v>613</v>
      </c>
      <c r="B630" s="4"/>
      <c r="I630" s="8"/>
      <c r="J630" s="5" t="str">
        <f t="shared" si="49"/>
        <v/>
      </c>
      <c r="K630" s="3"/>
      <c r="L630" s="3" t="str">
        <f t="shared" si="53"/>
        <v/>
      </c>
      <c r="N630" s="3" t="str">
        <f t="shared" si="52"/>
        <v/>
      </c>
      <c r="O630" s="6" t="str">
        <f t="shared" si="50"/>
        <v/>
      </c>
      <c r="P630" s="7">
        <f ca="1">SUMIFS($N$2:$N630,$B$2:$B630,"&lt;&gt;"&amp;B630)+SUM($Q$2:$Q630)</f>
        <v>135.05500000000001</v>
      </c>
      <c r="R630" t="b">
        <f>AND(ISNUMBER(FIND($E630,Tables!$I$2)), ISNUMBER(FIND($D630,Tables!$J$2)), $E630&lt;&gt;"")</f>
        <v>0</v>
      </c>
    </row>
    <row r="631" spans="1:18" x14ac:dyDescent="0.3">
      <c r="A631">
        <f t="shared" si="51"/>
        <v>614</v>
      </c>
      <c r="B631" s="4"/>
      <c r="I631" s="8"/>
      <c r="J631" s="5" t="str">
        <f t="shared" si="49"/>
        <v/>
      </c>
      <c r="K631" s="3"/>
      <c r="L631" s="3" t="str">
        <f t="shared" si="53"/>
        <v/>
      </c>
      <c r="N631" s="3" t="str">
        <f t="shared" si="52"/>
        <v/>
      </c>
      <c r="O631" s="6" t="str">
        <f t="shared" si="50"/>
        <v/>
      </c>
      <c r="P631" s="7">
        <f ca="1">SUMIFS($N$2:$N631,$B$2:$B631,"&lt;&gt;"&amp;B631)+SUM($Q$2:$Q631)</f>
        <v>135.05500000000001</v>
      </c>
      <c r="R631" t="b">
        <f>AND(ISNUMBER(FIND($E631,Tables!$I$2)), ISNUMBER(FIND($D631,Tables!$J$2)), $E631&lt;&gt;"")</f>
        <v>0</v>
      </c>
    </row>
    <row r="632" spans="1:18" x14ac:dyDescent="0.3">
      <c r="A632">
        <f t="shared" si="51"/>
        <v>615</v>
      </c>
      <c r="B632" s="4"/>
      <c r="I632" s="8"/>
      <c r="J632" s="5" t="str">
        <f t="shared" si="49"/>
        <v/>
      </c>
      <c r="K632" s="3"/>
      <c r="L632" s="3" t="str">
        <f t="shared" si="53"/>
        <v/>
      </c>
      <c r="N632" s="3" t="str">
        <f t="shared" si="52"/>
        <v/>
      </c>
      <c r="O632" s="6" t="str">
        <f t="shared" si="50"/>
        <v/>
      </c>
      <c r="P632" s="7">
        <f ca="1">SUMIFS($N$2:$N632,$B$2:$B632,"&lt;&gt;"&amp;B632)+SUM($Q$2:$Q632)</f>
        <v>135.05500000000001</v>
      </c>
      <c r="R632" t="b">
        <f>AND(ISNUMBER(FIND($E632,Tables!$I$2)), ISNUMBER(FIND($D632,Tables!$J$2)), $E632&lt;&gt;"")</f>
        <v>0</v>
      </c>
    </row>
    <row r="633" spans="1:18" x14ac:dyDescent="0.3">
      <c r="A633">
        <f t="shared" si="51"/>
        <v>616</v>
      </c>
      <c r="B633" s="4"/>
      <c r="I633" s="8"/>
      <c r="J633" s="5" t="str">
        <f t="shared" si="49"/>
        <v/>
      </c>
      <c r="K633" s="3"/>
      <c r="L633" s="3" t="str">
        <f t="shared" si="53"/>
        <v/>
      </c>
      <c r="N633" s="3" t="str">
        <f t="shared" si="52"/>
        <v/>
      </c>
      <c r="O633" s="6" t="str">
        <f t="shared" si="50"/>
        <v/>
      </c>
      <c r="P633" s="7">
        <f ca="1">SUMIFS($N$2:$N633,$B$2:$B633,"&lt;&gt;"&amp;B633)+SUM($Q$2:$Q633)</f>
        <v>135.05500000000001</v>
      </c>
      <c r="R633" t="b">
        <f>AND(ISNUMBER(FIND($E633,Tables!$I$2)), ISNUMBER(FIND($D633,Tables!$J$2)), $E633&lt;&gt;"")</f>
        <v>0</v>
      </c>
    </row>
    <row r="634" spans="1:18" x14ac:dyDescent="0.3">
      <c r="A634">
        <f t="shared" si="51"/>
        <v>617</v>
      </c>
      <c r="B634" s="4"/>
      <c r="I634" s="8"/>
      <c r="J634" s="5" t="str">
        <f t="shared" si="49"/>
        <v/>
      </c>
      <c r="K634" s="3"/>
      <c r="L634" s="3" t="str">
        <f t="shared" si="53"/>
        <v/>
      </c>
      <c r="N634" s="3" t="str">
        <f t="shared" si="52"/>
        <v/>
      </c>
      <c r="O634" s="6" t="str">
        <f t="shared" si="50"/>
        <v/>
      </c>
      <c r="P634" s="7">
        <f ca="1">SUMIFS($N$2:$N634,$B$2:$B634,"&lt;&gt;"&amp;B634)+SUM($Q$2:$Q634)</f>
        <v>135.05500000000001</v>
      </c>
      <c r="R634" t="b">
        <f>AND(ISNUMBER(FIND($E634,Tables!$I$2)), ISNUMBER(FIND($D634,Tables!$J$2)), $E634&lt;&gt;"")</f>
        <v>0</v>
      </c>
    </row>
    <row r="635" spans="1:18" x14ac:dyDescent="0.3">
      <c r="A635">
        <f t="shared" si="51"/>
        <v>618</v>
      </c>
      <c r="B635" s="4"/>
      <c r="I635" s="8"/>
      <c r="J635" s="5" t="str">
        <f t="shared" si="49"/>
        <v/>
      </c>
      <c r="K635" s="3"/>
      <c r="L635" s="3" t="str">
        <f t="shared" si="53"/>
        <v/>
      </c>
      <c r="N635" s="3" t="str">
        <f t="shared" si="52"/>
        <v/>
      </c>
      <c r="O635" s="6" t="str">
        <f t="shared" si="50"/>
        <v/>
      </c>
      <c r="P635" s="7">
        <f ca="1">SUMIFS($N$2:$N635,$B$2:$B635,"&lt;&gt;"&amp;B635)+SUM($Q$2:$Q635)</f>
        <v>135.05500000000001</v>
      </c>
      <c r="R635" t="b">
        <f>AND(ISNUMBER(FIND($E635,Tables!$I$2)), ISNUMBER(FIND($D635,Tables!$J$2)), $E635&lt;&gt;"")</f>
        <v>0</v>
      </c>
    </row>
    <row r="636" spans="1:18" x14ac:dyDescent="0.3">
      <c r="A636">
        <f t="shared" si="51"/>
        <v>619</v>
      </c>
      <c r="B636" s="4"/>
      <c r="I636" s="8"/>
      <c r="J636" s="5" t="str">
        <f t="shared" si="49"/>
        <v/>
      </c>
      <c r="K636" s="3"/>
      <c r="L636" s="3" t="str">
        <f t="shared" si="53"/>
        <v/>
      </c>
      <c r="N636" s="3" t="str">
        <f t="shared" si="52"/>
        <v/>
      </c>
      <c r="O636" s="6" t="str">
        <f t="shared" si="50"/>
        <v/>
      </c>
      <c r="P636" s="7">
        <f ca="1">SUMIFS($N$2:$N636,$B$2:$B636,"&lt;&gt;"&amp;B636)+SUM($Q$2:$Q636)</f>
        <v>135.05500000000001</v>
      </c>
      <c r="R636" t="b">
        <f>AND(ISNUMBER(FIND($E636,Tables!$I$2)), ISNUMBER(FIND($D636,Tables!$J$2)), $E636&lt;&gt;"")</f>
        <v>0</v>
      </c>
    </row>
    <row r="637" spans="1:18" x14ac:dyDescent="0.3">
      <c r="A637">
        <f t="shared" si="51"/>
        <v>620</v>
      </c>
      <c r="B637" s="4"/>
      <c r="I637" s="8"/>
      <c r="J637" s="5" t="str">
        <f t="shared" si="49"/>
        <v/>
      </c>
      <c r="K637" s="3"/>
      <c r="L637" s="3" t="str">
        <f t="shared" si="53"/>
        <v/>
      </c>
      <c r="N637" s="3" t="str">
        <f t="shared" si="52"/>
        <v/>
      </c>
      <c r="O637" s="6" t="str">
        <f t="shared" si="50"/>
        <v/>
      </c>
      <c r="P637" s="7">
        <f ca="1">SUMIFS($N$2:$N637,$B$2:$B637,"&lt;&gt;"&amp;B637)+SUM($Q$2:$Q637)</f>
        <v>135.05500000000001</v>
      </c>
      <c r="R637" t="b">
        <f>AND(ISNUMBER(FIND($E637,Tables!$I$2)), ISNUMBER(FIND($D637,Tables!$J$2)), $E637&lt;&gt;"")</f>
        <v>0</v>
      </c>
    </row>
    <row r="638" spans="1:18" x14ac:dyDescent="0.3">
      <c r="A638">
        <f t="shared" si="51"/>
        <v>621</v>
      </c>
      <c r="B638" s="4"/>
      <c r="I638" s="8"/>
      <c r="J638" s="5" t="str">
        <f t="shared" si="49"/>
        <v/>
      </c>
      <c r="K638" s="3"/>
      <c r="L638" s="3" t="str">
        <f t="shared" si="53"/>
        <v/>
      </c>
      <c r="N638" s="3" t="str">
        <f t="shared" si="52"/>
        <v/>
      </c>
      <c r="O638" s="6" t="str">
        <f t="shared" si="50"/>
        <v/>
      </c>
      <c r="P638" s="7">
        <f ca="1">SUMIFS($N$2:$N638,$B$2:$B638,"&lt;&gt;"&amp;B638)+SUM($Q$2:$Q638)</f>
        <v>135.05500000000001</v>
      </c>
      <c r="R638" t="b">
        <f>AND(ISNUMBER(FIND($E638,Tables!$I$2)), ISNUMBER(FIND($D638,Tables!$J$2)), $E638&lt;&gt;"")</f>
        <v>0</v>
      </c>
    </row>
    <row r="639" spans="1:18" x14ac:dyDescent="0.3">
      <c r="A639">
        <f t="shared" si="51"/>
        <v>622</v>
      </c>
      <c r="B639" s="4"/>
      <c r="I639" s="8"/>
      <c r="J639" s="5" t="str">
        <f t="shared" si="49"/>
        <v/>
      </c>
      <c r="K639" s="3"/>
      <c r="L639" s="3" t="str">
        <f t="shared" si="53"/>
        <v/>
      </c>
      <c r="N639" s="3" t="str">
        <f t="shared" si="52"/>
        <v/>
      </c>
      <c r="O639" s="6" t="str">
        <f t="shared" si="50"/>
        <v/>
      </c>
      <c r="P639" s="7">
        <f ca="1">SUMIFS($N$2:$N639,$B$2:$B639,"&lt;&gt;"&amp;B639)+SUM($Q$2:$Q639)</f>
        <v>135.05500000000001</v>
      </c>
      <c r="R639" t="b">
        <f>AND(ISNUMBER(FIND($E639,Tables!$I$2)), ISNUMBER(FIND($D639,Tables!$J$2)), $E639&lt;&gt;"")</f>
        <v>0</v>
      </c>
    </row>
    <row r="640" spans="1:18" x14ac:dyDescent="0.3">
      <c r="A640">
        <f t="shared" si="51"/>
        <v>623</v>
      </c>
      <c r="B640" s="4"/>
      <c r="I640" s="8"/>
      <c r="J640" s="5" t="str">
        <f t="shared" si="49"/>
        <v/>
      </c>
      <c r="K640" s="3"/>
      <c r="L640" s="3" t="str">
        <f t="shared" si="53"/>
        <v/>
      </c>
      <c r="N640" s="3" t="str">
        <f t="shared" si="52"/>
        <v/>
      </c>
      <c r="O640" s="6" t="str">
        <f t="shared" si="50"/>
        <v/>
      </c>
      <c r="P640" s="7">
        <f ca="1">SUMIFS($N$2:$N640,$B$2:$B640,"&lt;&gt;"&amp;B640)+SUM($Q$2:$Q640)</f>
        <v>135.05500000000001</v>
      </c>
      <c r="R640" t="b">
        <f>AND(ISNUMBER(FIND($E640,Tables!$I$2)), ISNUMBER(FIND($D640,Tables!$J$2)), $E640&lt;&gt;"")</f>
        <v>0</v>
      </c>
    </row>
    <row r="641" spans="1:18" x14ac:dyDescent="0.3">
      <c r="A641">
        <f t="shared" si="51"/>
        <v>624</v>
      </c>
      <c r="B641" s="4"/>
      <c r="I641" s="8"/>
      <c r="J641" s="5" t="str">
        <f t="shared" si="49"/>
        <v/>
      </c>
      <c r="K641" s="3"/>
      <c r="L641" s="3" t="str">
        <f t="shared" si="53"/>
        <v/>
      </c>
      <c r="N641" s="3" t="str">
        <f t="shared" si="52"/>
        <v/>
      </c>
      <c r="O641" s="6" t="str">
        <f t="shared" si="50"/>
        <v/>
      </c>
      <c r="P641" s="7">
        <f ca="1">SUMIFS($N$2:$N641,$B$2:$B641,"&lt;&gt;"&amp;B641)+SUM($Q$2:$Q641)</f>
        <v>135.05500000000001</v>
      </c>
      <c r="R641" t="b">
        <f>AND(ISNUMBER(FIND($E641,Tables!$I$2)), ISNUMBER(FIND($D641,Tables!$J$2)), $E641&lt;&gt;"")</f>
        <v>0</v>
      </c>
    </row>
    <row r="642" spans="1:18" x14ac:dyDescent="0.3">
      <c r="A642">
        <f t="shared" si="51"/>
        <v>625</v>
      </c>
      <c r="B642" s="4"/>
      <c r="I642" s="8"/>
      <c r="J642" s="5" t="str">
        <f t="shared" ref="J642:J705" si="54">IF(I642="", "", IF(I642&gt;0, I642/100 +1, -100/I642 +1))</f>
        <v/>
      </c>
      <c r="K642" s="3"/>
      <c r="L642" s="3" t="str">
        <f t="shared" si="53"/>
        <v/>
      </c>
      <c r="N642" s="3" t="str">
        <f t="shared" si="52"/>
        <v/>
      </c>
      <c r="O642" s="6" t="str">
        <f t="shared" ref="O642:O705" si="55">IFERROR(K642/VLOOKUP(_xlfn.MINIFS(A:A,B:B,B642,C:C,C642),A:P,16),"")</f>
        <v/>
      </c>
      <c r="P642" s="7">
        <f ca="1">SUMIFS($N$2:$N642,$B$2:$B642,"&lt;&gt;"&amp;B642)+SUM($Q$2:$Q642)</f>
        <v>135.05500000000001</v>
      </c>
      <c r="R642" t="b">
        <f>AND(ISNUMBER(FIND($E642,Tables!$I$2)), ISNUMBER(FIND($D642,Tables!$J$2)), $E642&lt;&gt;"")</f>
        <v>0</v>
      </c>
    </row>
    <row r="643" spans="1:18" x14ac:dyDescent="0.3">
      <c r="A643">
        <f t="shared" si="51"/>
        <v>626</v>
      </c>
      <c r="B643" s="4"/>
      <c r="I643" s="8"/>
      <c r="J643" s="5" t="str">
        <f t="shared" si="54"/>
        <v/>
      </c>
      <c r="K643" s="3"/>
      <c r="L643" s="3" t="str">
        <f t="shared" si="53"/>
        <v/>
      </c>
      <c r="N643" s="3" t="str">
        <f t="shared" si="52"/>
        <v/>
      </c>
      <c r="O643" s="6" t="str">
        <f t="shared" si="55"/>
        <v/>
      </c>
      <c r="P643" s="7">
        <f ca="1">SUMIFS($N$2:$N643,$B$2:$B643,"&lt;&gt;"&amp;B643)+SUM($Q$2:$Q643)</f>
        <v>135.05500000000001</v>
      </c>
      <c r="R643" t="b">
        <f>AND(ISNUMBER(FIND($E643,Tables!$I$2)), ISNUMBER(FIND($D643,Tables!$J$2)), $E643&lt;&gt;"")</f>
        <v>0</v>
      </c>
    </row>
    <row r="644" spans="1:18" x14ac:dyDescent="0.3">
      <c r="A644">
        <f t="shared" si="51"/>
        <v>627</v>
      </c>
      <c r="B644" s="4"/>
      <c r="I644" s="8"/>
      <c r="J644" s="5" t="str">
        <f t="shared" si="54"/>
        <v/>
      </c>
      <c r="K644" s="3"/>
      <c r="L644" s="3" t="str">
        <f t="shared" si="53"/>
        <v/>
      </c>
      <c r="N644" s="3" t="str">
        <f t="shared" si="52"/>
        <v/>
      </c>
      <c r="O644" s="6" t="str">
        <f t="shared" si="55"/>
        <v/>
      </c>
      <c r="P644" s="7">
        <f ca="1">SUMIFS($N$2:$N644,$B$2:$B644,"&lt;&gt;"&amp;B644)+SUM($Q$2:$Q644)</f>
        <v>135.05500000000001</v>
      </c>
      <c r="R644" t="b">
        <f>AND(ISNUMBER(FIND($E644,Tables!$I$2)), ISNUMBER(FIND($D644,Tables!$J$2)), $E644&lt;&gt;"")</f>
        <v>0</v>
      </c>
    </row>
    <row r="645" spans="1:18" x14ac:dyDescent="0.3">
      <c r="A645">
        <f t="shared" si="51"/>
        <v>628</v>
      </c>
      <c r="B645" s="4"/>
      <c r="I645" s="8"/>
      <c r="J645" s="5" t="str">
        <f t="shared" si="54"/>
        <v/>
      </c>
      <c r="K645" s="3"/>
      <c r="L645" s="3" t="str">
        <f t="shared" si="53"/>
        <v/>
      </c>
      <c r="N645" s="3" t="str">
        <f t="shared" si="52"/>
        <v/>
      </c>
      <c r="O645" s="6" t="str">
        <f t="shared" si="55"/>
        <v/>
      </c>
      <c r="P645" s="7">
        <f ca="1">SUMIFS($N$2:$N645,$B$2:$B645,"&lt;&gt;"&amp;B645)+SUM($Q$2:$Q645)</f>
        <v>135.05500000000001</v>
      </c>
      <c r="R645" t="b">
        <f>AND(ISNUMBER(FIND($E645,Tables!$I$2)), ISNUMBER(FIND($D645,Tables!$J$2)), $E645&lt;&gt;"")</f>
        <v>0</v>
      </c>
    </row>
    <row r="646" spans="1:18" x14ac:dyDescent="0.3">
      <c r="A646">
        <f t="shared" si="51"/>
        <v>629</v>
      </c>
      <c r="B646" s="4"/>
      <c r="I646" s="8"/>
      <c r="J646" s="5" t="str">
        <f t="shared" si="54"/>
        <v/>
      </c>
      <c r="K646" s="3"/>
      <c r="L646" s="3" t="str">
        <f t="shared" si="53"/>
        <v/>
      </c>
      <c r="N646" s="3" t="str">
        <f t="shared" si="52"/>
        <v/>
      </c>
      <c r="O646" s="6" t="str">
        <f t="shared" si="55"/>
        <v/>
      </c>
      <c r="P646" s="7">
        <f ca="1">SUMIFS($N$2:$N646,$B$2:$B646,"&lt;&gt;"&amp;B646)+SUM($Q$2:$Q646)</f>
        <v>135.05500000000001</v>
      </c>
      <c r="R646" t="b">
        <f>AND(ISNUMBER(FIND($E646,Tables!$I$2)), ISNUMBER(FIND($D646,Tables!$J$2)), $E646&lt;&gt;"")</f>
        <v>0</v>
      </c>
    </row>
    <row r="647" spans="1:18" x14ac:dyDescent="0.3">
      <c r="A647">
        <f t="shared" si="51"/>
        <v>630</v>
      </c>
      <c r="B647" s="4"/>
      <c r="I647" s="8"/>
      <c r="J647" s="5" t="str">
        <f t="shared" si="54"/>
        <v/>
      </c>
      <c r="K647" s="3"/>
      <c r="L647" s="3" t="str">
        <f t="shared" si="53"/>
        <v/>
      </c>
      <c r="N647" s="3" t="str">
        <f t="shared" si="52"/>
        <v/>
      </c>
      <c r="O647" s="6" t="str">
        <f t="shared" si="55"/>
        <v/>
      </c>
      <c r="P647" s="7">
        <f ca="1">SUMIFS($N$2:$N647,$B$2:$B647,"&lt;&gt;"&amp;B647)+SUM($Q$2:$Q647)</f>
        <v>135.05500000000001</v>
      </c>
      <c r="R647" t="b">
        <f>AND(ISNUMBER(FIND($E647,Tables!$I$2)), ISNUMBER(FIND($D647,Tables!$J$2)), $E647&lt;&gt;"")</f>
        <v>0</v>
      </c>
    </row>
    <row r="648" spans="1:18" x14ac:dyDescent="0.3">
      <c r="A648">
        <f t="shared" si="51"/>
        <v>631</v>
      </c>
      <c r="B648" s="4"/>
      <c r="I648" s="8"/>
      <c r="J648" s="5" t="str">
        <f t="shared" si="54"/>
        <v/>
      </c>
      <c r="K648" s="3"/>
      <c r="L648" s="3" t="str">
        <f t="shared" si="53"/>
        <v/>
      </c>
      <c r="N648" s="3" t="str">
        <f t="shared" si="52"/>
        <v/>
      </c>
      <c r="O648" s="6" t="str">
        <f t="shared" si="55"/>
        <v/>
      </c>
      <c r="P648" s="7">
        <f ca="1">SUMIFS($N$2:$N648,$B$2:$B648,"&lt;&gt;"&amp;B648)+SUM($Q$2:$Q648)</f>
        <v>135.05500000000001</v>
      </c>
      <c r="R648" t="b">
        <f>AND(ISNUMBER(FIND($E648,Tables!$I$2)), ISNUMBER(FIND($D648,Tables!$J$2)), $E648&lt;&gt;"")</f>
        <v>0</v>
      </c>
    </row>
    <row r="649" spans="1:18" x14ac:dyDescent="0.3">
      <c r="A649">
        <f t="shared" si="51"/>
        <v>632</v>
      </c>
      <c r="B649" s="4"/>
      <c r="I649" s="8"/>
      <c r="J649" s="5" t="str">
        <f t="shared" si="54"/>
        <v/>
      </c>
      <c r="K649" s="3"/>
      <c r="L649" s="3" t="str">
        <f t="shared" si="53"/>
        <v/>
      </c>
      <c r="N649" s="3" t="str">
        <f t="shared" si="52"/>
        <v/>
      </c>
      <c r="O649" s="6" t="str">
        <f t="shared" si="55"/>
        <v/>
      </c>
      <c r="P649" s="7">
        <f ca="1">SUMIFS($N$2:$N649,$B$2:$B649,"&lt;&gt;"&amp;B649)+SUM($Q$2:$Q649)</f>
        <v>135.05500000000001</v>
      </c>
      <c r="R649" t="b">
        <f>AND(ISNUMBER(FIND($E649,Tables!$I$2)), ISNUMBER(FIND($D649,Tables!$J$2)), $E649&lt;&gt;"")</f>
        <v>0</v>
      </c>
    </row>
    <row r="650" spans="1:18" x14ac:dyDescent="0.3">
      <c r="A650">
        <f t="shared" si="51"/>
        <v>633</v>
      </c>
      <c r="B650" s="4"/>
      <c r="I650" s="8"/>
      <c r="J650" s="5" t="str">
        <f t="shared" si="54"/>
        <v/>
      </c>
      <c r="K650" s="3"/>
      <c r="L650" s="3" t="str">
        <f t="shared" si="53"/>
        <v/>
      </c>
      <c r="N650" s="3" t="str">
        <f t="shared" si="52"/>
        <v/>
      </c>
      <c r="O650" s="6" t="str">
        <f t="shared" si="55"/>
        <v/>
      </c>
      <c r="P650" s="7">
        <f ca="1">SUMIFS($N$2:$N650,$B$2:$B650,"&lt;&gt;"&amp;B650)+SUM($Q$2:$Q650)</f>
        <v>135.05500000000001</v>
      </c>
      <c r="R650" t="b">
        <f>AND(ISNUMBER(FIND($E650,Tables!$I$2)), ISNUMBER(FIND($D650,Tables!$J$2)), $E650&lt;&gt;"")</f>
        <v>0</v>
      </c>
    </row>
    <row r="651" spans="1:18" x14ac:dyDescent="0.3">
      <c r="A651">
        <f t="shared" si="51"/>
        <v>634</v>
      </c>
      <c r="B651" s="4"/>
      <c r="I651" s="8"/>
      <c r="J651" s="5" t="str">
        <f t="shared" si="54"/>
        <v/>
      </c>
      <c r="K651" s="3"/>
      <c r="L651" s="3" t="str">
        <f t="shared" si="53"/>
        <v/>
      </c>
      <c r="N651" s="3" t="str">
        <f t="shared" si="52"/>
        <v/>
      </c>
      <c r="O651" s="6" t="str">
        <f t="shared" si="55"/>
        <v/>
      </c>
      <c r="P651" s="7">
        <f ca="1">SUMIFS($N$2:$N651,$B$2:$B651,"&lt;&gt;"&amp;B651)+SUM($Q$2:$Q651)</f>
        <v>135.05500000000001</v>
      </c>
      <c r="R651" t="b">
        <f>AND(ISNUMBER(FIND($E651,Tables!$I$2)), ISNUMBER(FIND($D651,Tables!$J$2)), $E651&lt;&gt;"")</f>
        <v>0</v>
      </c>
    </row>
    <row r="652" spans="1:18" x14ac:dyDescent="0.3">
      <c r="A652">
        <f t="shared" si="51"/>
        <v>635</v>
      </c>
      <c r="B652" s="4"/>
      <c r="I652" s="8"/>
      <c r="J652" s="5" t="str">
        <f t="shared" si="54"/>
        <v/>
      </c>
      <c r="K652" s="3"/>
      <c r="L652" s="3" t="str">
        <f t="shared" si="53"/>
        <v/>
      </c>
      <c r="N652" s="3" t="str">
        <f t="shared" si="52"/>
        <v/>
      </c>
      <c r="O652" s="6" t="str">
        <f t="shared" si="55"/>
        <v/>
      </c>
      <c r="P652" s="7">
        <f ca="1">SUMIFS($N$2:$N652,$B$2:$B652,"&lt;&gt;"&amp;B652)+SUM($Q$2:$Q652)</f>
        <v>135.05500000000001</v>
      </c>
      <c r="R652" t="b">
        <f>AND(ISNUMBER(FIND($E652,Tables!$I$2)), ISNUMBER(FIND($D652,Tables!$J$2)), $E652&lt;&gt;"")</f>
        <v>0</v>
      </c>
    </row>
    <row r="653" spans="1:18" x14ac:dyDescent="0.3">
      <c r="A653">
        <f t="shared" si="51"/>
        <v>636</v>
      </c>
      <c r="B653" s="4"/>
      <c r="I653" s="8"/>
      <c r="J653" s="5" t="str">
        <f t="shared" si="54"/>
        <v/>
      </c>
      <c r="K653" s="3"/>
      <c r="L653" s="3" t="str">
        <f t="shared" si="53"/>
        <v/>
      </c>
      <c r="N653" s="3" t="str">
        <f t="shared" si="52"/>
        <v/>
      </c>
      <c r="O653" s="6" t="str">
        <f t="shared" si="55"/>
        <v/>
      </c>
      <c r="P653" s="7">
        <f ca="1">SUMIFS($N$2:$N653,$B$2:$B653,"&lt;&gt;"&amp;B653)+SUM($Q$2:$Q653)</f>
        <v>135.05500000000001</v>
      </c>
      <c r="R653" t="b">
        <f>AND(ISNUMBER(FIND($E653,Tables!$I$2)), ISNUMBER(FIND($D653,Tables!$J$2)), $E653&lt;&gt;"")</f>
        <v>0</v>
      </c>
    </row>
    <row r="654" spans="1:18" x14ac:dyDescent="0.3">
      <c r="A654">
        <f t="shared" si="51"/>
        <v>637</v>
      </c>
      <c r="B654" s="4"/>
      <c r="I654" s="8"/>
      <c r="J654" s="5" t="str">
        <f t="shared" si="54"/>
        <v/>
      </c>
      <c r="K654" s="3"/>
      <c r="L654" s="3" t="str">
        <f t="shared" si="53"/>
        <v/>
      </c>
      <c r="N654" s="3" t="str">
        <f t="shared" si="52"/>
        <v/>
      </c>
      <c r="O654" s="6" t="str">
        <f t="shared" si="55"/>
        <v/>
      </c>
      <c r="P654" s="7">
        <f ca="1">SUMIFS($N$2:$N654,$B$2:$B654,"&lt;&gt;"&amp;B654)+SUM($Q$2:$Q654)</f>
        <v>135.05500000000001</v>
      </c>
      <c r="R654" t="b">
        <f>AND(ISNUMBER(FIND($E654,Tables!$I$2)), ISNUMBER(FIND($D654,Tables!$J$2)), $E654&lt;&gt;"")</f>
        <v>0</v>
      </c>
    </row>
    <row r="655" spans="1:18" x14ac:dyDescent="0.3">
      <c r="A655">
        <f t="shared" si="51"/>
        <v>638</v>
      </c>
      <c r="B655" s="4"/>
      <c r="I655" s="8"/>
      <c r="J655" s="5" t="str">
        <f t="shared" si="54"/>
        <v/>
      </c>
      <c r="K655" s="3"/>
      <c r="L655" s="3" t="str">
        <f t="shared" si="53"/>
        <v/>
      </c>
      <c r="N655" s="3" t="str">
        <f t="shared" si="52"/>
        <v/>
      </c>
      <c r="O655" s="6" t="str">
        <f t="shared" si="55"/>
        <v/>
      </c>
      <c r="P655" s="7">
        <f ca="1">SUMIFS($N$2:$N655,$B$2:$B655,"&lt;&gt;"&amp;B655)+SUM($Q$2:$Q655)</f>
        <v>135.05500000000001</v>
      </c>
      <c r="R655" t="b">
        <f>AND(ISNUMBER(FIND($E655,Tables!$I$2)), ISNUMBER(FIND($D655,Tables!$J$2)), $E655&lt;&gt;"")</f>
        <v>0</v>
      </c>
    </row>
    <row r="656" spans="1:18" x14ac:dyDescent="0.3">
      <c r="A656">
        <f t="shared" si="51"/>
        <v>639</v>
      </c>
      <c r="B656" s="4"/>
      <c r="I656" s="8"/>
      <c r="J656" s="5" t="str">
        <f t="shared" si="54"/>
        <v/>
      </c>
      <c r="K656" s="3"/>
      <c r="L656" s="3" t="str">
        <f t="shared" si="53"/>
        <v/>
      </c>
      <c r="N656" s="3" t="str">
        <f t="shared" si="52"/>
        <v/>
      </c>
      <c r="O656" s="6" t="str">
        <f t="shared" si="55"/>
        <v/>
      </c>
      <c r="P656" s="7">
        <f ca="1">SUMIFS($N$2:$N656,$B$2:$B656,"&lt;&gt;"&amp;B656)+SUM($Q$2:$Q656)</f>
        <v>135.05500000000001</v>
      </c>
      <c r="R656" t="b">
        <f>AND(ISNUMBER(FIND($E656,Tables!$I$2)), ISNUMBER(FIND($D656,Tables!$J$2)), $E656&lt;&gt;"")</f>
        <v>0</v>
      </c>
    </row>
    <row r="657" spans="1:18" x14ac:dyDescent="0.3">
      <c r="A657">
        <f t="shared" si="51"/>
        <v>640</v>
      </c>
      <c r="B657" s="4"/>
      <c r="I657" s="8"/>
      <c r="J657" s="5" t="str">
        <f t="shared" si="54"/>
        <v/>
      </c>
      <c r="K657" s="3"/>
      <c r="L657" s="3" t="str">
        <f t="shared" si="53"/>
        <v/>
      </c>
      <c r="N657" s="3" t="str">
        <f t="shared" si="52"/>
        <v/>
      </c>
      <c r="O657" s="6" t="str">
        <f t="shared" si="55"/>
        <v/>
      </c>
      <c r="P657" s="7">
        <f ca="1">SUMIFS($N$2:$N657,$B$2:$B657,"&lt;&gt;"&amp;B657)+SUM($Q$2:$Q657)</f>
        <v>135.05500000000001</v>
      </c>
      <c r="R657" t="b">
        <f>AND(ISNUMBER(FIND($E657,Tables!$I$2)), ISNUMBER(FIND($D657,Tables!$J$2)), $E657&lt;&gt;"")</f>
        <v>0</v>
      </c>
    </row>
    <row r="658" spans="1:18" x14ac:dyDescent="0.3">
      <c r="A658">
        <f t="shared" si="51"/>
        <v>641</v>
      </c>
      <c r="B658" s="4"/>
      <c r="I658" s="8"/>
      <c r="J658" s="5" t="str">
        <f t="shared" si="54"/>
        <v/>
      </c>
      <c r="K658" s="3"/>
      <c r="L658" s="3" t="str">
        <f t="shared" si="53"/>
        <v/>
      </c>
      <c r="N658" s="3" t="str">
        <f t="shared" si="52"/>
        <v/>
      </c>
      <c r="O658" s="6" t="str">
        <f t="shared" si="55"/>
        <v/>
      </c>
      <c r="P658" s="7">
        <f ca="1">SUMIFS($N$2:$N658,$B$2:$B658,"&lt;&gt;"&amp;B658)+SUM($Q$2:$Q658)</f>
        <v>135.05500000000001</v>
      </c>
      <c r="R658" t="b">
        <f>AND(ISNUMBER(FIND($E658,Tables!$I$2)), ISNUMBER(FIND($D658,Tables!$J$2)), $E658&lt;&gt;"")</f>
        <v>0</v>
      </c>
    </row>
    <row r="659" spans="1:18" x14ac:dyDescent="0.3">
      <c r="A659">
        <f t="shared" si="51"/>
        <v>642</v>
      </c>
      <c r="B659" s="4"/>
      <c r="I659" s="8"/>
      <c r="J659" s="5" t="str">
        <f t="shared" si="54"/>
        <v/>
      </c>
      <c r="K659" s="3"/>
      <c r="L659" s="3" t="str">
        <f t="shared" si="53"/>
        <v/>
      </c>
      <c r="N659" s="3" t="str">
        <f t="shared" si="52"/>
        <v/>
      </c>
      <c r="O659" s="6" t="str">
        <f t="shared" si="55"/>
        <v/>
      </c>
      <c r="P659" s="7">
        <f ca="1">SUMIFS($N$2:$N659,$B$2:$B659,"&lt;&gt;"&amp;B659)+SUM($Q$2:$Q659)</f>
        <v>135.05500000000001</v>
      </c>
      <c r="R659" t="b">
        <f>AND(ISNUMBER(FIND($E659,Tables!$I$2)), ISNUMBER(FIND($D659,Tables!$J$2)), $E659&lt;&gt;"")</f>
        <v>0</v>
      </c>
    </row>
    <row r="660" spans="1:18" x14ac:dyDescent="0.3">
      <c r="A660">
        <f t="shared" si="51"/>
        <v>643</v>
      </c>
      <c r="B660" s="4"/>
      <c r="I660" s="8"/>
      <c r="J660" s="5" t="str">
        <f t="shared" si="54"/>
        <v/>
      </c>
      <c r="K660" s="3"/>
      <c r="L660" s="3" t="str">
        <f t="shared" si="53"/>
        <v/>
      </c>
      <c r="N660" s="3" t="str">
        <f t="shared" si="52"/>
        <v/>
      </c>
      <c r="O660" s="6" t="str">
        <f t="shared" si="55"/>
        <v/>
      </c>
      <c r="P660" s="7">
        <f ca="1">SUMIFS($N$2:$N660,$B$2:$B660,"&lt;&gt;"&amp;B660)+SUM($Q$2:$Q660)</f>
        <v>135.05500000000001</v>
      </c>
      <c r="R660" t="b">
        <f>AND(ISNUMBER(FIND($E660,Tables!$I$2)), ISNUMBER(FIND($D660,Tables!$J$2)), $E660&lt;&gt;"")</f>
        <v>0</v>
      </c>
    </row>
    <row r="661" spans="1:18" x14ac:dyDescent="0.3">
      <c r="A661">
        <f t="shared" si="51"/>
        <v>644</v>
      </c>
      <c r="B661" s="4"/>
      <c r="I661" s="8"/>
      <c r="J661" s="5" t="str">
        <f t="shared" si="54"/>
        <v/>
      </c>
      <c r="K661" s="3"/>
      <c r="L661" s="3" t="str">
        <f t="shared" si="53"/>
        <v/>
      </c>
      <c r="N661" s="3" t="str">
        <f t="shared" si="52"/>
        <v/>
      </c>
      <c r="O661" s="6" t="str">
        <f t="shared" si="55"/>
        <v/>
      </c>
      <c r="P661" s="7">
        <f ca="1">SUMIFS($N$2:$N661,$B$2:$B661,"&lt;&gt;"&amp;B661)+SUM($Q$2:$Q661)</f>
        <v>135.05500000000001</v>
      </c>
      <c r="R661" t="b">
        <f>AND(ISNUMBER(FIND($E661,Tables!$I$2)), ISNUMBER(FIND($D661,Tables!$J$2)), $E661&lt;&gt;"")</f>
        <v>0</v>
      </c>
    </row>
    <row r="662" spans="1:18" x14ac:dyDescent="0.3">
      <c r="A662">
        <f t="shared" si="51"/>
        <v>645</v>
      </c>
      <c r="B662" s="4"/>
      <c r="I662" s="8"/>
      <c r="J662" s="5" t="str">
        <f t="shared" si="54"/>
        <v/>
      </c>
      <c r="K662" s="3"/>
      <c r="L662" s="3" t="str">
        <f t="shared" si="53"/>
        <v/>
      </c>
      <c r="N662" s="3" t="str">
        <f t="shared" si="52"/>
        <v/>
      </c>
      <c r="O662" s="6" t="str">
        <f t="shared" si="55"/>
        <v/>
      </c>
      <c r="P662" s="7">
        <f ca="1">SUMIFS($N$2:$N662,$B$2:$B662,"&lt;&gt;"&amp;B662)+SUM($Q$2:$Q662)</f>
        <v>135.05500000000001</v>
      </c>
      <c r="R662" t="b">
        <f>AND(ISNUMBER(FIND($E662,Tables!$I$2)), ISNUMBER(FIND($D662,Tables!$J$2)), $E662&lt;&gt;"")</f>
        <v>0</v>
      </c>
    </row>
    <row r="663" spans="1:18" x14ac:dyDescent="0.3">
      <c r="A663">
        <f t="shared" si="51"/>
        <v>646</v>
      </c>
      <c r="B663" s="4"/>
      <c r="I663" s="8"/>
      <c r="J663" s="5" t="str">
        <f t="shared" si="54"/>
        <v/>
      </c>
      <c r="K663" s="3"/>
      <c r="L663" s="3" t="str">
        <f t="shared" si="53"/>
        <v/>
      </c>
      <c r="N663" s="3" t="str">
        <f t="shared" si="52"/>
        <v/>
      </c>
      <c r="O663" s="6" t="str">
        <f t="shared" si="55"/>
        <v/>
      </c>
      <c r="P663" s="7">
        <f ca="1">SUMIFS($N$2:$N663,$B$2:$B663,"&lt;&gt;"&amp;B663)+SUM($Q$2:$Q663)</f>
        <v>135.05500000000001</v>
      </c>
      <c r="R663" t="b">
        <f>AND(ISNUMBER(FIND($E663,Tables!$I$2)), ISNUMBER(FIND($D663,Tables!$J$2)), $E663&lt;&gt;"")</f>
        <v>0</v>
      </c>
    </row>
    <row r="664" spans="1:18" x14ac:dyDescent="0.3">
      <c r="A664">
        <f t="shared" si="51"/>
        <v>647</v>
      </c>
      <c r="B664" s="4"/>
      <c r="I664" s="8"/>
      <c r="J664" s="5" t="str">
        <f t="shared" si="54"/>
        <v/>
      </c>
      <c r="K664" s="3"/>
      <c r="L664" s="3" t="str">
        <f t="shared" si="53"/>
        <v/>
      </c>
      <c r="N664" s="3" t="str">
        <f t="shared" si="52"/>
        <v/>
      </c>
      <c r="O664" s="6" t="str">
        <f t="shared" si="55"/>
        <v/>
      </c>
      <c r="P664" s="7">
        <f ca="1">SUMIFS($N$2:$N664,$B$2:$B664,"&lt;&gt;"&amp;B664)+SUM($Q$2:$Q664)</f>
        <v>135.05500000000001</v>
      </c>
      <c r="R664" t="b">
        <f>AND(ISNUMBER(FIND($E664,Tables!$I$2)), ISNUMBER(FIND($D664,Tables!$J$2)), $E664&lt;&gt;"")</f>
        <v>0</v>
      </c>
    </row>
    <row r="665" spans="1:18" x14ac:dyDescent="0.3">
      <c r="A665">
        <f t="shared" si="51"/>
        <v>648</v>
      </c>
      <c r="B665" s="4"/>
      <c r="I665" s="8"/>
      <c r="J665" s="5" t="str">
        <f t="shared" si="54"/>
        <v/>
      </c>
      <c r="K665" s="3"/>
      <c r="L665" s="3" t="str">
        <f t="shared" si="53"/>
        <v/>
      </c>
      <c r="N665" s="3" t="str">
        <f t="shared" si="52"/>
        <v/>
      </c>
      <c r="O665" s="6" t="str">
        <f t="shared" si="55"/>
        <v/>
      </c>
      <c r="P665" s="7">
        <f ca="1">SUMIFS($N$2:$N665,$B$2:$B665,"&lt;&gt;"&amp;B665)+SUM($Q$2:$Q665)</f>
        <v>135.05500000000001</v>
      </c>
      <c r="R665" t="b">
        <f>AND(ISNUMBER(FIND($E665,Tables!$I$2)), ISNUMBER(FIND($D665,Tables!$J$2)), $E665&lt;&gt;"")</f>
        <v>0</v>
      </c>
    </row>
    <row r="666" spans="1:18" x14ac:dyDescent="0.3">
      <c r="A666">
        <f t="shared" si="51"/>
        <v>649</v>
      </c>
      <c r="B666" s="4"/>
      <c r="I666" s="8"/>
      <c r="J666" s="5" t="str">
        <f t="shared" si="54"/>
        <v/>
      </c>
      <c r="K666" s="3"/>
      <c r="L666" s="3" t="str">
        <f t="shared" si="53"/>
        <v/>
      </c>
      <c r="N666" s="3" t="str">
        <f t="shared" si="52"/>
        <v/>
      </c>
      <c r="O666" s="6" t="str">
        <f t="shared" si="55"/>
        <v/>
      </c>
      <c r="P666" s="7">
        <f ca="1">SUMIFS($N$2:$N666,$B$2:$B666,"&lt;&gt;"&amp;B666)+SUM($Q$2:$Q666)</f>
        <v>135.05500000000001</v>
      </c>
      <c r="R666" t="b">
        <f>AND(ISNUMBER(FIND($E666,Tables!$I$2)), ISNUMBER(FIND($D666,Tables!$J$2)), $E666&lt;&gt;"")</f>
        <v>0</v>
      </c>
    </row>
    <row r="667" spans="1:18" x14ac:dyDescent="0.3">
      <c r="A667">
        <f t="shared" si="51"/>
        <v>650</v>
      </c>
      <c r="B667" s="4"/>
      <c r="I667" s="8"/>
      <c r="J667" s="5" t="str">
        <f t="shared" si="54"/>
        <v/>
      </c>
      <c r="K667" s="3"/>
      <c r="L667" s="3" t="str">
        <f t="shared" si="53"/>
        <v/>
      </c>
      <c r="N667" s="3" t="str">
        <f t="shared" si="52"/>
        <v/>
      </c>
      <c r="O667" s="6" t="str">
        <f t="shared" si="55"/>
        <v/>
      </c>
      <c r="P667" s="7">
        <f ca="1">SUMIFS($N$2:$N667,$B$2:$B667,"&lt;&gt;"&amp;B667)+SUM($Q$2:$Q667)</f>
        <v>135.05500000000001</v>
      </c>
      <c r="R667" t="b">
        <f>AND(ISNUMBER(FIND($E667,Tables!$I$2)), ISNUMBER(FIND($D667,Tables!$J$2)), $E667&lt;&gt;"")</f>
        <v>0</v>
      </c>
    </row>
    <row r="668" spans="1:18" x14ac:dyDescent="0.3">
      <c r="A668">
        <f t="shared" si="51"/>
        <v>651</v>
      </c>
      <c r="B668" s="4"/>
      <c r="I668" s="8"/>
      <c r="J668" s="5" t="str">
        <f t="shared" si="54"/>
        <v/>
      </c>
      <c r="K668" s="3"/>
      <c r="L668" s="3" t="str">
        <f t="shared" si="53"/>
        <v/>
      </c>
      <c r="N668" s="3" t="str">
        <f t="shared" si="52"/>
        <v/>
      </c>
      <c r="O668" s="6" t="str">
        <f t="shared" si="55"/>
        <v/>
      </c>
      <c r="P668" s="7">
        <f ca="1">SUMIFS($N$2:$N668,$B$2:$B668,"&lt;&gt;"&amp;B668)+SUM($Q$2:$Q668)</f>
        <v>135.05500000000001</v>
      </c>
      <c r="R668" t="b">
        <f>AND(ISNUMBER(FIND($E668,Tables!$I$2)), ISNUMBER(FIND($D668,Tables!$J$2)), $E668&lt;&gt;"")</f>
        <v>0</v>
      </c>
    </row>
    <row r="669" spans="1:18" x14ac:dyDescent="0.3">
      <c r="A669">
        <f t="shared" si="51"/>
        <v>652</v>
      </c>
      <c r="B669" s="4"/>
      <c r="I669" s="8"/>
      <c r="J669" s="5" t="str">
        <f t="shared" si="54"/>
        <v/>
      </c>
      <c r="K669" s="3"/>
      <c r="L669" s="3" t="str">
        <f t="shared" si="53"/>
        <v/>
      </c>
      <c r="N669" s="3" t="str">
        <f t="shared" si="52"/>
        <v/>
      </c>
      <c r="O669" s="6" t="str">
        <f t="shared" si="55"/>
        <v/>
      </c>
      <c r="P669" s="7">
        <f ca="1">SUMIFS($N$2:$N669,$B$2:$B669,"&lt;&gt;"&amp;B669)+SUM($Q$2:$Q669)</f>
        <v>135.05500000000001</v>
      </c>
      <c r="R669" t="b">
        <f>AND(ISNUMBER(FIND($E669,Tables!$I$2)), ISNUMBER(FIND($D669,Tables!$J$2)), $E669&lt;&gt;"")</f>
        <v>0</v>
      </c>
    </row>
    <row r="670" spans="1:18" x14ac:dyDescent="0.3">
      <c r="A670">
        <f t="shared" si="51"/>
        <v>653</v>
      </c>
      <c r="B670" s="4"/>
      <c r="I670" s="8"/>
      <c r="J670" s="5" t="str">
        <f t="shared" si="54"/>
        <v/>
      </c>
      <c r="K670" s="3"/>
      <c r="L670" s="3" t="str">
        <f t="shared" si="53"/>
        <v/>
      </c>
      <c r="N670" s="3" t="str">
        <f t="shared" si="52"/>
        <v/>
      </c>
      <c r="O670" s="6" t="str">
        <f t="shared" si="55"/>
        <v/>
      </c>
      <c r="P670" s="7">
        <f ca="1">SUMIFS($N$2:$N670,$B$2:$B670,"&lt;&gt;"&amp;B670)+SUM($Q$2:$Q670)</f>
        <v>135.05500000000001</v>
      </c>
      <c r="R670" t="b">
        <f>AND(ISNUMBER(FIND($E670,Tables!$I$2)), ISNUMBER(FIND($D670,Tables!$J$2)), $E670&lt;&gt;"")</f>
        <v>0</v>
      </c>
    </row>
    <row r="671" spans="1:18" x14ac:dyDescent="0.3">
      <c r="A671">
        <f t="shared" si="51"/>
        <v>654</v>
      </c>
      <c r="B671" s="4"/>
      <c r="I671" s="8"/>
      <c r="J671" s="5" t="str">
        <f t="shared" si="54"/>
        <v/>
      </c>
      <c r="K671" s="3"/>
      <c r="L671" s="3" t="str">
        <f t="shared" si="53"/>
        <v/>
      </c>
      <c r="N671" s="3" t="str">
        <f t="shared" si="52"/>
        <v/>
      </c>
      <c r="O671" s="6" t="str">
        <f t="shared" si="55"/>
        <v/>
      </c>
      <c r="P671" s="7">
        <f ca="1">SUMIFS($N$2:$N671,$B$2:$B671,"&lt;&gt;"&amp;B671)+SUM($Q$2:$Q671)</f>
        <v>135.05500000000001</v>
      </c>
      <c r="R671" t="b">
        <f>AND(ISNUMBER(FIND($E671,Tables!$I$2)), ISNUMBER(FIND($D671,Tables!$J$2)), $E671&lt;&gt;"")</f>
        <v>0</v>
      </c>
    </row>
    <row r="672" spans="1:18" x14ac:dyDescent="0.3">
      <c r="A672">
        <f t="shared" si="51"/>
        <v>655</v>
      </c>
      <c r="B672" s="4"/>
      <c r="I672" s="8"/>
      <c r="J672" s="5" t="str">
        <f t="shared" si="54"/>
        <v/>
      </c>
      <c r="K672" s="3"/>
      <c r="L672" s="3" t="str">
        <f t="shared" si="53"/>
        <v/>
      </c>
      <c r="N672" s="3" t="str">
        <f t="shared" si="52"/>
        <v/>
      </c>
      <c r="O672" s="6" t="str">
        <f t="shared" si="55"/>
        <v/>
      </c>
      <c r="P672" s="7">
        <f ca="1">SUMIFS($N$2:$N672,$B$2:$B672,"&lt;&gt;"&amp;B672)+SUM($Q$2:$Q672)</f>
        <v>135.05500000000001</v>
      </c>
      <c r="R672" t="b">
        <f>AND(ISNUMBER(FIND($E672,Tables!$I$2)), ISNUMBER(FIND($D672,Tables!$J$2)), $E672&lt;&gt;"")</f>
        <v>0</v>
      </c>
    </row>
    <row r="673" spans="1:18" x14ac:dyDescent="0.3">
      <c r="A673">
        <f t="shared" si="51"/>
        <v>656</v>
      </c>
      <c r="B673" s="4"/>
      <c r="I673" s="8"/>
      <c r="J673" s="5" t="str">
        <f t="shared" si="54"/>
        <v/>
      </c>
      <c r="K673" s="3"/>
      <c r="L673" s="3" t="str">
        <f t="shared" si="53"/>
        <v/>
      </c>
      <c r="N673" s="3" t="str">
        <f t="shared" si="52"/>
        <v/>
      </c>
      <c r="O673" s="6" t="str">
        <f t="shared" si="55"/>
        <v/>
      </c>
      <c r="P673" s="7">
        <f ca="1">SUMIFS($N$2:$N673,$B$2:$B673,"&lt;&gt;"&amp;B673)+SUM($Q$2:$Q673)</f>
        <v>135.05500000000001</v>
      </c>
      <c r="R673" t="b">
        <f>AND(ISNUMBER(FIND($E673,Tables!$I$2)), ISNUMBER(FIND($D673,Tables!$J$2)), $E673&lt;&gt;"")</f>
        <v>0</v>
      </c>
    </row>
    <row r="674" spans="1:18" x14ac:dyDescent="0.3">
      <c r="A674">
        <f t="shared" ref="A674:A737" si="56">IF(AND(B674="", D674&lt;&gt;""), A673, A673+1)</f>
        <v>657</v>
      </c>
      <c r="B674" s="4"/>
      <c r="I674" s="8"/>
      <c r="J674" s="5" t="str">
        <f t="shared" si="54"/>
        <v/>
      </c>
      <c r="K674" s="3"/>
      <c r="L674" s="3" t="str">
        <f t="shared" si="53"/>
        <v/>
      </c>
      <c r="N674" s="3" t="str">
        <f t="shared" si="52"/>
        <v/>
      </c>
      <c r="O674" s="6" t="str">
        <f t="shared" si="55"/>
        <v/>
      </c>
      <c r="P674" s="7">
        <f ca="1">SUMIFS($N$2:$N674,$B$2:$B674,"&lt;&gt;"&amp;B674)+SUM($Q$2:$Q674)</f>
        <v>135.05500000000001</v>
      </c>
      <c r="R674" t="b">
        <f>AND(ISNUMBER(FIND($E674,Tables!$I$2)), ISNUMBER(FIND($D674,Tables!$J$2)), $E674&lt;&gt;"")</f>
        <v>0</v>
      </c>
    </row>
    <row r="675" spans="1:18" x14ac:dyDescent="0.3">
      <c r="A675">
        <f t="shared" si="56"/>
        <v>658</v>
      </c>
      <c r="B675" s="4"/>
      <c r="I675" s="8"/>
      <c r="J675" s="5" t="str">
        <f t="shared" si="54"/>
        <v/>
      </c>
      <c r="K675" s="3"/>
      <c r="L675" s="3" t="str">
        <f t="shared" si="53"/>
        <v/>
      </c>
      <c r="N675" s="3" t="str">
        <f t="shared" si="52"/>
        <v/>
      </c>
      <c r="O675" s="6" t="str">
        <f t="shared" si="55"/>
        <v/>
      </c>
      <c r="P675" s="7">
        <f ca="1">SUMIFS($N$2:$N675,$B$2:$B675,"&lt;&gt;"&amp;B675)+SUM($Q$2:$Q675)</f>
        <v>135.05500000000001</v>
      </c>
      <c r="R675" t="b">
        <f>AND(ISNUMBER(FIND($E675,Tables!$I$2)), ISNUMBER(FIND($D675,Tables!$J$2)), $E675&lt;&gt;"")</f>
        <v>0</v>
      </c>
    </row>
    <row r="676" spans="1:18" x14ac:dyDescent="0.3">
      <c r="A676">
        <f t="shared" si="56"/>
        <v>659</v>
      </c>
      <c r="B676" s="4"/>
      <c r="I676" s="8"/>
      <c r="J676" s="5" t="str">
        <f t="shared" si="54"/>
        <v/>
      </c>
      <c r="K676" s="3"/>
      <c r="L676" s="3" t="str">
        <f t="shared" si="53"/>
        <v/>
      </c>
      <c r="N676" s="3" t="str">
        <f t="shared" si="52"/>
        <v/>
      </c>
      <c r="O676" s="6" t="str">
        <f t="shared" si="55"/>
        <v/>
      </c>
      <c r="P676" s="7">
        <f ca="1">SUMIFS($N$2:$N676,$B$2:$B676,"&lt;&gt;"&amp;B676)+SUM($Q$2:$Q676)</f>
        <v>135.05500000000001</v>
      </c>
      <c r="R676" t="b">
        <f>AND(ISNUMBER(FIND($E676,Tables!$I$2)), ISNUMBER(FIND($D676,Tables!$J$2)), $E676&lt;&gt;"")</f>
        <v>0</v>
      </c>
    </row>
    <row r="677" spans="1:18" x14ac:dyDescent="0.3">
      <c r="A677">
        <f t="shared" si="56"/>
        <v>660</v>
      </c>
      <c r="B677" s="4"/>
      <c r="I677" s="8"/>
      <c r="J677" s="5" t="str">
        <f t="shared" si="54"/>
        <v/>
      </c>
      <c r="K677" s="3"/>
      <c r="L677" s="3" t="str">
        <f t="shared" si="53"/>
        <v/>
      </c>
      <c r="N677" s="3" t="str">
        <f t="shared" si="52"/>
        <v/>
      </c>
      <c r="O677" s="6" t="str">
        <f t="shared" si="55"/>
        <v/>
      </c>
      <c r="P677" s="7">
        <f ca="1">SUMIFS($N$2:$N677,$B$2:$B677,"&lt;&gt;"&amp;B677)+SUM($Q$2:$Q677)</f>
        <v>135.05500000000001</v>
      </c>
      <c r="R677" t="b">
        <f>AND(ISNUMBER(FIND($E677,Tables!$I$2)), ISNUMBER(FIND($D677,Tables!$J$2)), $E677&lt;&gt;"")</f>
        <v>0</v>
      </c>
    </row>
    <row r="678" spans="1:18" x14ac:dyDescent="0.3">
      <c r="A678">
        <f t="shared" si="56"/>
        <v>661</v>
      </c>
      <c r="B678" s="4"/>
      <c r="I678" s="8"/>
      <c r="J678" s="5" t="str">
        <f t="shared" si="54"/>
        <v/>
      </c>
      <c r="K678" s="3"/>
      <c r="L678" s="3" t="str">
        <f t="shared" si="53"/>
        <v/>
      </c>
      <c r="N678" s="3" t="str">
        <f t="shared" si="52"/>
        <v/>
      </c>
      <c r="O678" s="6" t="str">
        <f t="shared" si="55"/>
        <v/>
      </c>
      <c r="P678" s="7">
        <f ca="1">SUMIFS($N$2:$N678,$B$2:$B678,"&lt;&gt;"&amp;B678)+SUM($Q$2:$Q678)</f>
        <v>135.05500000000001</v>
      </c>
      <c r="R678" t="b">
        <f>AND(ISNUMBER(FIND($E678,Tables!$I$2)), ISNUMBER(FIND($D678,Tables!$J$2)), $E678&lt;&gt;"")</f>
        <v>0</v>
      </c>
    </row>
    <row r="679" spans="1:18" x14ac:dyDescent="0.3">
      <c r="A679">
        <f t="shared" si="56"/>
        <v>662</v>
      </c>
      <c r="B679" s="4"/>
      <c r="I679" s="8"/>
      <c r="J679" s="5" t="str">
        <f t="shared" si="54"/>
        <v/>
      </c>
      <c r="K679" s="3"/>
      <c r="L679" s="3" t="str">
        <f t="shared" si="53"/>
        <v/>
      </c>
      <c r="N679" s="3" t="str">
        <f t="shared" si="52"/>
        <v/>
      </c>
      <c r="O679" s="6" t="str">
        <f t="shared" si="55"/>
        <v/>
      </c>
      <c r="P679" s="7">
        <f ca="1">SUMIFS($N$2:$N679,$B$2:$B679,"&lt;&gt;"&amp;B679)+SUM($Q$2:$Q679)</f>
        <v>135.05500000000001</v>
      </c>
      <c r="R679" t="b">
        <f>AND(ISNUMBER(FIND($E679,Tables!$I$2)), ISNUMBER(FIND($D679,Tables!$J$2)), $E679&lt;&gt;"")</f>
        <v>0</v>
      </c>
    </row>
    <row r="680" spans="1:18" x14ac:dyDescent="0.3">
      <c r="A680">
        <f t="shared" si="56"/>
        <v>663</v>
      </c>
      <c r="B680" s="4"/>
      <c r="I680" s="8"/>
      <c r="J680" s="5" t="str">
        <f t="shared" si="54"/>
        <v/>
      </c>
      <c r="K680" s="3"/>
      <c r="L680" s="3" t="str">
        <f t="shared" si="53"/>
        <v/>
      </c>
      <c r="N680" s="3" t="str">
        <f t="shared" ref="N680:N743" si="57">IF(L680 = "", "", IF(M680="", "", IF(OR(M680="Draw",M680="NC"), 0, IF(M680="win", L680, -1*K680))))</f>
        <v/>
      </c>
      <c r="O680" s="6" t="str">
        <f t="shared" si="55"/>
        <v/>
      </c>
      <c r="P680" s="7">
        <f ca="1">SUMIFS($N$2:$N680,$B$2:$B680,"&lt;&gt;"&amp;B680)+SUM($Q$2:$Q680)</f>
        <v>135.05500000000001</v>
      </c>
      <c r="R680" t="b">
        <f>AND(ISNUMBER(FIND($E680,Tables!$I$2)), ISNUMBER(FIND($D680,Tables!$J$2)), $E680&lt;&gt;"")</f>
        <v>0</v>
      </c>
    </row>
    <row r="681" spans="1:18" x14ac:dyDescent="0.3">
      <c r="A681">
        <f t="shared" si="56"/>
        <v>664</v>
      </c>
      <c r="B681" s="4"/>
      <c r="I681" s="8"/>
      <c r="J681" s="5" t="str">
        <f t="shared" si="54"/>
        <v/>
      </c>
      <c r="K681" s="3"/>
      <c r="L681" s="3" t="str">
        <f t="shared" si="53"/>
        <v/>
      </c>
      <c r="N681" s="3" t="str">
        <f t="shared" si="57"/>
        <v/>
      </c>
      <c r="O681" s="6" t="str">
        <f t="shared" si="55"/>
        <v/>
      </c>
      <c r="P681" s="7">
        <f ca="1">SUMIFS($N$2:$N681,$B$2:$B681,"&lt;&gt;"&amp;B681)+SUM($Q$2:$Q681)</f>
        <v>135.05500000000001</v>
      </c>
      <c r="R681" t="b">
        <f>AND(ISNUMBER(FIND($E681,Tables!$I$2)), ISNUMBER(FIND($D681,Tables!$J$2)), $E681&lt;&gt;"")</f>
        <v>0</v>
      </c>
    </row>
    <row r="682" spans="1:18" x14ac:dyDescent="0.3">
      <c r="A682">
        <f t="shared" si="56"/>
        <v>665</v>
      </c>
      <c r="B682" s="4"/>
      <c r="I682" s="8"/>
      <c r="J682" s="5" t="str">
        <f t="shared" si="54"/>
        <v/>
      </c>
      <c r="K682" s="3"/>
      <c r="L682" s="3" t="str">
        <f t="shared" si="53"/>
        <v/>
      </c>
      <c r="N682" s="3" t="str">
        <f t="shared" si="57"/>
        <v/>
      </c>
      <c r="O682" s="6" t="str">
        <f t="shared" si="55"/>
        <v/>
      </c>
      <c r="P682" s="7">
        <f ca="1">SUMIFS($N$2:$N682,$B$2:$B682,"&lt;&gt;"&amp;B682)+SUM($Q$2:$Q682)</f>
        <v>135.05500000000001</v>
      </c>
      <c r="R682" t="b">
        <f>AND(ISNUMBER(FIND($E682,Tables!$I$2)), ISNUMBER(FIND($D682,Tables!$J$2)), $E682&lt;&gt;"")</f>
        <v>0</v>
      </c>
    </row>
    <row r="683" spans="1:18" x14ac:dyDescent="0.3">
      <c r="A683">
        <f t="shared" si="56"/>
        <v>666</v>
      </c>
      <c r="B683" s="4"/>
      <c r="I683" s="8"/>
      <c r="J683" s="5" t="str">
        <f t="shared" si="54"/>
        <v/>
      </c>
      <c r="K683" s="3"/>
      <c r="L683" s="3" t="str">
        <f t="shared" si="53"/>
        <v/>
      </c>
      <c r="N683" s="3" t="str">
        <f t="shared" si="57"/>
        <v/>
      </c>
      <c r="O683" s="6" t="str">
        <f t="shared" si="55"/>
        <v/>
      </c>
      <c r="P683" s="7">
        <f ca="1">SUMIFS($N$2:$N683,$B$2:$B683,"&lt;&gt;"&amp;B683)+SUM($Q$2:$Q683)</f>
        <v>135.05500000000001</v>
      </c>
      <c r="R683" t="b">
        <f>AND(ISNUMBER(FIND($E683,Tables!$I$2)), ISNUMBER(FIND($D683,Tables!$J$2)), $E683&lt;&gt;"")</f>
        <v>0</v>
      </c>
    </row>
    <row r="684" spans="1:18" x14ac:dyDescent="0.3">
      <c r="A684">
        <f t="shared" si="56"/>
        <v>667</v>
      </c>
      <c r="B684" s="4"/>
      <c r="I684" s="8"/>
      <c r="J684" s="5" t="str">
        <f t="shared" si="54"/>
        <v/>
      </c>
      <c r="K684" s="3"/>
      <c r="L684" s="3" t="str">
        <f t="shared" si="53"/>
        <v/>
      </c>
      <c r="N684" s="3" t="str">
        <f t="shared" si="57"/>
        <v/>
      </c>
      <c r="O684" s="6" t="str">
        <f t="shared" si="55"/>
        <v/>
      </c>
      <c r="P684" s="7">
        <f ca="1">SUMIFS($N$2:$N684,$B$2:$B684,"&lt;&gt;"&amp;B684)+SUM($Q$2:$Q684)</f>
        <v>135.05500000000001</v>
      </c>
      <c r="R684" t="b">
        <f>AND(ISNUMBER(FIND($E684,Tables!$I$2)), ISNUMBER(FIND($D684,Tables!$J$2)), $E684&lt;&gt;"")</f>
        <v>0</v>
      </c>
    </row>
    <row r="685" spans="1:18" x14ac:dyDescent="0.3">
      <c r="A685">
        <f t="shared" si="56"/>
        <v>668</v>
      </c>
      <c r="B685" s="4"/>
      <c r="I685" s="8"/>
      <c r="J685" s="5" t="str">
        <f t="shared" si="54"/>
        <v/>
      </c>
      <c r="K685" s="3"/>
      <c r="L685" s="3" t="str">
        <f t="shared" si="53"/>
        <v/>
      </c>
      <c r="N685" s="3" t="str">
        <f t="shared" si="57"/>
        <v/>
      </c>
      <c r="O685" s="6" t="str">
        <f t="shared" si="55"/>
        <v/>
      </c>
      <c r="P685" s="7">
        <f ca="1">SUMIFS($N$2:$N685,$B$2:$B685,"&lt;&gt;"&amp;B685)+SUM($Q$2:$Q685)</f>
        <v>135.05500000000001</v>
      </c>
      <c r="R685" t="b">
        <f>AND(ISNUMBER(FIND($E685,Tables!$I$2)), ISNUMBER(FIND($D685,Tables!$J$2)), $E685&lt;&gt;"")</f>
        <v>0</v>
      </c>
    </row>
    <row r="686" spans="1:18" x14ac:dyDescent="0.3">
      <c r="A686">
        <f t="shared" si="56"/>
        <v>669</v>
      </c>
      <c r="B686" s="4"/>
      <c r="I686" s="8"/>
      <c r="J686" s="5" t="str">
        <f t="shared" si="54"/>
        <v/>
      </c>
      <c r="K686" s="3"/>
      <c r="L686" s="3" t="str">
        <f t="shared" si="53"/>
        <v/>
      </c>
      <c r="N686" s="3" t="str">
        <f t="shared" si="57"/>
        <v/>
      </c>
      <c r="O686" s="6" t="str">
        <f t="shared" si="55"/>
        <v/>
      </c>
      <c r="P686" s="7">
        <f ca="1">SUMIFS($N$2:$N686,$B$2:$B686,"&lt;&gt;"&amp;B686)+SUM($Q$2:$Q686)</f>
        <v>135.05500000000001</v>
      </c>
      <c r="R686" t="b">
        <f>AND(ISNUMBER(FIND($E686,Tables!$I$2)), ISNUMBER(FIND($D686,Tables!$J$2)), $E686&lt;&gt;"")</f>
        <v>0</v>
      </c>
    </row>
    <row r="687" spans="1:18" x14ac:dyDescent="0.3">
      <c r="A687">
        <f t="shared" si="56"/>
        <v>670</v>
      </c>
      <c r="B687" s="4"/>
      <c r="I687" s="8"/>
      <c r="J687" s="5" t="str">
        <f t="shared" si="54"/>
        <v/>
      </c>
      <c r="K687" s="3"/>
      <c r="L687" s="3" t="str">
        <f t="shared" si="53"/>
        <v/>
      </c>
      <c r="N687" s="3" t="str">
        <f t="shared" si="57"/>
        <v/>
      </c>
      <c r="O687" s="6" t="str">
        <f t="shared" si="55"/>
        <v/>
      </c>
      <c r="P687" s="7">
        <f ca="1">SUMIFS($N$2:$N687,$B$2:$B687,"&lt;&gt;"&amp;B687)+SUM($Q$2:$Q687)</f>
        <v>135.05500000000001</v>
      </c>
      <c r="R687" t="b">
        <f>AND(ISNUMBER(FIND($E687,Tables!$I$2)), ISNUMBER(FIND($D687,Tables!$J$2)), $E687&lt;&gt;"")</f>
        <v>0</v>
      </c>
    </row>
    <row r="688" spans="1:18" x14ac:dyDescent="0.3">
      <c r="A688">
        <f t="shared" si="56"/>
        <v>671</v>
      </c>
      <c r="B688" s="4"/>
      <c r="I688" s="8"/>
      <c r="J688" s="5" t="str">
        <f t="shared" si="54"/>
        <v/>
      </c>
      <c r="K688" s="3"/>
      <c r="L688" s="3" t="str">
        <f t="shared" si="53"/>
        <v/>
      </c>
      <c r="N688" s="3" t="str">
        <f t="shared" si="57"/>
        <v/>
      </c>
      <c r="O688" s="6" t="str">
        <f t="shared" si="55"/>
        <v/>
      </c>
      <c r="P688" s="7">
        <f ca="1">SUMIFS($N$2:$N688,$B$2:$B688,"&lt;&gt;"&amp;B688)+SUM($Q$2:$Q688)</f>
        <v>135.05500000000001</v>
      </c>
      <c r="R688" t="b">
        <f>AND(ISNUMBER(FIND($E688,Tables!$I$2)), ISNUMBER(FIND($D688,Tables!$J$2)), $E688&lt;&gt;"")</f>
        <v>0</v>
      </c>
    </row>
    <row r="689" spans="1:18" x14ac:dyDescent="0.3">
      <c r="A689">
        <f t="shared" si="56"/>
        <v>672</v>
      </c>
      <c r="B689" s="4"/>
      <c r="I689" s="8"/>
      <c r="J689" s="5" t="str">
        <f t="shared" si="54"/>
        <v/>
      </c>
      <c r="K689" s="3"/>
      <c r="L689" s="3" t="str">
        <f t="shared" si="53"/>
        <v/>
      </c>
      <c r="N689" s="3" t="str">
        <f t="shared" si="57"/>
        <v/>
      </c>
      <c r="O689" s="6" t="str">
        <f t="shared" si="55"/>
        <v/>
      </c>
      <c r="P689" s="7">
        <f ca="1">SUMIFS($N$2:$N689,$B$2:$B689,"&lt;&gt;"&amp;B689)+SUM($Q$2:$Q689)</f>
        <v>135.05500000000001</v>
      </c>
      <c r="R689" t="b">
        <f>AND(ISNUMBER(FIND($E689,Tables!$I$2)), ISNUMBER(FIND($D689,Tables!$J$2)), $E689&lt;&gt;"")</f>
        <v>0</v>
      </c>
    </row>
    <row r="690" spans="1:18" x14ac:dyDescent="0.3">
      <c r="A690">
        <f t="shared" si="56"/>
        <v>673</v>
      </c>
      <c r="B690" s="4"/>
      <c r="I690" s="8"/>
      <c r="J690" s="5" t="str">
        <f t="shared" si="54"/>
        <v/>
      </c>
      <c r="K690" s="3"/>
      <c r="L690" s="3" t="str">
        <f t="shared" ref="L690:L753" si="58">IFERROR(IF(K690=0, "", IF(I690&gt;0, K690/100*I690,K690/I690*-100)), "")</f>
        <v/>
      </c>
      <c r="N690" s="3" t="str">
        <f t="shared" si="57"/>
        <v/>
      </c>
      <c r="O690" s="6" t="str">
        <f t="shared" si="55"/>
        <v/>
      </c>
      <c r="P690" s="7">
        <f ca="1">SUMIFS($N$2:$N690,$B$2:$B690,"&lt;&gt;"&amp;B690)+SUM($Q$2:$Q690)</f>
        <v>135.05500000000001</v>
      </c>
      <c r="R690" t="b">
        <f>AND(ISNUMBER(FIND($E690,Tables!$I$2)), ISNUMBER(FIND($D690,Tables!$J$2)), $E690&lt;&gt;"")</f>
        <v>0</v>
      </c>
    </row>
    <row r="691" spans="1:18" x14ac:dyDescent="0.3">
      <c r="A691">
        <f t="shared" si="56"/>
        <v>674</v>
      </c>
      <c r="B691" s="4"/>
      <c r="I691" s="8"/>
      <c r="J691" s="5" t="str">
        <f t="shared" si="54"/>
        <v/>
      </c>
      <c r="K691" s="3"/>
      <c r="L691" s="3" t="str">
        <f t="shared" si="58"/>
        <v/>
      </c>
      <c r="N691" s="3" t="str">
        <f t="shared" si="57"/>
        <v/>
      </c>
      <c r="O691" s="6" t="str">
        <f t="shared" si="55"/>
        <v/>
      </c>
      <c r="P691" s="7">
        <f ca="1">SUMIFS($N$2:$N691,$B$2:$B691,"&lt;&gt;"&amp;B691)+SUM($Q$2:$Q691)</f>
        <v>135.05500000000001</v>
      </c>
      <c r="R691" t="b">
        <f>AND(ISNUMBER(FIND($E691,Tables!$I$2)), ISNUMBER(FIND($D691,Tables!$J$2)), $E691&lt;&gt;"")</f>
        <v>0</v>
      </c>
    </row>
    <row r="692" spans="1:18" x14ac:dyDescent="0.3">
      <c r="A692">
        <f t="shared" si="56"/>
        <v>675</v>
      </c>
      <c r="B692" s="4"/>
      <c r="I692" s="8"/>
      <c r="J692" s="5" t="str">
        <f t="shared" si="54"/>
        <v/>
      </c>
      <c r="K692" s="3"/>
      <c r="L692" s="3" t="str">
        <f t="shared" si="58"/>
        <v/>
      </c>
      <c r="N692" s="3" t="str">
        <f t="shared" si="57"/>
        <v/>
      </c>
      <c r="O692" s="6" t="str">
        <f t="shared" si="55"/>
        <v/>
      </c>
      <c r="P692" s="7">
        <f ca="1">SUMIFS($N$2:$N692,$B$2:$B692,"&lt;&gt;"&amp;B692)+SUM($Q$2:$Q692)</f>
        <v>135.05500000000001</v>
      </c>
      <c r="R692" t="b">
        <f>AND(ISNUMBER(FIND($E692,Tables!$I$2)), ISNUMBER(FIND($D692,Tables!$J$2)), $E692&lt;&gt;"")</f>
        <v>0</v>
      </c>
    </row>
    <row r="693" spans="1:18" x14ac:dyDescent="0.3">
      <c r="A693">
        <f t="shared" si="56"/>
        <v>676</v>
      </c>
      <c r="B693" s="4"/>
      <c r="I693" s="8"/>
      <c r="J693" s="5" t="str">
        <f t="shared" si="54"/>
        <v/>
      </c>
      <c r="K693" s="3"/>
      <c r="L693" s="3" t="str">
        <f t="shared" si="58"/>
        <v/>
      </c>
      <c r="N693" s="3" t="str">
        <f t="shared" si="57"/>
        <v/>
      </c>
      <c r="O693" s="6" t="str">
        <f t="shared" si="55"/>
        <v/>
      </c>
      <c r="P693" s="7">
        <f ca="1">SUMIFS($N$2:$N693,$B$2:$B693,"&lt;&gt;"&amp;B693)+SUM($Q$2:$Q693)</f>
        <v>135.05500000000001</v>
      </c>
      <c r="R693" t="b">
        <f>AND(ISNUMBER(FIND($E693,Tables!$I$2)), ISNUMBER(FIND($D693,Tables!$J$2)), $E693&lt;&gt;"")</f>
        <v>0</v>
      </c>
    </row>
    <row r="694" spans="1:18" x14ac:dyDescent="0.3">
      <c r="A694">
        <f t="shared" si="56"/>
        <v>677</v>
      </c>
      <c r="B694" s="4"/>
      <c r="I694" s="8"/>
      <c r="J694" s="5" t="str">
        <f t="shared" si="54"/>
        <v/>
      </c>
      <c r="K694" s="3"/>
      <c r="L694" s="3" t="str">
        <f t="shared" si="58"/>
        <v/>
      </c>
      <c r="N694" s="3" t="str">
        <f t="shared" si="57"/>
        <v/>
      </c>
      <c r="O694" s="6" t="str">
        <f t="shared" si="55"/>
        <v/>
      </c>
      <c r="P694" s="7">
        <f ca="1">SUMIFS($N$2:$N694,$B$2:$B694,"&lt;&gt;"&amp;B694)+SUM($Q$2:$Q694)</f>
        <v>135.05500000000001</v>
      </c>
      <c r="R694" t="b">
        <f>AND(ISNUMBER(FIND($E694,Tables!$I$2)), ISNUMBER(FIND($D694,Tables!$J$2)), $E694&lt;&gt;"")</f>
        <v>0</v>
      </c>
    </row>
    <row r="695" spans="1:18" x14ac:dyDescent="0.3">
      <c r="A695">
        <f t="shared" si="56"/>
        <v>678</v>
      </c>
      <c r="B695" s="4"/>
      <c r="I695" s="8"/>
      <c r="J695" s="5" t="str">
        <f t="shared" si="54"/>
        <v/>
      </c>
      <c r="K695" s="3"/>
      <c r="L695" s="3" t="str">
        <f t="shared" si="58"/>
        <v/>
      </c>
      <c r="N695" s="3" t="str">
        <f t="shared" si="57"/>
        <v/>
      </c>
      <c r="O695" s="6" t="str">
        <f t="shared" si="55"/>
        <v/>
      </c>
      <c r="P695" s="7">
        <f ca="1">SUMIFS($N$2:$N695,$B$2:$B695,"&lt;&gt;"&amp;B695)+SUM($Q$2:$Q695)</f>
        <v>135.05500000000001</v>
      </c>
      <c r="R695" t="b">
        <f>AND(ISNUMBER(FIND($E695,Tables!$I$2)), ISNUMBER(FIND($D695,Tables!$J$2)), $E695&lt;&gt;"")</f>
        <v>0</v>
      </c>
    </row>
    <row r="696" spans="1:18" x14ac:dyDescent="0.3">
      <c r="A696">
        <f t="shared" si="56"/>
        <v>679</v>
      </c>
      <c r="B696" s="4"/>
      <c r="I696" s="8"/>
      <c r="J696" s="5" t="str">
        <f t="shared" si="54"/>
        <v/>
      </c>
      <c r="K696" s="3"/>
      <c r="L696" s="3" t="str">
        <f t="shared" si="58"/>
        <v/>
      </c>
      <c r="N696" s="3" t="str">
        <f t="shared" si="57"/>
        <v/>
      </c>
      <c r="O696" s="6" t="str">
        <f t="shared" si="55"/>
        <v/>
      </c>
      <c r="P696" s="7">
        <f ca="1">SUMIFS($N$2:$N696,$B$2:$B696,"&lt;&gt;"&amp;B696)+SUM($Q$2:$Q696)</f>
        <v>135.05500000000001</v>
      </c>
      <c r="R696" t="b">
        <f>AND(ISNUMBER(FIND($E696,Tables!$I$2)), ISNUMBER(FIND($D696,Tables!$J$2)), $E696&lt;&gt;"")</f>
        <v>0</v>
      </c>
    </row>
    <row r="697" spans="1:18" x14ac:dyDescent="0.3">
      <c r="A697">
        <f t="shared" si="56"/>
        <v>680</v>
      </c>
      <c r="B697" s="4"/>
      <c r="I697" s="8"/>
      <c r="J697" s="5" t="str">
        <f t="shared" si="54"/>
        <v/>
      </c>
      <c r="K697" s="3"/>
      <c r="L697" s="3" t="str">
        <f t="shared" si="58"/>
        <v/>
      </c>
      <c r="N697" s="3" t="str">
        <f t="shared" si="57"/>
        <v/>
      </c>
      <c r="O697" s="6" t="str">
        <f t="shared" si="55"/>
        <v/>
      </c>
      <c r="P697" s="7">
        <f ca="1">SUMIFS($N$2:$N697,$B$2:$B697,"&lt;&gt;"&amp;B697)+SUM($Q$2:$Q697)</f>
        <v>135.05500000000001</v>
      </c>
      <c r="R697" t="b">
        <f>AND(ISNUMBER(FIND($E697,Tables!$I$2)), ISNUMBER(FIND($D697,Tables!$J$2)), $E697&lt;&gt;"")</f>
        <v>0</v>
      </c>
    </row>
    <row r="698" spans="1:18" x14ac:dyDescent="0.3">
      <c r="A698">
        <f t="shared" si="56"/>
        <v>681</v>
      </c>
      <c r="B698" s="4"/>
      <c r="I698" s="8"/>
      <c r="J698" s="5" t="str">
        <f t="shared" si="54"/>
        <v/>
      </c>
      <c r="K698" s="3"/>
      <c r="L698" s="3" t="str">
        <f t="shared" si="58"/>
        <v/>
      </c>
      <c r="N698" s="3" t="str">
        <f t="shared" si="57"/>
        <v/>
      </c>
      <c r="O698" s="6" t="str">
        <f t="shared" si="55"/>
        <v/>
      </c>
      <c r="P698" s="7">
        <f ca="1">SUMIFS($N$2:$N698,$B$2:$B698,"&lt;&gt;"&amp;B698)+SUM($Q$2:$Q698)</f>
        <v>135.05500000000001</v>
      </c>
      <c r="R698" t="b">
        <f>AND(ISNUMBER(FIND($E698,Tables!$I$2)), ISNUMBER(FIND($D698,Tables!$J$2)), $E698&lt;&gt;"")</f>
        <v>0</v>
      </c>
    </row>
    <row r="699" spans="1:18" x14ac:dyDescent="0.3">
      <c r="A699">
        <f t="shared" si="56"/>
        <v>682</v>
      </c>
      <c r="B699" s="4"/>
      <c r="I699" s="8"/>
      <c r="J699" s="5" t="str">
        <f t="shared" si="54"/>
        <v/>
      </c>
      <c r="K699" s="3"/>
      <c r="L699" s="3" t="str">
        <f t="shared" si="58"/>
        <v/>
      </c>
      <c r="N699" s="3" t="str">
        <f t="shared" si="57"/>
        <v/>
      </c>
      <c r="O699" s="6" t="str">
        <f t="shared" si="55"/>
        <v/>
      </c>
      <c r="P699" s="7">
        <f ca="1">SUMIFS($N$2:$N699,$B$2:$B699,"&lt;&gt;"&amp;B699)+SUM($Q$2:$Q699)</f>
        <v>135.05500000000001</v>
      </c>
      <c r="R699" t="b">
        <f>AND(ISNUMBER(FIND($E699,Tables!$I$2)), ISNUMBER(FIND($D699,Tables!$J$2)), $E699&lt;&gt;"")</f>
        <v>0</v>
      </c>
    </row>
    <row r="700" spans="1:18" x14ac:dyDescent="0.3">
      <c r="A700">
        <f t="shared" si="56"/>
        <v>683</v>
      </c>
      <c r="B700" s="4"/>
      <c r="I700" s="8"/>
      <c r="J700" s="5" t="str">
        <f t="shared" si="54"/>
        <v/>
      </c>
      <c r="K700" s="3"/>
      <c r="L700" s="3" t="str">
        <f t="shared" si="58"/>
        <v/>
      </c>
      <c r="N700" s="3" t="str">
        <f t="shared" si="57"/>
        <v/>
      </c>
      <c r="O700" s="6" t="str">
        <f t="shared" si="55"/>
        <v/>
      </c>
      <c r="P700" s="7">
        <f ca="1">SUMIFS($N$2:$N700,$B$2:$B700,"&lt;&gt;"&amp;B700)+SUM($Q$2:$Q700)</f>
        <v>135.05500000000001</v>
      </c>
      <c r="R700" t="b">
        <f>AND(ISNUMBER(FIND($E700,Tables!$I$2)), ISNUMBER(FIND($D700,Tables!$J$2)), $E700&lt;&gt;"")</f>
        <v>0</v>
      </c>
    </row>
    <row r="701" spans="1:18" x14ac:dyDescent="0.3">
      <c r="A701">
        <f t="shared" si="56"/>
        <v>684</v>
      </c>
      <c r="B701" s="4"/>
      <c r="I701" s="8"/>
      <c r="J701" s="5" t="str">
        <f t="shared" si="54"/>
        <v/>
      </c>
      <c r="K701" s="3"/>
      <c r="L701" s="3" t="str">
        <f t="shared" si="58"/>
        <v/>
      </c>
      <c r="N701" s="3" t="str">
        <f t="shared" si="57"/>
        <v/>
      </c>
      <c r="O701" s="6" t="str">
        <f t="shared" si="55"/>
        <v/>
      </c>
      <c r="P701" s="7">
        <f ca="1">SUMIFS($N$2:$N701,$B$2:$B701,"&lt;&gt;"&amp;B701)+SUM($Q$2:$Q701)</f>
        <v>135.05500000000001</v>
      </c>
      <c r="R701" t="b">
        <f>AND(ISNUMBER(FIND($E701,Tables!$I$2)), ISNUMBER(FIND($D701,Tables!$J$2)), $E701&lt;&gt;"")</f>
        <v>0</v>
      </c>
    </row>
    <row r="702" spans="1:18" x14ac:dyDescent="0.3">
      <c r="A702">
        <f t="shared" si="56"/>
        <v>685</v>
      </c>
      <c r="B702" s="4"/>
      <c r="I702" s="8"/>
      <c r="J702" s="5" t="str">
        <f t="shared" si="54"/>
        <v/>
      </c>
      <c r="K702" s="3"/>
      <c r="L702" s="3" t="str">
        <f t="shared" si="58"/>
        <v/>
      </c>
      <c r="N702" s="3" t="str">
        <f t="shared" si="57"/>
        <v/>
      </c>
      <c r="O702" s="6" t="str">
        <f t="shared" si="55"/>
        <v/>
      </c>
      <c r="P702" s="7">
        <f ca="1">SUMIFS($N$2:$N702,$B$2:$B702,"&lt;&gt;"&amp;B702)+SUM($Q$2:$Q702)</f>
        <v>135.05500000000001</v>
      </c>
      <c r="R702" t="b">
        <f>AND(ISNUMBER(FIND($E702,Tables!$I$2)), ISNUMBER(FIND($D702,Tables!$J$2)), $E702&lt;&gt;"")</f>
        <v>0</v>
      </c>
    </row>
    <row r="703" spans="1:18" x14ac:dyDescent="0.3">
      <c r="A703">
        <f t="shared" si="56"/>
        <v>686</v>
      </c>
      <c r="B703" s="4"/>
      <c r="I703" s="8"/>
      <c r="J703" s="5" t="str">
        <f t="shared" si="54"/>
        <v/>
      </c>
      <c r="K703" s="3"/>
      <c r="L703" s="3" t="str">
        <f t="shared" si="58"/>
        <v/>
      </c>
      <c r="N703" s="3" t="str">
        <f t="shared" si="57"/>
        <v/>
      </c>
      <c r="O703" s="6" t="str">
        <f t="shared" si="55"/>
        <v/>
      </c>
      <c r="P703" s="7">
        <f ca="1">SUMIFS($N$2:$N703,$B$2:$B703,"&lt;&gt;"&amp;B703)+SUM($Q$2:$Q703)</f>
        <v>135.05500000000001</v>
      </c>
      <c r="R703" t="b">
        <f>AND(ISNUMBER(FIND($E703,Tables!$I$2)), ISNUMBER(FIND($D703,Tables!$J$2)), $E703&lt;&gt;"")</f>
        <v>0</v>
      </c>
    </row>
    <row r="704" spans="1:18" x14ac:dyDescent="0.3">
      <c r="A704">
        <f t="shared" si="56"/>
        <v>687</v>
      </c>
      <c r="B704" s="4"/>
      <c r="I704" s="8"/>
      <c r="J704" s="5" t="str">
        <f t="shared" si="54"/>
        <v/>
      </c>
      <c r="K704" s="3"/>
      <c r="L704" s="3" t="str">
        <f t="shared" si="58"/>
        <v/>
      </c>
      <c r="N704" s="3" t="str">
        <f t="shared" si="57"/>
        <v/>
      </c>
      <c r="O704" s="6" t="str">
        <f t="shared" si="55"/>
        <v/>
      </c>
      <c r="P704" s="7">
        <f ca="1">SUMIFS($N$2:$N704,$B$2:$B704,"&lt;&gt;"&amp;B704)+SUM($Q$2:$Q704)</f>
        <v>135.05500000000001</v>
      </c>
      <c r="R704" t="b">
        <f>AND(ISNUMBER(FIND($E704,Tables!$I$2)), ISNUMBER(FIND($D704,Tables!$J$2)), $E704&lt;&gt;"")</f>
        <v>0</v>
      </c>
    </row>
    <row r="705" spans="1:18" x14ac:dyDescent="0.3">
      <c r="A705">
        <f t="shared" si="56"/>
        <v>688</v>
      </c>
      <c r="B705" s="4"/>
      <c r="I705" s="8"/>
      <c r="J705" s="5" t="str">
        <f t="shared" si="54"/>
        <v/>
      </c>
      <c r="K705" s="3"/>
      <c r="L705" s="3" t="str">
        <f t="shared" si="58"/>
        <v/>
      </c>
      <c r="N705" s="3" t="str">
        <f t="shared" si="57"/>
        <v/>
      </c>
      <c r="O705" s="6" t="str">
        <f t="shared" si="55"/>
        <v/>
      </c>
      <c r="P705" s="7">
        <f ca="1">SUMIFS($N$2:$N705,$B$2:$B705,"&lt;&gt;"&amp;B705)+SUM($Q$2:$Q705)</f>
        <v>135.05500000000001</v>
      </c>
      <c r="R705" t="b">
        <f>AND(ISNUMBER(FIND($E705,Tables!$I$2)), ISNUMBER(FIND($D705,Tables!$J$2)), $E705&lt;&gt;"")</f>
        <v>0</v>
      </c>
    </row>
    <row r="706" spans="1:18" x14ac:dyDescent="0.3">
      <c r="A706">
        <f t="shared" si="56"/>
        <v>689</v>
      </c>
      <c r="B706" s="4"/>
      <c r="I706" s="8"/>
      <c r="J706" s="5" t="str">
        <f t="shared" ref="J706:J769" si="59">IF(I706="", "", IF(I706&gt;0, I706/100 +1, -100/I706 +1))</f>
        <v/>
      </c>
      <c r="K706" s="3"/>
      <c r="L706" s="3" t="str">
        <f t="shared" si="58"/>
        <v/>
      </c>
      <c r="N706" s="3" t="str">
        <f t="shared" si="57"/>
        <v/>
      </c>
      <c r="O706" s="6" t="str">
        <f t="shared" ref="O706:O769" si="60">IFERROR(K706/VLOOKUP(_xlfn.MINIFS(A:A,B:B,B706,C:C,C706),A:P,16),"")</f>
        <v/>
      </c>
      <c r="P706" s="7">
        <f ca="1">SUMIFS($N$2:$N706,$B$2:$B706,"&lt;&gt;"&amp;B706)+SUM($Q$2:$Q706)</f>
        <v>135.05500000000001</v>
      </c>
      <c r="R706" t="b">
        <f>AND(ISNUMBER(FIND($E706,Tables!$I$2)), ISNUMBER(FIND($D706,Tables!$J$2)), $E706&lt;&gt;"")</f>
        <v>0</v>
      </c>
    </row>
    <row r="707" spans="1:18" x14ac:dyDescent="0.3">
      <c r="A707">
        <f t="shared" si="56"/>
        <v>690</v>
      </c>
      <c r="B707" s="4"/>
      <c r="I707" s="8"/>
      <c r="J707" s="5" t="str">
        <f t="shared" si="59"/>
        <v/>
      </c>
      <c r="K707" s="3"/>
      <c r="L707" s="3" t="str">
        <f t="shared" si="58"/>
        <v/>
      </c>
      <c r="N707" s="3" t="str">
        <f t="shared" si="57"/>
        <v/>
      </c>
      <c r="O707" s="6" t="str">
        <f t="shared" si="60"/>
        <v/>
      </c>
      <c r="P707" s="7">
        <f ca="1">SUMIFS($N$2:$N707,$B$2:$B707,"&lt;&gt;"&amp;B707)+SUM($Q$2:$Q707)</f>
        <v>135.05500000000001</v>
      </c>
      <c r="R707" t="b">
        <f>AND(ISNUMBER(FIND($E707,Tables!$I$2)), ISNUMBER(FIND($D707,Tables!$J$2)), $E707&lt;&gt;"")</f>
        <v>0</v>
      </c>
    </row>
    <row r="708" spans="1:18" x14ac:dyDescent="0.3">
      <c r="A708">
        <f t="shared" si="56"/>
        <v>691</v>
      </c>
      <c r="B708" s="4"/>
      <c r="I708" s="8"/>
      <c r="J708" s="5" t="str">
        <f t="shared" si="59"/>
        <v/>
      </c>
      <c r="K708" s="3"/>
      <c r="L708" s="3" t="str">
        <f t="shared" si="58"/>
        <v/>
      </c>
      <c r="N708" s="3" t="str">
        <f t="shared" si="57"/>
        <v/>
      </c>
      <c r="O708" s="6" t="str">
        <f t="shared" si="60"/>
        <v/>
      </c>
      <c r="P708" s="7">
        <f ca="1">SUMIFS($N$2:$N708,$B$2:$B708,"&lt;&gt;"&amp;B708)+SUM($Q$2:$Q708)</f>
        <v>135.05500000000001</v>
      </c>
      <c r="R708" t="b">
        <f>AND(ISNUMBER(FIND($E708,Tables!$I$2)), ISNUMBER(FIND($D708,Tables!$J$2)), $E708&lt;&gt;"")</f>
        <v>0</v>
      </c>
    </row>
    <row r="709" spans="1:18" x14ac:dyDescent="0.3">
      <c r="A709">
        <f t="shared" si="56"/>
        <v>692</v>
      </c>
      <c r="B709" s="4"/>
      <c r="I709" s="8"/>
      <c r="J709" s="5" t="str">
        <f t="shared" si="59"/>
        <v/>
      </c>
      <c r="K709" s="3"/>
      <c r="L709" s="3" t="str">
        <f t="shared" si="58"/>
        <v/>
      </c>
      <c r="N709" s="3" t="str">
        <f t="shared" si="57"/>
        <v/>
      </c>
      <c r="O709" s="6" t="str">
        <f t="shared" si="60"/>
        <v/>
      </c>
      <c r="P709" s="7">
        <f ca="1">SUMIFS($N$2:$N709,$B$2:$B709,"&lt;&gt;"&amp;B709)+SUM($Q$2:$Q709)</f>
        <v>135.05500000000001</v>
      </c>
      <c r="R709" t="b">
        <f>AND(ISNUMBER(FIND($E709,Tables!$I$2)), ISNUMBER(FIND($D709,Tables!$J$2)), $E709&lt;&gt;"")</f>
        <v>0</v>
      </c>
    </row>
    <row r="710" spans="1:18" x14ac:dyDescent="0.3">
      <c r="A710">
        <f t="shared" si="56"/>
        <v>693</v>
      </c>
      <c r="B710" s="4"/>
      <c r="I710" s="8"/>
      <c r="J710" s="5" t="str">
        <f t="shared" si="59"/>
        <v/>
      </c>
      <c r="K710" s="3"/>
      <c r="L710" s="3" t="str">
        <f t="shared" si="58"/>
        <v/>
      </c>
      <c r="N710" s="3" t="str">
        <f t="shared" si="57"/>
        <v/>
      </c>
      <c r="O710" s="6" t="str">
        <f t="shared" si="60"/>
        <v/>
      </c>
      <c r="P710" s="7">
        <f ca="1">SUMIFS($N$2:$N710,$B$2:$B710,"&lt;&gt;"&amp;B710)+SUM($Q$2:$Q710)</f>
        <v>135.05500000000001</v>
      </c>
      <c r="R710" t="b">
        <f>AND(ISNUMBER(FIND($E710,Tables!$I$2)), ISNUMBER(FIND($D710,Tables!$J$2)), $E710&lt;&gt;"")</f>
        <v>0</v>
      </c>
    </row>
    <row r="711" spans="1:18" x14ac:dyDescent="0.3">
      <c r="A711">
        <f t="shared" si="56"/>
        <v>694</v>
      </c>
      <c r="B711" s="4"/>
      <c r="I711" s="8"/>
      <c r="J711" s="5" t="str">
        <f t="shared" si="59"/>
        <v/>
      </c>
      <c r="K711" s="3"/>
      <c r="L711" s="3" t="str">
        <f t="shared" si="58"/>
        <v/>
      </c>
      <c r="N711" s="3" t="str">
        <f t="shared" si="57"/>
        <v/>
      </c>
      <c r="O711" s="6" t="str">
        <f t="shared" si="60"/>
        <v/>
      </c>
      <c r="P711" s="7">
        <f ca="1">SUMIFS($N$2:$N711,$B$2:$B711,"&lt;&gt;"&amp;B711)+SUM($Q$2:$Q711)</f>
        <v>135.05500000000001</v>
      </c>
      <c r="R711" t="b">
        <f>AND(ISNUMBER(FIND($E711,Tables!$I$2)), ISNUMBER(FIND($D711,Tables!$J$2)), $E711&lt;&gt;"")</f>
        <v>0</v>
      </c>
    </row>
    <row r="712" spans="1:18" x14ac:dyDescent="0.3">
      <c r="A712">
        <f t="shared" si="56"/>
        <v>695</v>
      </c>
      <c r="B712" s="4"/>
      <c r="I712" s="8"/>
      <c r="J712" s="5" t="str">
        <f t="shared" si="59"/>
        <v/>
      </c>
      <c r="K712" s="3"/>
      <c r="L712" s="3" t="str">
        <f t="shared" si="58"/>
        <v/>
      </c>
      <c r="N712" s="3" t="str">
        <f t="shared" si="57"/>
        <v/>
      </c>
      <c r="O712" s="6" t="str">
        <f t="shared" si="60"/>
        <v/>
      </c>
      <c r="P712" s="7">
        <f ca="1">SUMIFS($N$2:$N712,$B$2:$B712,"&lt;&gt;"&amp;B712)+SUM($Q$2:$Q712)</f>
        <v>135.05500000000001</v>
      </c>
      <c r="R712" t="b">
        <f>AND(ISNUMBER(FIND($E712,Tables!$I$2)), ISNUMBER(FIND($D712,Tables!$J$2)), $E712&lt;&gt;"")</f>
        <v>0</v>
      </c>
    </row>
    <row r="713" spans="1:18" x14ac:dyDescent="0.3">
      <c r="A713">
        <f t="shared" si="56"/>
        <v>696</v>
      </c>
      <c r="B713" s="4"/>
      <c r="I713" s="8"/>
      <c r="J713" s="5" t="str">
        <f t="shared" si="59"/>
        <v/>
      </c>
      <c r="K713" s="3"/>
      <c r="L713" s="3" t="str">
        <f t="shared" si="58"/>
        <v/>
      </c>
      <c r="N713" s="3" t="str">
        <f t="shared" si="57"/>
        <v/>
      </c>
      <c r="O713" s="6" t="str">
        <f t="shared" si="60"/>
        <v/>
      </c>
      <c r="P713" s="7">
        <f ca="1">SUMIFS($N$2:$N713,$B$2:$B713,"&lt;&gt;"&amp;B713)+SUM($Q$2:$Q713)</f>
        <v>135.05500000000001</v>
      </c>
      <c r="R713" t="b">
        <f>AND(ISNUMBER(FIND($E713,Tables!$I$2)), ISNUMBER(FIND($D713,Tables!$J$2)), $E713&lt;&gt;"")</f>
        <v>0</v>
      </c>
    </row>
    <row r="714" spans="1:18" x14ac:dyDescent="0.3">
      <c r="A714">
        <f t="shared" si="56"/>
        <v>697</v>
      </c>
      <c r="B714" s="4"/>
      <c r="I714" s="8"/>
      <c r="J714" s="5" t="str">
        <f t="shared" si="59"/>
        <v/>
      </c>
      <c r="K714" s="3"/>
      <c r="L714" s="3" t="str">
        <f t="shared" si="58"/>
        <v/>
      </c>
      <c r="N714" s="3" t="str">
        <f t="shared" si="57"/>
        <v/>
      </c>
      <c r="O714" s="6" t="str">
        <f t="shared" si="60"/>
        <v/>
      </c>
      <c r="P714" s="7">
        <f ca="1">SUMIFS($N$2:$N714,$B$2:$B714,"&lt;&gt;"&amp;B714)+SUM($Q$2:$Q714)</f>
        <v>135.05500000000001</v>
      </c>
      <c r="R714" t="b">
        <f>AND(ISNUMBER(FIND($E714,Tables!$I$2)), ISNUMBER(FIND($D714,Tables!$J$2)), $E714&lt;&gt;"")</f>
        <v>0</v>
      </c>
    </row>
    <row r="715" spans="1:18" x14ac:dyDescent="0.3">
      <c r="A715">
        <f t="shared" si="56"/>
        <v>698</v>
      </c>
      <c r="B715" s="4"/>
      <c r="I715" s="8"/>
      <c r="J715" s="5" t="str">
        <f t="shared" si="59"/>
        <v/>
      </c>
      <c r="K715" s="3"/>
      <c r="L715" s="3" t="str">
        <f t="shared" si="58"/>
        <v/>
      </c>
      <c r="N715" s="3" t="str">
        <f t="shared" si="57"/>
        <v/>
      </c>
      <c r="O715" s="6" t="str">
        <f t="shared" si="60"/>
        <v/>
      </c>
      <c r="P715" s="7">
        <f ca="1">SUMIFS($N$2:$N715,$B$2:$B715,"&lt;&gt;"&amp;B715)+SUM($Q$2:$Q715)</f>
        <v>135.05500000000001</v>
      </c>
      <c r="R715" t="b">
        <f>AND(ISNUMBER(FIND($E715,Tables!$I$2)), ISNUMBER(FIND($D715,Tables!$J$2)), $E715&lt;&gt;"")</f>
        <v>0</v>
      </c>
    </row>
    <row r="716" spans="1:18" x14ac:dyDescent="0.3">
      <c r="A716">
        <f t="shared" si="56"/>
        <v>699</v>
      </c>
      <c r="B716" s="4"/>
      <c r="I716" s="8"/>
      <c r="J716" s="5" t="str">
        <f t="shared" si="59"/>
        <v/>
      </c>
      <c r="K716" s="3"/>
      <c r="L716" s="3" t="str">
        <f t="shared" si="58"/>
        <v/>
      </c>
      <c r="N716" s="3" t="str">
        <f t="shared" si="57"/>
        <v/>
      </c>
      <c r="O716" s="6" t="str">
        <f t="shared" si="60"/>
        <v/>
      </c>
      <c r="P716" s="7">
        <f ca="1">SUMIFS($N$2:$N716,$B$2:$B716,"&lt;&gt;"&amp;B716)+SUM($Q$2:$Q716)</f>
        <v>135.05500000000001</v>
      </c>
      <c r="R716" t="b">
        <f>AND(ISNUMBER(FIND($E716,Tables!$I$2)), ISNUMBER(FIND($D716,Tables!$J$2)), $E716&lt;&gt;"")</f>
        <v>0</v>
      </c>
    </row>
    <row r="717" spans="1:18" x14ac:dyDescent="0.3">
      <c r="A717">
        <f t="shared" si="56"/>
        <v>700</v>
      </c>
      <c r="B717" s="4"/>
      <c r="I717" s="8"/>
      <c r="J717" s="5" t="str">
        <f t="shared" si="59"/>
        <v/>
      </c>
      <c r="K717" s="3"/>
      <c r="L717" s="3" t="str">
        <f t="shared" si="58"/>
        <v/>
      </c>
      <c r="N717" s="3" t="str">
        <f t="shared" si="57"/>
        <v/>
      </c>
      <c r="O717" s="6" t="str">
        <f t="shared" si="60"/>
        <v/>
      </c>
      <c r="P717" s="7">
        <f ca="1">SUMIFS($N$2:$N717,$B$2:$B717,"&lt;&gt;"&amp;B717)+SUM($Q$2:$Q717)</f>
        <v>135.05500000000001</v>
      </c>
      <c r="R717" t="b">
        <f>AND(ISNUMBER(FIND($E717,Tables!$I$2)), ISNUMBER(FIND($D717,Tables!$J$2)), $E717&lt;&gt;"")</f>
        <v>0</v>
      </c>
    </row>
    <row r="718" spans="1:18" x14ac:dyDescent="0.3">
      <c r="A718">
        <f t="shared" si="56"/>
        <v>701</v>
      </c>
      <c r="B718" s="4"/>
      <c r="I718" s="8"/>
      <c r="J718" s="5" t="str">
        <f t="shared" si="59"/>
        <v/>
      </c>
      <c r="K718" s="3"/>
      <c r="L718" s="3" t="str">
        <f t="shared" si="58"/>
        <v/>
      </c>
      <c r="N718" s="3" t="str">
        <f t="shared" si="57"/>
        <v/>
      </c>
      <c r="O718" s="6" t="str">
        <f t="shared" si="60"/>
        <v/>
      </c>
      <c r="P718" s="7">
        <f ca="1">SUMIFS($N$2:$N718,$B$2:$B718,"&lt;&gt;"&amp;B718)+SUM($Q$2:$Q718)</f>
        <v>135.05500000000001</v>
      </c>
      <c r="R718" t="b">
        <f>AND(ISNUMBER(FIND($E718,Tables!$I$2)), ISNUMBER(FIND($D718,Tables!$J$2)), $E718&lt;&gt;"")</f>
        <v>0</v>
      </c>
    </row>
    <row r="719" spans="1:18" x14ac:dyDescent="0.3">
      <c r="A719">
        <f t="shared" si="56"/>
        <v>702</v>
      </c>
      <c r="B719" s="4"/>
      <c r="I719" s="8"/>
      <c r="J719" s="5" t="str">
        <f t="shared" si="59"/>
        <v/>
      </c>
      <c r="K719" s="3"/>
      <c r="L719" s="3" t="str">
        <f t="shared" si="58"/>
        <v/>
      </c>
      <c r="N719" s="3" t="str">
        <f t="shared" si="57"/>
        <v/>
      </c>
      <c r="O719" s="6" t="str">
        <f t="shared" si="60"/>
        <v/>
      </c>
      <c r="P719" s="7">
        <f ca="1">SUMIFS($N$2:$N719,$B$2:$B719,"&lt;&gt;"&amp;B719)+SUM($Q$2:$Q719)</f>
        <v>135.05500000000001</v>
      </c>
      <c r="R719" t="b">
        <f>AND(ISNUMBER(FIND($E719,Tables!$I$2)), ISNUMBER(FIND($D719,Tables!$J$2)), $E719&lt;&gt;"")</f>
        <v>0</v>
      </c>
    </row>
    <row r="720" spans="1:18" x14ac:dyDescent="0.3">
      <c r="A720">
        <f t="shared" si="56"/>
        <v>703</v>
      </c>
      <c r="B720" s="4"/>
      <c r="I720" s="8"/>
      <c r="J720" s="5" t="str">
        <f t="shared" si="59"/>
        <v/>
      </c>
      <c r="K720" s="3"/>
      <c r="L720" s="3" t="str">
        <f t="shared" si="58"/>
        <v/>
      </c>
      <c r="N720" s="3" t="str">
        <f t="shared" si="57"/>
        <v/>
      </c>
      <c r="O720" s="6" t="str">
        <f t="shared" si="60"/>
        <v/>
      </c>
      <c r="P720" s="7">
        <f ca="1">SUMIFS($N$2:$N720,$B$2:$B720,"&lt;&gt;"&amp;B720)+SUM($Q$2:$Q720)</f>
        <v>135.05500000000001</v>
      </c>
      <c r="R720" t="b">
        <f>AND(ISNUMBER(FIND($E720,Tables!$I$2)), ISNUMBER(FIND($D720,Tables!$J$2)), $E720&lt;&gt;"")</f>
        <v>0</v>
      </c>
    </row>
    <row r="721" spans="1:18" x14ac:dyDescent="0.3">
      <c r="A721">
        <f t="shared" si="56"/>
        <v>704</v>
      </c>
      <c r="B721" s="4"/>
      <c r="I721" s="8"/>
      <c r="J721" s="5" t="str">
        <f t="shared" si="59"/>
        <v/>
      </c>
      <c r="K721" s="3"/>
      <c r="L721" s="3" t="str">
        <f t="shared" si="58"/>
        <v/>
      </c>
      <c r="N721" s="3" t="str">
        <f t="shared" si="57"/>
        <v/>
      </c>
      <c r="O721" s="6" t="str">
        <f t="shared" si="60"/>
        <v/>
      </c>
      <c r="P721" s="7">
        <f ca="1">SUMIFS($N$2:$N721,$B$2:$B721,"&lt;&gt;"&amp;B721)+SUM($Q$2:$Q721)</f>
        <v>135.05500000000001</v>
      </c>
      <c r="R721" t="b">
        <f>AND(ISNUMBER(FIND($E721,Tables!$I$2)), ISNUMBER(FIND($D721,Tables!$J$2)), $E721&lt;&gt;"")</f>
        <v>0</v>
      </c>
    </row>
    <row r="722" spans="1:18" x14ac:dyDescent="0.3">
      <c r="A722">
        <f t="shared" si="56"/>
        <v>705</v>
      </c>
      <c r="B722" s="4"/>
      <c r="I722" s="8"/>
      <c r="J722" s="5" t="str">
        <f t="shared" si="59"/>
        <v/>
      </c>
      <c r="K722" s="3"/>
      <c r="L722" s="3" t="str">
        <f t="shared" si="58"/>
        <v/>
      </c>
      <c r="N722" s="3" t="str">
        <f t="shared" si="57"/>
        <v/>
      </c>
      <c r="O722" s="6" t="str">
        <f t="shared" si="60"/>
        <v/>
      </c>
      <c r="P722" s="7">
        <f ca="1">SUMIFS($N$2:$N722,$B$2:$B722,"&lt;&gt;"&amp;B722)+SUM($Q$2:$Q722)</f>
        <v>135.05500000000001</v>
      </c>
      <c r="R722" t="b">
        <f>AND(ISNUMBER(FIND($E722,Tables!$I$2)), ISNUMBER(FIND($D722,Tables!$J$2)), $E722&lt;&gt;"")</f>
        <v>0</v>
      </c>
    </row>
    <row r="723" spans="1:18" x14ac:dyDescent="0.3">
      <c r="A723">
        <f t="shared" si="56"/>
        <v>706</v>
      </c>
      <c r="B723" s="4"/>
      <c r="I723" s="8"/>
      <c r="J723" s="5" t="str">
        <f t="shared" si="59"/>
        <v/>
      </c>
      <c r="K723" s="3"/>
      <c r="L723" s="3" t="str">
        <f t="shared" si="58"/>
        <v/>
      </c>
      <c r="N723" s="3" t="str">
        <f t="shared" si="57"/>
        <v/>
      </c>
      <c r="O723" s="6" t="str">
        <f t="shared" si="60"/>
        <v/>
      </c>
      <c r="P723" s="7">
        <f ca="1">SUMIFS($N$2:$N723,$B$2:$B723,"&lt;&gt;"&amp;B723)+SUM($Q$2:$Q723)</f>
        <v>135.05500000000001</v>
      </c>
      <c r="R723" t="b">
        <f>AND(ISNUMBER(FIND($E723,Tables!$I$2)), ISNUMBER(FIND($D723,Tables!$J$2)), $E723&lt;&gt;"")</f>
        <v>0</v>
      </c>
    </row>
    <row r="724" spans="1:18" x14ac:dyDescent="0.3">
      <c r="A724">
        <f t="shared" si="56"/>
        <v>707</v>
      </c>
      <c r="B724" s="4"/>
      <c r="I724" s="8"/>
      <c r="J724" s="5" t="str">
        <f t="shared" si="59"/>
        <v/>
      </c>
      <c r="K724" s="3"/>
      <c r="L724" s="3" t="str">
        <f t="shared" si="58"/>
        <v/>
      </c>
      <c r="N724" s="3" t="str">
        <f t="shared" si="57"/>
        <v/>
      </c>
      <c r="O724" s="6" t="str">
        <f t="shared" si="60"/>
        <v/>
      </c>
      <c r="P724" s="7">
        <f ca="1">SUMIFS($N$2:$N724,$B$2:$B724,"&lt;&gt;"&amp;B724)+SUM($Q$2:$Q724)</f>
        <v>135.05500000000001</v>
      </c>
      <c r="R724" t="b">
        <f>AND(ISNUMBER(FIND($E724,Tables!$I$2)), ISNUMBER(FIND($D724,Tables!$J$2)), $E724&lt;&gt;"")</f>
        <v>0</v>
      </c>
    </row>
    <row r="725" spans="1:18" x14ac:dyDescent="0.3">
      <c r="A725">
        <f t="shared" si="56"/>
        <v>708</v>
      </c>
      <c r="B725" s="4"/>
      <c r="I725" s="8"/>
      <c r="J725" s="5" t="str">
        <f t="shared" si="59"/>
        <v/>
      </c>
      <c r="K725" s="3"/>
      <c r="L725" s="3" t="str">
        <f t="shared" si="58"/>
        <v/>
      </c>
      <c r="N725" s="3" t="str">
        <f t="shared" si="57"/>
        <v/>
      </c>
      <c r="O725" s="6" t="str">
        <f t="shared" si="60"/>
        <v/>
      </c>
      <c r="P725" s="7">
        <f ca="1">SUMIFS($N$2:$N725,$B$2:$B725,"&lt;&gt;"&amp;B725)+SUM($Q$2:$Q725)</f>
        <v>135.05500000000001</v>
      </c>
      <c r="R725" t="b">
        <f>AND(ISNUMBER(FIND($E725,Tables!$I$2)), ISNUMBER(FIND($D725,Tables!$J$2)), $E725&lt;&gt;"")</f>
        <v>0</v>
      </c>
    </row>
    <row r="726" spans="1:18" x14ac:dyDescent="0.3">
      <c r="A726">
        <f t="shared" si="56"/>
        <v>709</v>
      </c>
      <c r="B726" s="4"/>
      <c r="I726" s="8"/>
      <c r="J726" s="5" t="str">
        <f t="shared" si="59"/>
        <v/>
      </c>
      <c r="K726" s="3"/>
      <c r="L726" s="3" t="str">
        <f t="shared" si="58"/>
        <v/>
      </c>
      <c r="N726" s="3" t="str">
        <f t="shared" si="57"/>
        <v/>
      </c>
      <c r="O726" s="6" t="str">
        <f t="shared" si="60"/>
        <v/>
      </c>
      <c r="P726" s="7">
        <f ca="1">SUMIFS($N$2:$N726,$B$2:$B726,"&lt;&gt;"&amp;B726)+SUM($Q$2:$Q726)</f>
        <v>135.05500000000001</v>
      </c>
      <c r="R726" t="b">
        <f>AND(ISNUMBER(FIND($E726,Tables!$I$2)), ISNUMBER(FIND($D726,Tables!$J$2)), $E726&lt;&gt;"")</f>
        <v>0</v>
      </c>
    </row>
    <row r="727" spans="1:18" x14ac:dyDescent="0.3">
      <c r="A727">
        <f t="shared" si="56"/>
        <v>710</v>
      </c>
      <c r="B727" s="4"/>
      <c r="I727" s="8"/>
      <c r="J727" s="5" t="str">
        <f t="shared" si="59"/>
        <v/>
      </c>
      <c r="K727" s="3"/>
      <c r="L727" s="3" t="str">
        <f t="shared" si="58"/>
        <v/>
      </c>
      <c r="N727" s="3" t="str">
        <f t="shared" si="57"/>
        <v/>
      </c>
      <c r="O727" s="6" t="str">
        <f t="shared" si="60"/>
        <v/>
      </c>
      <c r="P727" s="7">
        <f ca="1">SUMIFS($N$2:$N727,$B$2:$B727,"&lt;&gt;"&amp;B727)+SUM($Q$2:$Q727)</f>
        <v>135.05500000000001</v>
      </c>
      <c r="R727" t="b">
        <f>AND(ISNUMBER(FIND($E727,Tables!$I$2)), ISNUMBER(FIND($D727,Tables!$J$2)), $E727&lt;&gt;"")</f>
        <v>0</v>
      </c>
    </row>
    <row r="728" spans="1:18" x14ac:dyDescent="0.3">
      <c r="A728">
        <f t="shared" si="56"/>
        <v>711</v>
      </c>
      <c r="B728" s="4"/>
      <c r="I728" s="8"/>
      <c r="J728" s="5" t="str">
        <f t="shared" si="59"/>
        <v/>
      </c>
      <c r="K728" s="3"/>
      <c r="L728" s="3" t="str">
        <f t="shared" si="58"/>
        <v/>
      </c>
      <c r="N728" s="3" t="str">
        <f t="shared" si="57"/>
        <v/>
      </c>
      <c r="O728" s="6" t="str">
        <f t="shared" si="60"/>
        <v/>
      </c>
      <c r="P728" s="7">
        <f ca="1">SUMIFS($N$2:$N728,$B$2:$B728,"&lt;&gt;"&amp;B728)+SUM($Q$2:$Q728)</f>
        <v>135.05500000000001</v>
      </c>
      <c r="R728" t="b">
        <f>AND(ISNUMBER(FIND($E728,Tables!$I$2)), ISNUMBER(FIND($D728,Tables!$J$2)), $E728&lt;&gt;"")</f>
        <v>0</v>
      </c>
    </row>
    <row r="729" spans="1:18" x14ac:dyDescent="0.3">
      <c r="A729">
        <f t="shared" si="56"/>
        <v>712</v>
      </c>
      <c r="B729" s="4"/>
      <c r="I729" s="8"/>
      <c r="J729" s="5" t="str">
        <f t="shared" si="59"/>
        <v/>
      </c>
      <c r="K729" s="3"/>
      <c r="L729" s="3" t="str">
        <f t="shared" si="58"/>
        <v/>
      </c>
      <c r="N729" s="3" t="str">
        <f t="shared" si="57"/>
        <v/>
      </c>
      <c r="O729" s="6" t="str">
        <f t="shared" si="60"/>
        <v/>
      </c>
      <c r="P729" s="7">
        <f ca="1">SUMIFS($N$2:$N729,$B$2:$B729,"&lt;&gt;"&amp;B729)+SUM($Q$2:$Q729)</f>
        <v>135.05500000000001</v>
      </c>
      <c r="R729" t="b">
        <f>AND(ISNUMBER(FIND($E729,Tables!$I$2)), ISNUMBER(FIND($D729,Tables!$J$2)), $E729&lt;&gt;"")</f>
        <v>0</v>
      </c>
    </row>
    <row r="730" spans="1:18" x14ac:dyDescent="0.3">
      <c r="A730">
        <f t="shared" si="56"/>
        <v>713</v>
      </c>
      <c r="B730" s="4"/>
      <c r="I730" s="8"/>
      <c r="J730" s="5" t="str">
        <f t="shared" si="59"/>
        <v/>
      </c>
      <c r="K730" s="3"/>
      <c r="L730" s="3" t="str">
        <f t="shared" si="58"/>
        <v/>
      </c>
      <c r="N730" s="3" t="str">
        <f t="shared" si="57"/>
        <v/>
      </c>
      <c r="O730" s="6" t="str">
        <f t="shared" si="60"/>
        <v/>
      </c>
      <c r="P730" s="7">
        <f ca="1">SUMIFS($N$2:$N730,$B$2:$B730,"&lt;&gt;"&amp;B730)+SUM($Q$2:$Q730)</f>
        <v>135.05500000000001</v>
      </c>
      <c r="R730" t="b">
        <f>AND(ISNUMBER(FIND($E730,Tables!$I$2)), ISNUMBER(FIND($D730,Tables!$J$2)), $E730&lt;&gt;"")</f>
        <v>0</v>
      </c>
    </row>
    <row r="731" spans="1:18" x14ac:dyDescent="0.3">
      <c r="A731">
        <f t="shared" si="56"/>
        <v>714</v>
      </c>
      <c r="B731" s="4"/>
      <c r="I731" s="8"/>
      <c r="J731" s="5" t="str">
        <f t="shared" si="59"/>
        <v/>
      </c>
      <c r="K731" s="3"/>
      <c r="L731" s="3" t="str">
        <f t="shared" si="58"/>
        <v/>
      </c>
      <c r="N731" s="3" t="str">
        <f t="shared" si="57"/>
        <v/>
      </c>
      <c r="O731" s="6" t="str">
        <f t="shared" si="60"/>
        <v/>
      </c>
      <c r="P731" s="7">
        <f ca="1">SUMIFS($N$2:$N731,$B$2:$B731,"&lt;&gt;"&amp;B731)+SUM($Q$2:$Q731)</f>
        <v>135.05500000000001</v>
      </c>
      <c r="R731" t="b">
        <f>AND(ISNUMBER(FIND($E731,Tables!$I$2)), ISNUMBER(FIND($D731,Tables!$J$2)), $E731&lt;&gt;"")</f>
        <v>0</v>
      </c>
    </row>
    <row r="732" spans="1:18" x14ac:dyDescent="0.3">
      <c r="A732">
        <f t="shared" si="56"/>
        <v>715</v>
      </c>
      <c r="B732" s="4"/>
      <c r="I732" s="8"/>
      <c r="J732" s="5" t="str">
        <f t="shared" si="59"/>
        <v/>
      </c>
      <c r="K732" s="3"/>
      <c r="L732" s="3" t="str">
        <f t="shared" si="58"/>
        <v/>
      </c>
      <c r="N732" s="3" t="str">
        <f t="shared" si="57"/>
        <v/>
      </c>
      <c r="O732" s="6" t="str">
        <f t="shared" si="60"/>
        <v/>
      </c>
      <c r="P732" s="7">
        <f ca="1">SUMIFS($N$2:$N732,$B$2:$B732,"&lt;&gt;"&amp;B732)+SUM($Q$2:$Q732)</f>
        <v>135.05500000000001</v>
      </c>
      <c r="R732" t="b">
        <f>AND(ISNUMBER(FIND($E732,Tables!$I$2)), ISNUMBER(FIND($D732,Tables!$J$2)), $E732&lt;&gt;"")</f>
        <v>0</v>
      </c>
    </row>
    <row r="733" spans="1:18" x14ac:dyDescent="0.3">
      <c r="A733">
        <f t="shared" si="56"/>
        <v>716</v>
      </c>
      <c r="B733" s="4"/>
      <c r="I733" s="8"/>
      <c r="J733" s="5" t="str">
        <f t="shared" si="59"/>
        <v/>
      </c>
      <c r="K733" s="3"/>
      <c r="L733" s="3" t="str">
        <f t="shared" si="58"/>
        <v/>
      </c>
      <c r="N733" s="3" t="str">
        <f t="shared" si="57"/>
        <v/>
      </c>
      <c r="O733" s="6" t="str">
        <f t="shared" si="60"/>
        <v/>
      </c>
      <c r="P733" s="7">
        <f ca="1">SUMIFS($N$2:$N733,$B$2:$B733,"&lt;&gt;"&amp;B733)+SUM($Q$2:$Q733)</f>
        <v>135.05500000000001</v>
      </c>
      <c r="R733" t="b">
        <f>AND(ISNUMBER(FIND($E733,Tables!$I$2)), ISNUMBER(FIND($D733,Tables!$J$2)), $E733&lt;&gt;"")</f>
        <v>0</v>
      </c>
    </row>
    <row r="734" spans="1:18" x14ac:dyDescent="0.3">
      <c r="A734">
        <f t="shared" si="56"/>
        <v>717</v>
      </c>
      <c r="B734" s="4"/>
      <c r="I734" s="8"/>
      <c r="J734" s="5" t="str">
        <f t="shared" si="59"/>
        <v/>
      </c>
      <c r="K734" s="3"/>
      <c r="L734" s="3" t="str">
        <f t="shared" si="58"/>
        <v/>
      </c>
      <c r="N734" s="3" t="str">
        <f t="shared" si="57"/>
        <v/>
      </c>
      <c r="O734" s="6" t="str">
        <f t="shared" si="60"/>
        <v/>
      </c>
      <c r="P734" s="7">
        <f ca="1">SUMIFS($N$2:$N734,$B$2:$B734,"&lt;&gt;"&amp;B734)+SUM($Q$2:$Q734)</f>
        <v>135.05500000000001</v>
      </c>
      <c r="R734" t="b">
        <f>AND(ISNUMBER(FIND($E734,Tables!$I$2)), ISNUMBER(FIND($D734,Tables!$J$2)), $E734&lt;&gt;"")</f>
        <v>0</v>
      </c>
    </row>
    <row r="735" spans="1:18" x14ac:dyDescent="0.3">
      <c r="A735">
        <f t="shared" si="56"/>
        <v>718</v>
      </c>
      <c r="B735" s="4"/>
      <c r="I735" s="8"/>
      <c r="J735" s="5" t="str">
        <f t="shared" si="59"/>
        <v/>
      </c>
      <c r="K735" s="3"/>
      <c r="L735" s="3" t="str">
        <f t="shared" si="58"/>
        <v/>
      </c>
      <c r="N735" s="3" t="str">
        <f t="shared" si="57"/>
        <v/>
      </c>
      <c r="O735" s="6" t="str">
        <f t="shared" si="60"/>
        <v/>
      </c>
      <c r="P735" s="7">
        <f ca="1">SUMIFS($N$2:$N735,$B$2:$B735,"&lt;&gt;"&amp;B735)+SUM($Q$2:$Q735)</f>
        <v>135.05500000000001</v>
      </c>
      <c r="R735" t="b">
        <f>AND(ISNUMBER(FIND($E735,Tables!$I$2)), ISNUMBER(FIND($D735,Tables!$J$2)), $E735&lt;&gt;"")</f>
        <v>0</v>
      </c>
    </row>
    <row r="736" spans="1:18" x14ac:dyDescent="0.3">
      <c r="A736">
        <f t="shared" si="56"/>
        <v>719</v>
      </c>
      <c r="B736" s="4"/>
      <c r="I736" s="8"/>
      <c r="J736" s="5" t="str">
        <f t="shared" si="59"/>
        <v/>
      </c>
      <c r="K736" s="3"/>
      <c r="L736" s="3" t="str">
        <f t="shared" si="58"/>
        <v/>
      </c>
      <c r="N736" s="3" t="str">
        <f t="shared" si="57"/>
        <v/>
      </c>
      <c r="O736" s="6" t="str">
        <f t="shared" si="60"/>
        <v/>
      </c>
      <c r="P736" s="7">
        <f ca="1">SUMIFS($N$2:$N736,$B$2:$B736,"&lt;&gt;"&amp;B736)+SUM($Q$2:$Q736)</f>
        <v>135.05500000000001</v>
      </c>
      <c r="R736" t="b">
        <f>AND(ISNUMBER(FIND($E736,Tables!$I$2)), ISNUMBER(FIND($D736,Tables!$J$2)), $E736&lt;&gt;"")</f>
        <v>0</v>
      </c>
    </row>
    <row r="737" spans="1:18" x14ac:dyDescent="0.3">
      <c r="A737">
        <f t="shared" si="56"/>
        <v>720</v>
      </c>
      <c r="B737" s="4"/>
      <c r="I737" s="8"/>
      <c r="J737" s="5" t="str">
        <f t="shared" si="59"/>
        <v/>
      </c>
      <c r="K737" s="3"/>
      <c r="L737" s="3" t="str">
        <f t="shared" si="58"/>
        <v/>
      </c>
      <c r="N737" s="3" t="str">
        <f t="shared" si="57"/>
        <v/>
      </c>
      <c r="O737" s="6" t="str">
        <f t="shared" si="60"/>
        <v/>
      </c>
      <c r="P737" s="7">
        <f ca="1">SUMIFS($N$2:$N737,$B$2:$B737,"&lt;&gt;"&amp;B737)+SUM($Q$2:$Q737)</f>
        <v>135.05500000000001</v>
      </c>
      <c r="R737" t="b">
        <f>AND(ISNUMBER(FIND($E737,Tables!$I$2)), ISNUMBER(FIND($D737,Tables!$J$2)), $E737&lt;&gt;"")</f>
        <v>0</v>
      </c>
    </row>
    <row r="738" spans="1:18" x14ac:dyDescent="0.3">
      <c r="A738">
        <f t="shared" ref="A738:A801" si="61">IF(AND(B738="", D738&lt;&gt;""), A737, A737+1)</f>
        <v>721</v>
      </c>
      <c r="B738" s="4"/>
      <c r="I738" s="8"/>
      <c r="J738" s="5" t="str">
        <f t="shared" si="59"/>
        <v/>
      </c>
      <c r="K738" s="3"/>
      <c r="L738" s="3" t="str">
        <f t="shared" si="58"/>
        <v/>
      </c>
      <c r="N738" s="3" t="str">
        <f t="shared" si="57"/>
        <v/>
      </c>
      <c r="O738" s="6" t="str">
        <f t="shared" si="60"/>
        <v/>
      </c>
      <c r="P738" s="7">
        <f ca="1">SUMIFS($N$2:$N738,$B$2:$B738,"&lt;&gt;"&amp;B738)+SUM($Q$2:$Q738)</f>
        <v>135.05500000000001</v>
      </c>
      <c r="R738" t="b">
        <f>AND(ISNUMBER(FIND($E738,Tables!$I$2)), ISNUMBER(FIND($D738,Tables!$J$2)), $E738&lt;&gt;"")</f>
        <v>0</v>
      </c>
    </row>
    <row r="739" spans="1:18" x14ac:dyDescent="0.3">
      <c r="A739">
        <f t="shared" si="61"/>
        <v>722</v>
      </c>
      <c r="B739" s="4"/>
      <c r="I739" s="8"/>
      <c r="J739" s="5" t="str">
        <f t="shared" si="59"/>
        <v/>
      </c>
      <c r="K739" s="3"/>
      <c r="L739" s="3" t="str">
        <f t="shared" si="58"/>
        <v/>
      </c>
      <c r="N739" s="3" t="str">
        <f t="shared" si="57"/>
        <v/>
      </c>
      <c r="O739" s="6" t="str">
        <f t="shared" si="60"/>
        <v/>
      </c>
      <c r="P739" s="7">
        <f ca="1">SUMIFS($N$2:$N739,$B$2:$B739,"&lt;&gt;"&amp;B739)+SUM($Q$2:$Q739)</f>
        <v>135.05500000000001</v>
      </c>
      <c r="R739" t="b">
        <f>AND(ISNUMBER(FIND($E739,Tables!$I$2)), ISNUMBER(FIND($D739,Tables!$J$2)), $E739&lt;&gt;"")</f>
        <v>0</v>
      </c>
    </row>
    <row r="740" spans="1:18" x14ac:dyDescent="0.3">
      <c r="A740">
        <f t="shared" si="61"/>
        <v>723</v>
      </c>
      <c r="B740" s="4"/>
      <c r="I740" s="8"/>
      <c r="J740" s="5" t="str">
        <f t="shared" si="59"/>
        <v/>
      </c>
      <c r="K740" s="3"/>
      <c r="L740" s="3" t="str">
        <f t="shared" si="58"/>
        <v/>
      </c>
      <c r="N740" s="3" t="str">
        <f t="shared" si="57"/>
        <v/>
      </c>
      <c r="O740" s="6" t="str">
        <f t="shared" si="60"/>
        <v/>
      </c>
      <c r="P740" s="7">
        <f ca="1">SUMIFS($N$2:$N740,$B$2:$B740,"&lt;&gt;"&amp;B740)+SUM($Q$2:$Q740)</f>
        <v>135.05500000000001</v>
      </c>
      <c r="R740" t="b">
        <f>AND(ISNUMBER(FIND($E740,Tables!$I$2)), ISNUMBER(FIND($D740,Tables!$J$2)), $E740&lt;&gt;"")</f>
        <v>0</v>
      </c>
    </row>
    <row r="741" spans="1:18" x14ac:dyDescent="0.3">
      <c r="A741">
        <f t="shared" si="61"/>
        <v>724</v>
      </c>
      <c r="B741" s="4"/>
      <c r="I741" s="8"/>
      <c r="J741" s="5" t="str">
        <f t="shared" si="59"/>
        <v/>
      </c>
      <c r="K741" s="3"/>
      <c r="L741" s="3" t="str">
        <f t="shared" si="58"/>
        <v/>
      </c>
      <c r="N741" s="3" t="str">
        <f t="shared" si="57"/>
        <v/>
      </c>
      <c r="O741" s="6" t="str">
        <f t="shared" si="60"/>
        <v/>
      </c>
      <c r="P741" s="7">
        <f ca="1">SUMIFS($N$2:$N741,$B$2:$B741,"&lt;&gt;"&amp;B741)+SUM($Q$2:$Q741)</f>
        <v>135.05500000000001</v>
      </c>
      <c r="R741" t="b">
        <f>AND(ISNUMBER(FIND($E741,Tables!$I$2)), ISNUMBER(FIND($D741,Tables!$J$2)), $E741&lt;&gt;"")</f>
        <v>0</v>
      </c>
    </row>
    <row r="742" spans="1:18" x14ac:dyDescent="0.3">
      <c r="A742">
        <f t="shared" si="61"/>
        <v>725</v>
      </c>
      <c r="B742" s="4"/>
      <c r="I742" s="8"/>
      <c r="J742" s="5" t="str">
        <f t="shared" si="59"/>
        <v/>
      </c>
      <c r="K742" s="3"/>
      <c r="L742" s="3" t="str">
        <f t="shared" si="58"/>
        <v/>
      </c>
      <c r="N742" s="3" t="str">
        <f t="shared" si="57"/>
        <v/>
      </c>
      <c r="O742" s="6" t="str">
        <f t="shared" si="60"/>
        <v/>
      </c>
      <c r="P742" s="7">
        <f ca="1">SUMIFS($N$2:$N742,$B$2:$B742,"&lt;&gt;"&amp;B742)+SUM($Q$2:$Q742)</f>
        <v>135.05500000000001</v>
      </c>
      <c r="R742" t="b">
        <f>AND(ISNUMBER(FIND($E742,Tables!$I$2)), ISNUMBER(FIND($D742,Tables!$J$2)), $E742&lt;&gt;"")</f>
        <v>0</v>
      </c>
    </row>
    <row r="743" spans="1:18" x14ac:dyDescent="0.3">
      <c r="A743">
        <f t="shared" si="61"/>
        <v>726</v>
      </c>
      <c r="B743" s="4"/>
      <c r="I743" s="8"/>
      <c r="J743" s="5" t="str">
        <f t="shared" si="59"/>
        <v/>
      </c>
      <c r="K743" s="3"/>
      <c r="L743" s="3" t="str">
        <f t="shared" si="58"/>
        <v/>
      </c>
      <c r="N743" s="3" t="str">
        <f t="shared" si="57"/>
        <v/>
      </c>
      <c r="O743" s="6" t="str">
        <f t="shared" si="60"/>
        <v/>
      </c>
      <c r="P743" s="7">
        <f ca="1">SUMIFS($N$2:$N743,$B$2:$B743,"&lt;&gt;"&amp;B743)+SUM($Q$2:$Q743)</f>
        <v>135.05500000000001</v>
      </c>
      <c r="R743" t="b">
        <f>AND(ISNUMBER(FIND($E743,Tables!$I$2)), ISNUMBER(FIND($D743,Tables!$J$2)), $E743&lt;&gt;"")</f>
        <v>0</v>
      </c>
    </row>
    <row r="744" spans="1:18" x14ac:dyDescent="0.3">
      <c r="A744">
        <f t="shared" si="61"/>
        <v>727</v>
      </c>
      <c r="B744" s="4"/>
      <c r="I744" s="8"/>
      <c r="J744" s="5" t="str">
        <f t="shared" si="59"/>
        <v/>
      </c>
      <c r="K744" s="3"/>
      <c r="L744" s="3" t="str">
        <f t="shared" si="58"/>
        <v/>
      </c>
      <c r="N744" s="3" t="str">
        <f t="shared" ref="N744:N807" si="62">IF(L744 = "", "", IF(M744="", "", IF(OR(M744="Draw",M744="NC"), 0, IF(M744="win", L744, -1*K744))))</f>
        <v/>
      </c>
      <c r="O744" s="6" t="str">
        <f t="shared" si="60"/>
        <v/>
      </c>
      <c r="P744" s="7">
        <f ca="1">SUMIFS($N$2:$N744,$B$2:$B744,"&lt;&gt;"&amp;B744)+SUM($Q$2:$Q744)</f>
        <v>135.05500000000001</v>
      </c>
      <c r="R744" t="b">
        <f>AND(ISNUMBER(FIND($E744,Tables!$I$2)), ISNUMBER(FIND($D744,Tables!$J$2)), $E744&lt;&gt;"")</f>
        <v>0</v>
      </c>
    </row>
    <row r="745" spans="1:18" x14ac:dyDescent="0.3">
      <c r="A745">
        <f t="shared" si="61"/>
        <v>728</v>
      </c>
      <c r="B745" s="4"/>
      <c r="I745" s="8"/>
      <c r="J745" s="5" t="str">
        <f t="shared" si="59"/>
        <v/>
      </c>
      <c r="K745" s="3"/>
      <c r="L745" s="3" t="str">
        <f t="shared" si="58"/>
        <v/>
      </c>
      <c r="N745" s="3" t="str">
        <f t="shared" si="62"/>
        <v/>
      </c>
      <c r="O745" s="6" t="str">
        <f t="shared" si="60"/>
        <v/>
      </c>
      <c r="P745" s="7">
        <f ca="1">SUMIFS($N$2:$N745,$B$2:$B745,"&lt;&gt;"&amp;B745)+SUM($Q$2:$Q745)</f>
        <v>135.05500000000001</v>
      </c>
      <c r="R745" t="b">
        <f>AND(ISNUMBER(FIND($E745,Tables!$I$2)), ISNUMBER(FIND($D745,Tables!$J$2)), $E745&lt;&gt;"")</f>
        <v>0</v>
      </c>
    </row>
    <row r="746" spans="1:18" x14ac:dyDescent="0.3">
      <c r="A746">
        <f t="shared" si="61"/>
        <v>729</v>
      </c>
      <c r="B746" s="4"/>
      <c r="I746" s="8"/>
      <c r="J746" s="5" t="str">
        <f t="shared" si="59"/>
        <v/>
      </c>
      <c r="K746" s="3"/>
      <c r="L746" s="3" t="str">
        <f t="shared" si="58"/>
        <v/>
      </c>
      <c r="N746" s="3" t="str">
        <f t="shared" si="62"/>
        <v/>
      </c>
      <c r="O746" s="6" t="str">
        <f t="shared" si="60"/>
        <v/>
      </c>
      <c r="P746" s="7">
        <f ca="1">SUMIFS($N$2:$N746,$B$2:$B746,"&lt;&gt;"&amp;B746)+SUM($Q$2:$Q746)</f>
        <v>135.05500000000001</v>
      </c>
      <c r="R746" t="b">
        <f>AND(ISNUMBER(FIND($E746,Tables!$I$2)), ISNUMBER(FIND($D746,Tables!$J$2)), $E746&lt;&gt;"")</f>
        <v>0</v>
      </c>
    </row>
    <row r="747" spans="1:18" x14ac:dyDescent="0.3">
      <c r="A747">
        <f t="shared" si="61"/>
        <v>730</v>
      </c>
      <c r="B747" s="4"/>
      <c r="I747" s="8"/>
      <c r="J747" s="5" t="str">
        <f t="shared" si="59"/>
        <v/>
      </c>
      <c r="K747" s="3"/>
      <c r="L747" s="3" t="str">
        <f t="shared" si="58"/>
        <v/>
      </c>
      <c r="N747" s="3" t="str">
        <f t="shared" si="62"/>
        <v/>
      </c>
      <c r="O747" s="6" t="str">
        <f t="shared" si="60"/>
        <v/>
      </c>
      <c r="P747" s="7">
        <f ca="1">SUMIFS($N$2:$N747,$B$2:$B747,"&lt;&gt;"&amp;B747)+SUM($Q$2:$Q747)</f>
        <v>135.05500000000001</v>
      </c>
      <c r="R747" t="b">
        <f>AND(ISNUMBER(FIND($E747,Tables!$I$2)), ISNUMBER(FIND($D747,Tables!$J$2)), $E747&lt;&gt;"")</f>
        <v>0</v>
      </c>
    </row>
    <row r="748" spans="1:18" x14ac:dyDescent="0.3">
      <c r="A748">
        <f t="shared" si="61"/>
        <v>731</v>
      </c>
      <c r="B748" s="4"/>
      <c r="I748" s="8"/>
      <c r="J748" s="5" t="str">
        <f t="shared" si="59"/>
        <v/>
      </c>
      <c r="K748" s="3"/>
      <c r="L748" s="3" t="str">
        <f t="shared" si="58"/>
        <v/>
      </c>
      <c r="N748" s="3" t="str">
        <f t="shared" si="62"/>
        <v/>
      </c>
      <c r="O748" s="6" t="str">
        <f t="shared" si="60"/>
        <v/>
      </c>
      <c r="P748" s="7">
        <f ca="1">SUMIFS($N$2:$N748,$B$2:$B748,"&lt;&gt;"&amp;B748)+SUM($Q$2:$Q748)</f>
        <v>135.05500000000001</v>
      </c>
      <c r="R748" t="b">
        <f>AND(ISNUMBER(FIND($E748,Tables!$I$2)), ISNUMBER(FIND($D748,Tables!$J$2)), $E748&lt;&gt;"")</f>
        <v>0</v>
      </c>
    </row>
    <row r="749" spans="1:18" x14ac:dyDescent="0.3">
      <c r="A749">
        <f t="shared" si="61"/>
        <v>732</v>
      </c>
      <c r="B749" s="4"/>
      <c r="I749" s="8"/>
      <c r="J749" s="5" t="str">
        <f t="shared" si="59"/>
        <v/>
      </c>
      <c r="K749" s="3"/>
      <c r="L749" s="3" t="str">
        <f t="shared" si="58"/>
        <v/>
      </c>
      <c r="N749" s="3" t="str">
        <f t="shared" si="62"/>
        <v/>
      </c>
      <c r="O749" s="6" t="str">
        <f t="shared" si="60"/>
        <v/>
      </c>
      <c r="P749" s="7">
        <f ca="1">SUMIFS($N$2:$N749,$B$2:$B749,"&lt;&gt;"&amp;B749)+SUM($Q$2:$Q749)</f>
        <v>135.05500000000001</v>
      </c>
      <c r="R749" t="b">
        <f>AND(ISNUMBER(FIND($E749,Tables!$I$2)), ISNUMBER(FIND($D749,Tables!$J$2)), $E749&lt;&gt;"")</f>
        <v>0</v>
      </c>
    </row>
    <row r="750" spans="1:18" x14ac:dyDescent="0.3">
      <c r="A750">
        <f t="shared" si="61"/>
        <v>733</v>
      </c>
      <c r="B750" s="4"/>
      <c r="I750" s="8"/>
      <c r="J750" s="5" t="str">
        <f t="shared" si="59"/>
        <v/>
      </c>
      <c r="K750" s="3"/>
      <c r="L750" s="3" t="str">
        <f t="shared" si="58"/>
        <v/>
      </c>
      <c r="N750" s="3" t="str">
        <f t="shared" si="62"/>
        <v/>
      </c>
      <c r="O750" s="6" t="str">
        <f t="shared" si="60"/>
        <v/>
      </c>
      <c r="P750" s="7">
        <f ca="1">SUMIFS($N$2:$N750,$B$2:$B750,"&lt;&gt;"&amp;B750)+SUM($Q$2:$Q750)</f>
        <v>135.05500000000001</v>
      </c>
      <c r="R750" t="b">
        <f>AND(ISNUMBER(FIND($E750,Tables!$I$2)), ISNUMBER(FIND($D750,Tables!$J$2)), $E750&lt;&gt;"")</f>
        <v>0</v>
      </c>
    </row>
    <row r="751" spans="1:18" x14ac:dyDescent="0.3">
      <c r="A751">
        <f t="shared" si="61"/>
        <v>734</v>
      </c>
      <c r="B751" s="4"/>
      <c r="I751" s="8"/>
      <c r="J751" s="5" t="str">
        <f t="shared" si="59"/>
        <v/>
      </c>
      <c r="K751" s="3"/>
      <c r="L751" s="3" t="str">
        <f t="shared" si="58"/>
        <v/>
      </c>
      <c r="N751" s="3" t="str">
        <f t="shared" si="62"/>
        <v/>
      </c>
      <c r="O751" s="6" t="str">
        <f t="shared" si="60"/>
        <v/>
      </c>
      <c r="P751" s="7">
        <f ca="1">SUMIFS($N$2:$N751,$B$2:$B751,"&lt;&gt;"&amp;B751)+SUM($Q$2:$Q751)</f>
        <v>135.05500000000001</v>
      </c>
      <c r="R751" t="b">
        <f>AND(ISNUMBER(FIND($E751,Tables!$I$2)), ISNUMBER(FIND($D751,Tables!$J$2)), $E751&lt;&gt;"")</f>
        <v>0</v>
      </c>
    </row>
    <row r="752" spans="1:18" x14ac:dyDescent="0.3">
      <c r="A752">
        <f t="shared" si="61"/>
        <v>735</v>
      </c>
      <c r="B752" s="4"/>
      <c r="I752" s="8"/>
      <c r="J752" s="5" t="str">
        <f t="shared" si="59"/>
        <v/>
      </c>
      <c r="K752" s="3"/>
      <c r="L752" s="3" t="str">
        <f t="shared" si="58"/>
        <v/>
      </c>
      <c r="N752" s="3" t="str">
        <f t="shared" si="62"/>
        <v/>
      </c>
      <c r="O752" s="6" t="str">
        <f t="shared" si="60"/>
        <v/>
      </c>
      <c r="P752" s="7">
        <f ca="1">SUMIFS($N$2:$N752,$B$2:$B752,"&lt;&gt;"&amp;B752)+SUM($Q$2:$Q752)</f>
        <v>135.05500000000001</v>
      </c>
      <c r="R752" t="b">
        <f>AND(ISNUMBER(FIND($E752,Tables!$I$2)), ISNUMBER(FIND($D752,Tables!$J$2)), $E752&lt;&gt;"")</f>
        <v>0</v>
      </c>
    </row>
    <row r="753" spans="1:18" x14ac:dyDescent="0.3">
      <c r="A753">
        <f t="shared" si="61"/>
        <v>736</v>
      </c>
      <c r="B753" s="4"/>
      <c r="I753" s="8"/>
      <c r="J753" s="5" t="str">
        <f t="shared" si="59"/>
        <v/>
      </c>
      <c r="K753" s="3"/>
      <c r="L753" s="3" t="str">
        <f t="shared" si="58"/>
        <v/>
      </c>
      <c r="N753" s="3" t="str">
        <f t="shared" si="62"/>
        <v/>
      </c>
      <c r="O753" s="6" t="str">
        <f t="shared" si="60"/>
        <v/>
      </c>
      <c r="P753" s="7">
        <f ca="1">SUMIFS($N$2:$N753,$B$2:$B753,"&lt;&gt;"&amp;B753)+SUM($Q$2:$Q753)</f>
        <v>135.05500000000001</v>
      </c>
      <c r="R753" t="b">
        <f>AND(ISNUMBER(FIND($E753,Tables!$I$2)), ISNUMBER(FIND($D753,Tables!$J$2)), $E753&lt;&gt;"")</f>
        <v>0</v>
      </c>
    </row>
    <row r="754" spans="1:18" x14ac:dyDescent="0.3">
      <c r="A754">
        <f t="shared" si="61"/>
        <v>737</v>
      </c>
      <c r="B754" s="4"/>
      <c r="I754" s="8"/>
      <c r="J754" s="5" t="str">
        <f t="shared" si="59"/>
        <v/>
      </c>
      <c r="K754" s="3"/>
      <c r="L754" s="3" t="str">
        <f t="shared" ref="L754:L817" si="63">IFERROR(IF(K754=0, "", IF(I754&gt;0, K754/100*I754,K754/I754*-100)), "")</f>
        <v/>
      </c>
      <c r="N754" s="3" t="str">
        <f t="shared" si="62"/>
        <v/>
      </c>
      <c r="O754" s="6" t="str">
        <f t="shared" si="60"/>
        <v/>
      </c>
      <c r="P754" s="7">
        <f ca="1">SUMIFS($N$2:$N754,$B$2:$B754,"&lt;&gt;"&amp;B754)+SUM($Q$2:$Q754)</f>
        <v>135.05500000000001</v>
      </c>
      <c r="R754" t="b">
        <f>AND(ISNUMBER(FIND($E754,Tables!$I$2)), ISNUMBER(FIND($D754,Tables!$J$2)), $E754&lt;&gt;"")</f>
        <v>0</v>
      </c>
    </row>
    <row r="755" spans="1:18" x14ac:dyDescent="0.3">
      <c r="A755">
        <f t="shared" si="61"/>
        <v>738</v>
      </c>
      <c r="B755" s="4"/>
      <c r="I755" s="8"/>
      <c r="J755" s="5" t="str">
        <f t="shared" si="59"/>
        <v/>
      </c>
      <c r="K755" s="3"/>
      <c r="L755" s="3" t="str">
        <f t="shared" si="63"/>
        <v/>
      </c>
      <c r="N755" s="3" t="str">
        <f t="shared" si="62"/>
        <v/>
      </c>
      <c r="O755" s="6" t="str">
        <f t="shared" si="60"/>
        <v/>
      </c>
      <c r="P755" s="7">
        <f ca="1">SUMIFS($N$2:$N755,$B$2:$B755,"&lt;&gt;"&amp;B755)+SUM($Q$2:$Q755)</f>
        <v>135.05500000000001</v>
      </c>
      <c r="R755" t="b">
        <f>AND(ISNUMBER(FIND($E755,Tables!$I$2)), ISNUMBER(FIND($D755,Tables!$J$2)), $E755&lt;&gt;"")</f>
        <v>0</v>
      </c>
    </row>
    <row r="756" spans="1:18" x14ac:dyDescent="0.3">
      <c r="A756">
        <f t="shared" si="61"/>
        <v>739</v>
      </c>
      <c r="B756" s="4"/>
      <c r="I756" s="8"/>
      <c r="J756" s="5" t="str">
        <f t="shared" si="59"/>
        <v/>
      </c>
      <c r="K756" s="3"/>
      <c r="L756" s="3" t="str">
        <f t="shared" si="63"/>
        <v/>
      </c>
      <c r="N756" s="3" t="str">
        <f t="shared" si="62"/>
        <v/>
      </c>
      <c r="O756" s="6" t="str">
        <f t="shared" si="60"/>
        <v/>
      </c>
      <c r="P756" s="7">
        <f ca="1">SUMIFS($N$2:$N756,$B$2:$B756,"&lt;&gt;"&amp;B756)+SUM($Q$2:$Q756)</f>
        <v>135.05500000000001</v>
      </c>
      <c r="R756" t="b">
        <f>AND(ISNUMBER(FIND($E756,Tables!$I$2)), ISNUMBER(FIND($D756,Tables!$J$2)), $E756&lt;&gt;"")</f>
        <v>0</v>
      </c>
    </row>
    <row r="757" spans="1:18" x14ac:dyDescent="0.3">
      <c r="A757">
        <f t="shared" si="61"/>
        <v>740</v>
      </c>
      <c r="B757" s="4"/>
      <c r="I757" s="8"/>
      <c r="J757" s="5" t="str">
        <f t="shared" si="59"/>
        <v/>
      </c>
      <c r="K757" s="3"/>
      <c r="L757" s="3" t="str">
        <f t="shared" si="63"/>
        <v/>
      </c>
      <c r="N757" s="3" t="str">
        <f t="shared" si="62"/>
        <v/>
      </c>
      <c r="O757" s="6" t="str">
        <f t="shared" si="60"/>
        <v/>
      </c>
      <c r="P757" s="7">
        <f ca="1">SUMIFS($N$2:$N757,$B$2:$B757,"&lt;&gt;"&amp;B757)+SUM($Q$2:$Q757)</f>
        <v>135.05500000000001</v>
      </c>
      <c r="R757" t="b">
        <f>AND(ISNUMBER(FIND($E757,Tables!$I$2)), ISNUMBER(FIND($D757,Tables!$J$2)), $E757&lt;&gt;"")</f>
        <v>0</v>
      </c>
    </row>
    <row r="758" spans="1:18" x14ac:dyDescent="0.3">
      <c r="A758">
        <f t="shared" si="61"/>
        <v>741</v>
      </c>
      <c r="B758" s="4"/>
      <c r="I758" s="8"/>
      <c r="J758" s="5" t="str">
        <f t="shared" si="59"/>
        <v/>
      </c>
      <c r="K758" s="3"/>
      <c r="L758" s="3" t="str">
        <f t="shared" si="63"/>
        <v/>
      </c>
      <c r="N758" s="3" t="str">
        <f t="shared" si="62"/>
        <v/>
      </c>
      <c r="O758" s="6" t="str">
        <f t="shared" si="60"/>
        <v/>
      </c>
      <c r="P758" s="7">
        <f ca="1">SUMIFS($N$2:$N758,$B$2:$B758,"&lt;&gt;"&amp;B758)+SUM($Q$2:$Q758)</f>
        <v>135.05500000000001</v>
      </c>
      <c r="R758" t="b">
        <f>AND(ISNUMBER(FIND($E758,Tables!$I$2)), ISNUMBER(FIND($D758,Tables!$J$2)), $E758&lt;&gt;"")</f>
        <v>0</v>
      </c>
    </row>
    <row r="759" spans="1:18" x14ac:dyDescent="0.3">
      <c r="A759">
        <f t="shared" si="61"/>
        <v>742</v>
      </c>
      <c r="B759" s="4"/>
      <c r="I759" s="8"/>
      <c r="J759" s="5" t="str">
        <f t="shared" si="59"/>
        <v/>
      </c>
      <c r="K759" s="3"/>
      <c r="L759" s="3" t="str">
        <f t="shared" si="63"/>
        <v/>
      </c>
      <c r="N759" s="3" t="str">
        <f t="shared" si="62"/>
        <v/>
      </c>
      <c r="O759" s="6" t="str">
        <f t="shared" si="60"/>
        <v/>
      </c>
      <c r="P759" s="7">
        <f ca="1">SUMIFS($N$2:$N759,$B$2:$B759,"&lt;&gt;"&amp;B759)+SUM($Q$2:$Q759)</f>
        <v>135.05500000000001</v>
      </c>
      <c r="R759" t="b">
        <f>AND(ISNUMBER(FIND($E759,Tables!$I$2)), ISNUMBER(FIND($D759,Tables!$J$2)), $E759&lt;&gt;"")</f>
        <v>0</v>
      </c>
    </row>
    <row r="760" spans="1:18" x14ac:dyDescent="0.3">
      <c r="A760">
        <f t="shared" si="61"/>
        <v>743</v>
      </c>
      <c r="B760" s="4"/>
      <c r="I760" s="8"/>
      <c r="J760" s="5" t="str">
        <f t="shared" si="59"/>
        <v/>
      </c>
      <c r="K760" s="3"/>
      <c r="L760" s="3" t="str">
        <f t="shared" si="63"/>
        <v/>
      </c>
      <c r="N760" s="3" t="str">
        <f t="shared" si="62"/>
        <v/>
      </c>
      <c r="O760" s="6" t="str">
        <f t="shared" si="60"/>
        <v/>
      </c>
      <c r="P760" s="7">
        <f ca="1">SUMIFS($N$2:$N760,$B$2:$B760,"&lt;&gt;"&amp;B760)+SUM($Q$2:$Q760)</f>
        <v>135.05500000000001</v>
      </c>
      <c r="R760" t="b">
        <f>AND(ISNUMBER(FIND($E760,Tables!$I$2)), ISNUMBER(FIND($D760,Tables!$J$2)), $E760&lt;&gt;"")</f>
        <v>0</v>
      </c>
    </row>
    <row r="761" spans="1:18" x14ac:dyDescent="0.3">
      <c r="A761">
        <f t="shared" si="61"/>
        <v>744</v>
      </c>
      <c r="B761" s="4"/>
      <c r="I761" s="8"/>
      <c r="J761" s="5" t="str">
        <f t="shared" si="59"/>
        <v/>
      </c>
      <c r="K761" s="3"/>
      <c r="L761" s="3" t="str">
        <f t="shared" si="63"/>
        <v/>
      </c>
      <c r="N761" s="3" t="str">
        <f t="shared" si="62"/>
        <v/>
      </c>
      <c r="O761" s="6" t="str">
        <f t="shared" si="60"/>
        <v/>
      </c>
      <c r="P761" s="7">
        <f ca="1">SUMIFS($N$2:$N761,$B$2:$B761,"&lt;&gt;"&amp;B761)+SUM($Q$2:$Q761)</f>
        <v>135.05500000000001</v>
      </c>
      <c r="R761" t="b">
        <f>AND(ISNUMBER(FIND($E761,Tables!$I$2)), ISNUMBER(FIND($D761,Tables!$J$2)), $E761&lt;&gt;"")</f>
        <v>0</v>
      </c>
    </row>
    <row r="762" spans="1:18" x14ac:dyDescent="0.3">
      <c r="A762">
        <f t="shared" si="61"/>
        <v>745</v>
      </c>
      <c r="B762" s="4"/>
      <c r="I762" s="8"/>
      <c r="J762" s="5" t="str">
        <f t="shared" si="59"/>
        <v/>
      </c>
      <c r="K762" s="3"/>
      <c r="L762" s="3" t="str">
        <f t="shared" si="63"/>
        <v/>
      </c>
      <c r="N762" s="3" t="str">
        <f t="shared" si="62"/>
        <v/>
      </c>
      <c r="O762" s="6" t="str">
        <f t="shared" si="60"/>
        <v/>
      </c>
      <c r="P762" s="7">
        <f ca="1">SUMIFS($N$2:$N762,$B$2:$B762,"&lt;&gt;"&amp;B762)+SUM($Q$2:$Q762)</f>
        <v>135.05500000000001</v>
      </c>
      <c r="R762" t="b">
        <f>AND(ISNUMBER(FIND($E762,Tables!$I$2)), ISNUMBER(FIND($D762,Tables!$J$2)), $E762&lt;&gt;"")</f>
        <v>0</v>
      </c>
    </row>
    <row r="763" spans="1:18" x14ac:dyDescent="0.3">
      <c r="A763">
        <f t="shared" si="61"/>
        <v>746</v>
      </c>
      <c r="B763" s="4"/>
      <c r="I763" s="8"/>
      <c r="J763" s="5" t="str">
        <f t="shared" si="59"/>
        <v/>
      </c>
      <c r="K763" s="3"/>
      <c r="L763" s="3" t="str">
        <f t="shared" si="63"/>
        <v/>
      </c>
      <c r="N763" s="3" t="str">
        <f t="shared" si="62"/>
        <v/>
      </c>
      <c r="O763" s="6" t="str">
        <f t="shared" si="60"/>
        <v/>
      </c>
      <c r="P763" s="7">
        <f ca="1">SUMIFS($N$2:$N763,$B$2:$B763,"&lt;&gt;"&amp;B763)+SUM($Q$2:$Q763)</f>
        <v>135.05500000000001</v>
      </c>
      <c r="R763" t="b">
        <f>AND(ISNUMBER(FIND($E763,Tables!$I$2)), ISNUMBER(FIND($D763,Tables!$J$2)), $E763&lt;&gt;"")</f>
        <v>0</v>
      </c>
    </row>
    <row r="764" spans="1:18" x14ac:dyDescent="0.3">
      <c r="A764">
        <f t="shared" si="61"/>
        <v>747</v>
      </c>
      <c r="B764" s="4"/>
      <c r="I764" s="8"/>
      <c r="J764" s="5" t="str">
        <f t="shared" si="59"/>
        <v/>
      </c>
      <c r="K764" s="3"/>
      <c r="L764" s="3" t="str">
        <f t="shared" si="63"/>
        <v/>
      </c>
      <c r="N764" s="3" t="str">
        <f t="shared" si="62"/>
        <v/>
      </c>
      <c r="O764" s="6" t="str">
        <f t="shared" si="60"/>
        <v/>
      </c>
      <c r="P764" s="7">
        <f ca="1">SUMIFS($N$2:$N764,$B$2:$B764,"&lt;&gt;"&amp;B764)+SUM($Q$2:$Q764)</f>
        <v>135.05500000000001</v>
      </c>
      <c r="R764" t="b">
        <f>AND(ISNUMBER(FIND($E764,Tables!$I$2)), ISNUMBER(FIND($D764,Tables!$J$2)), $E764&lt;&gt;"")</f>
        <v>0</v>
      </c>
    </row>
    <row r="765" spans="1:18" x14ac:dyDescent="0.3">
      <c r="A765">
        <f t="shared" si="61"/>
        <v>748</v>
      </c>
      <c r="B765" s="4"/>
      <c r="I765" s="8"/>
      <c r="J765" s="5" t="str">
        <f t="shared" si="59"/>
        <v/>
      </c>
      <c r="K765" s="3"/>
      <c r="L765" s="3" t="str">
        <f t="shared" si="63"/>
        <v/>
      </c>
      <c r="N765" s="3" t="str">
        <f t="shared" si="62"/>
        <v/>
      </c>
      <c r="O765" s="6" t="str">
        <f t="shared" si="60"/>
        <v/>
      </c>
      <c r="P765" s="7">
        <f ca="1">SUMIFS($N$2:$N765,$B$2:$B765,"&lt;&gt;"&amp;B765)+SUM($Q$2:$Q765)</f>
        <v>135.05500000000001</v>
      </c>
      <c r="R765" t="b">
        <f>AND(ISNUMBER(FIND($E765,Tables!$I$2)), ISNUMBER(FIND($D765,Tables!$J$2)), $E765&lt;&gt;"")</f>
        <v>0</v>
      </c>
    </row>
    <row r="766" spans="1:18" x14ac:dyDescent="0.3">
      <c r="A766">
        <f t="shared" si="61"/>
        <v>749</v>
      </c>
      <c r="B766" s="4"/>
      <c r="I766" s="8"/>
      <c r="J766" s="5" t="str">
        <f t="shared" si="59"/>
        <v/>
      </c>
      <c r="K766" s="3"/>
      <c r="L766" s="3" t="str">
        <f t="shared" si="63"/>
        <v/>
      </c>
      <c r="N766" s="3" t="str">
        <f t="shared" si="62"/>
        <v/>
      </c>
      <c r="O766" s="6" t="str">
        <f t="shared" si="60"/>
        <v/>
      </c>
      <c r="P766" s="7">
        <f ca="1">SUMIFS($N$2:$N766,$B$2:$B766,"&lt;&gt;"&amp;B766)+SUM($Q$2:$Q766)</f>
        <v>135.05500000000001</v>
      </c>
      <c r="R766" t="b">
        <f>AND(ISNUMBER(FIND($E766,Tables!$I$2)), ISNUMBER(FIND($D766,Tables!$J$2)), $E766&lt;&gt;"")</f>
        <v>0</v>
      </c>
    </row>
    <row r="767" spans="1:18" x14ac:dyDescent="0.3">
      <c r="A767">
        <f t="shared" si="61"/>
        <v>750</v>
      </c>
      <c r="B767" s="4"/>
      <c r="I767" s="8"/>
      <c r="J767" s="5" t="str">
        <f t="shared" si="59"/>
        <v/>
      </c>
      <c r="K767" s="3"/>
      <c r="L767" s="3" t="str">
        <f t="shared" si="63"/>
        <v/>
      </c>
      <c r="N767" s="3" t="str">
        <f t="shared" si="62"/>
        <v/>
      </c>
      <c r="O767" s="6" t="str">
        <f t="shared" si="60"/>
        <v/>
      </c>
      <c r="P767" s="7">
        <f ca="1">SUMIFS($N$2:$N767,$B$2:$B767,"&lt;&gt;"&amp;B767)+SUM($Q$2:$Q767)</f>
        <v>135.05500000000001</v>
      </c>
      <c r="R767" t="b">
        <f>AND(ISNUMBER(FIND($E767,Tables!$I$2)), ISNUMBER(FIND($D767,Tables!$J$2)), $E767&lt;&gt;"")</f>
        <v>0</v>
      </c>
    </row>
    <row r="768" spans="1:18" x14ac:dyDescent="0.3">
      <c r="A768">
        <f t="shared" si="61"/>
        <v>751</v>
      </c>
      <c r="B768" s="4"/>
      <c r="I768" s="8"/>
      <c r="J768" s="5" t="str">
        <f t="shared" si="59"/>
        <v/>
      </c>
      <c r="K768" s="3"/>
      <c r="L768" s="3" t="str">
        <f t="shared" si="63"/>
        <v/>
      </c>
      <c r="N768" s="3" t="str">
        <f t="shared" si="62"/>
        <v/>
      </c>
      <c r="O768" s="6" t="str">
        <f t="shared" si="60"/>
        <v/>
      </c>
      <c r="P768" s="7">
        <f ca="1">SUMIFS($N$2:$N768,$B$2:$B768,"&lt;&gt;"&amp;B768)+SUM($Q$2:$Q768)</f>
        <v>135.05500000000001</v>
      </c>
      <c r="R768" t="b">
        <f>AND(ISNUMBER(FIND($E768,Tables!$I$2)), ISNUMBER(FIND($D768,Tables!$J$2)), $E768&lt;&gt;"")</f>
        <v>0</v>
      </c>
    </row>
    <row r="769" spans="1:18" x14ac:dyDescent="0.3">
      <c r="A769">
        <f t="shared" si="61"/>
        <v>752</v>
      </c>
      <c r="B769" s="4"/>
      <c r="I769" s="8"/>
      <c r="J769" s="5" t="str">
        <f t="shared" si="59"/>
        <v/>
      </c>
      <c r="K769" s="3"/>
      <c r="L769" s="3" t="str">
        <f t="shared" si="63"/>
        <v/>
      </c>
      <c r="N769" s="3" t="str">
        <f t="shared" si="62"/>
        <v/>
      </c>
      <c r="O769" s="6" t="str">
        <f t="shared" si="60"/>
        <v/>
      </c>
      <c r="P769" s="7">
        <f ca="1">SUMIFS($N$2:$N769,$B$2:$B769,"&lt;&gt;"&amp;B769)+SUM($Q$2:$Q769)</f>
        <v>135.05500000000001</v>
      </c>
      <c r="R769" t="b">
        <f>AND(ISNUMBER(FIND($E769,Tables!$I$2)), ISNUMBER(FIND($D769,Tables!$J$2)), $E769&lt;&gt;"")</f>
        <v>0</v>
      </c>
    </row>
    <row r="770" spans="1:18" x14ac:dyDescent="0.3">
      <c r="A770">
        <f t="shared" si="61"/>
        <v>753</v>
      </c>
      <c r="B770" s="4"/>
      <c r="I770" s="8"/>
      <c r="J770" s="5" t="str">
        <f t="shared" ref="J770:J833" si="64">IF(I770="", "", IF(I770&gt;0, I770/100 +1, -100/I770 +1))</f>
        <v/>
      </c>
      <c r="K770" s="3"/>
      <c r="L770" s="3" t="str">
        <f t="shared" si="63"/>
        <v/>
      </c>
      <c r="N770" s="3" t="str">
        <f t="shared" si="62"/>
        <v/>
      </c>
      <c r="O770" s="6" t="str">
        <f t="shared" ref="O770:O833" si="65">IFERROR(K770/VLOOKUP(_xlfn.MINIFS(A:A,B:B,B770,C:C,C770),A:P,16),"")</f>
        <v/>
      </c>
      <c r="P770" s="7">
        <f ca="1">SUMIFS($N$2:$N770,$B$2:$B770,"&lt;&gt;"&amp;B770)+SUM($Q$2:$Q770)</f>
        <v>135.05500000000001</v>
      </c>
      <c r="R770" t="b">
        <f>AND(ISNUMBER(FIND($E770,Tables!$I$2)), ISNUMBER(FIND($D770,Tables!$J$2)), $E770&lt;&gt;"")</f>
        <v>0</v>
      </c>
    </row>
    <row r="771" spans="1:18" x14ac:dyDescent="0.3">
      <c r="A771">
        <f t="shared" si="61"/>
        <v>754</v>
      </c>
      <c r="B771" s="4"/>
      <c r="I771" s="8"/>
      <c r="J771" s="5" t="str">
        <f t="shared" si="64"/>
        <v/>
      </c>
      <c r="K771" s="3"/>
      <c r="L771" s="3" t="str">
        <f t="shared" si="63"/>
        <v/>
      </c>
      <c r="N771" s="3" t="str">
        <f t="shared" si="62"/>
        <v/>
      </c>
      <c r="O771" s="6" t="str">
        <f t="shared" si="65"/>
        <v/>
      </c>
      <c r="P771" s="7">
        <f ca="1">SUMIFS($N$2:$N771,$B$2:$B771,"&lt;&gt;"&amp;B771)+SUM($Q$2:$Q771)</f>
        <v>135.05500000000001</v>
      </c>
      <c r="R771" t="b">
        <f>AND(ISNUMBER(FIND($E771,Tables!$I$2)), ISNUMBER(FIND($D771,Tables!$J$2)), $E771&lt;&gt;"")</f>
        <v>0</v>
      </c>
    </row>
    <row r="772" spans="1:18" x14ac:dyDescent="0.3">
      <c r="A772">
        <f t="shared" si="61"/>
        <v>755</v>
      </c>
      <c r="B772" s="4"/>
      <c r="I772" s="8"/>
      <c r="J772" s="5" t="str">
        <f t="shared" si="64"/>
        <v/>
      </c>
      <c r="K772" s="3"/>
      <c r="L772" s="3" t="str">
        <f t="shared" si="63"/>
        <v/>
      </c>
      <c r="N772" s="3" t="str">
        <f t="shared" si="62"/>
        <v/>
      </c>
      <c r="O772" s="6" t="str">
        <f t="shared" si="65"/>
        <v/>
      </c>
      <c r="P772" s="7">
        <f ca="1">SUMIFS($N$2:$N772,$B$2:$B772,"&lt;&gt;"&amp;B772)+SUM($Q$2:$Q772)</f>
        <v>135.05500000000001</v>
      </c>
      <c r="R772" t="b">
        <f>AND(ISNUMBER(FIND($E772,Tables!$I$2)), ISNUMBER(FIND($D772,Tables!$J$2)), $E772&lt;&gt;"")</f>
        <v>0</v>
      </c>
    </row>
    <row r="773" spans="1:18" x14ac:dyDescent="0.3">
      <c r="A773">
        <f t="shared" si="61"/>
        <v>756</v>
      </c>
      <c r="B773" s="4"/>
      <c r="I773" s="8"/>
      <c r="J773" s="5" t="str">
        <f t="shared" si="64"/>
        <v/>
      </c>
      <c r="K773" s="3"/>
      <c r="L773" s="3" t="str">
        <f t="shared" si="63"/>
        <v/>
      </c>
      <c r="N773" s="3" t="str">
        <f t="shared" si="62"/>
        <v/>
      </c>
      <c r="O773" s="6" t="str">
        <f t="shared" si="65"/>
        <v/>
      </c>
      <c r="P773" s="7">
        <f ca="1">SUMIFS($N$2:$N773,$B$2:$B773,"&lt;&gt;"&amp;B773)+SUM($Q$2:$Q773)</f>
        <v>135.05500000000001</v>
      </c>
      <c r="R773" t="b">
        <f>AND(ISNUMBER(FIND($E773,Tables!$I$2)), ISNUMBER(FIND($D773,Tables!$J$2)), $E773&lt;&gt;"")</f>
        <v>0</v>
      </c>
    </row>
    <row r="774" spans="1:18" x14ac:dyDescent="0.3">
      <c r="A774">
        <f t="shared" si="61"/>
        <v>757</v>
      </c>
      <c r="B774" s="4"/>
      <c r="I774" s="8"/>
      <c r="J774" s="5" t="str">
        <f t="shared" si="64"/>
        <v/>
      </c>
      <c r="K774" s="3"/>
      <c r="L774" s="3" t="str">
        <f t="shared" si="63"/>
        <v/>
      </c>
      <c r="N774" s="3" t="str">
        <f t="shared" si="62"/>
        <v/>
      </c>
      <c r="O774" s="6" t="str">
        <f t="shared" si="65"/>
        <v/>
      </c>
      <c r="P774" s="7">
        <f ca="1">SUMIFS($N$2:$N774,$B$2:$B774,"&lt;&gt;"&amp;B774)+SUM($Q$2:$Q774)</f>
        <v>135.05500000000001</v>
      </c>
      <c r="R774" t="b">
        <f>AND(ISNUMBER(FIND($E774,Tables!$I$2)), ISNUMBER(FIND($D774,Tables!$J$2)), $E774&lt;&gt;"")</f>
        <v>0</v>
      </c>
    </row>
    <row r="775" spans="1:18" x14ac:dyDescent="0.3">
      <c r="A775">
        <f t="shared" si="61"/>
        <v>758</v>
      </c>
      <c r="B775" s="4"/>
      <c r="I775" s="8"/>
      <c r="J775" s="5" t="str">
        <f t="shared" si="64"/>
        <v/>
      </c>
      <c r="K775" s="3"/>
      <c r="L775" s="3" t="str">
        <f t="shared" si="63"/>
        <v/>
      </c>
      <c r="N775" s="3" t="str">
        <f t="shared" si="62"/>
        <v/>
      </c>
      <c r="O775" s="6" t="str">
        <f t="shared" si="65"/>
        <v/>
      </c>
      <c r="P775" s="7">
        <f ca="1">SUMIFS($N$2:$N775,$B$2:$B775,"&lt;&gt;"&amp;B775)+SUM($Q$2:$Q775)</f>
        <v>135.05500000000001</v>
      </c>
      <c r="R775" t="b">
        <f>AND(ISNUMBER(FIND($E775,Tables!$I$2)), ISNUMBER(FIND($D775,Tables!$J$2)), $E775&lt;&gt;"")</f>
        <v>0</v>
      </c>
    </row>
    <row r="776" spans="1:18" x14ac:dyDescent="0.3">
      <c r="A776">
        <f t="shared" si="61"/>
        <v>759</v>
      </c>
      <c r="B776" s="4"/>
      <c r="I776" s="8"/>
      <c r="J776" s="5" t="str">
        <f t="shared" si="64"/>
        <v/>
      </c>
      <c r="K776" s="3"/>
      <c r="L776" s="3" t="str">
        <f t="shared" si="63"/>
        <v/>
      </c>
      <c r="N776" s="3" t="str">
        <f t="shared" si="62"/>
        <v/>
      </c>
      <c r="O776" s="6" t="str">
        <f t="shared" si="65"/>
        <v/>
      </c>
      <c r="P776" s="7">
        <f ca="1">SUMIFS($N$2:$N776,$B$2:$B776,"&lt;&gt;"&amp;B776)+SUM($Q$2:$Q776)</f>
        <v>135.05500000000001</v>
      </c>
      <c r="R776" t="b">
        <f>AND(ISNUMBER(FIND($E776,Tables!$I$2)), ISNUMBER(FIND($D776,Tables!$J$2)), $E776&lt;&gt;"")</f>
        <v>0</v>
      </c>
    </row>
    <row r="777" spans="1:18" x14ac:dyDescent="0.3">
      <c r="A777">
        <f t="shared" si="61"/>
        <v>760</v>
      </c>
      <c r="B777" s="4"/>
      <c r="I777" s="8"/>
      <c r="J777" s="5" t="str">
        <f t="shared" si="64"/>
        <v/>
      </c>
      <c r="K777" s="3"/>
      <c r="L777" s="3" t="str">
        <f t="shared" si="63"/>
        <v/>
      </c>
      <c r="N777" s="3" t="str">
        <f t="shared" si="62"/>
        <v/>
      </c>
      <c r="O777" s="6" t="str">
        <f t="shared" si="65"/>
        <v/>
      </c>
      <c r="P777" s="7">
        <f ca="1">SUMIFS($N$2:$N777,$B$2:$B777,"&lt;&gt;"&amp;B777)+SUM($Q$2:$Q777)</f>
        <v>135.05500000000001</v>
      </c>
      <c r="R777" t="b">
        <f>AND(ISNUMBER(FIND($E777,Tables!$I$2)), ISNUMBER(FIND($D777,Tables!$J$2)), $E777&lt;&gt;"")</f>
        <v>0</v>
      </c>
    </row>
    <row r="778" spans="1:18" x14ac:dyDescent="0.3">
      <c r="A778">
        <f t="shared" si="61"/>
        <v>761</v>
      </c>
      <c r="B778" s="4"/>
      <c r="I778" s="8"/>
      <c r="J778" s="5" t="str">
        <f t="shared" si="64"/>
        <v/>
      </c>
      <c r="K778" s="3"/>
      <c r="L778" s="3" t="str">
        <f t="shared" si="63"/>
        <v/>
      </c>
      <c r="N778" s="3" t="str">
        <f t="shared" si="62"/>
        <v/>
      </c>
      <c r="O778" s="6" t="str">
        <f t="shared" si="65"/>
        <v/>
      </c>
      <c r="P778" s="7">
        <f ca="1">SUMIFS($N$2:$N778,$B$2:$B778,"&lt;&gt;"&amp;B778)+SUM($Q$2:$Q778)</f>
        <v>135.05500000000001</v>
      </c>
      <c r="R778" t="b">
        <f>AND(ISNUMBER(FIND($E778,Tables!$I$2)), ISNUMBER(FIND($D778,Tables!$J$2)), $E778&lt;&gt;"")</f>
        <v>0</v>
      </c>
    </row>
    <row r="779" spans="1:18" x14ac:dyDescent="0.3">
      <c r="A779">
        <f t="shared" si="61"/>
        <v>762</v>
      </c>
      <c r="B779" s="4"/>
      <c r="I779" s="8"/>
      <c r="J779" s="5" t="str">
        <f t="shared" si="64"/>
        <v/>
      </c>
      <c r="K779" s="3"/>
      <c r="L779" s="3" t="str">
        <f t="shared" si="63"/>
        <v/>
      </c>
      <c r="N779" s="3" t="str">
        <f t="shared" si="62"/>
        <v/>
      </c>
      <c r="O779" s="6" t="str">
        <f t="shared" si="65"/>
        <v/>
      </c>
      <c r="P779" s="7">
        <f ca="1">SUMIFS($N$2:$N779,$B$2:$B779,"&lt;&gt;"&amp;B779)+SUM($Q$2:$Q779)</f>
        <v>135.05500000000001</v>
      </c>
      <c r="R779" t="b">
        <f>AND(ISNUMBER(FIND($E779,Tables!$I$2)), ISNUMBER(FIND($D779,Tables!$J$2)), $E779&lt;&gt;"")</f>
        <v>0</v>
      </c>
    </row>
    <row r="780" spans="1:18" x14ac:dyDescent="0.3">
      <c r="A780">
        <f t="shared" si="61"/>
        <v>763</v>
      </c>
      <c r="B780" s="4"/>
      <c r="I780" s="8"/>
      <c r="J780" s="5" t="str">
        <f t="shared" si="64"/>
        <v/>
      </c>
      <c r="K780" s="3"/>
      <c r="L780" s="3" t="str">
        <f t="shared" si="63"/>
        <v/>
      </c>
      <c r="N780" s="3" t="str">
        <f t="shared" si="62"/>
        <v/>
      </c>
      <c r="O780" s="6" t="str">
        <f t="shared" si="65"/>
        <v/>
      </c>
      <c r="P780" s="7">
        <f ca="1">SUMIFS($N$2:$N780,$B$2:$B780,"&lt;&gt;"&amp;B780)+SUM($Q$2:$Q780)</f>
        <v>135.05500000000001</v>
      </c>
      <c r="R780" t="b">
        <f>AND(ISNUMBER(FIND($E780,Tables!$I$2)), ISNUMBER(FIND($D780,Tables!$J$2)), $E780&lt;&gt;"")</f>
        <v>0</v>
      </c>
    </row>
    <row r="781" spans="1:18" x14ac:dyDescent="0.3">
      <c r="A781">
        <f t="shared" si="61"/>
        <v>764</v>
      </c>
      <c r="B781" s="4"/>
      <c r="I781" s="8"/>
      <c r="J781" s="5" t="str">
        <f t="shared" si="64"/>
        <v/>
      </c>
      <c r="K781" s="3"/>
      <c r="L781" s="3" t="str">
        <f t="shared" si="63"/>
        <v/>
      </c>
      <c r="N781" s="3" t="str">
        <f t="shared" si="62"/>
        <v/>
      </c>
      <c r="O781" s="6" t="str">
        <f t="shared" si="65"/>
        <v/>
      </c>
      <c r="P781" s="7">
        <f ca="1">SUMIFS($N$2:$N781,$B$2:$B781,"&lt;&gt;"&amp;B781)+SUM($Q$2:$Q781)</f>
        <v>135.05500000000001</v>
      </c>
      <c r="R781" t="b">
        <f>AND(ISNUMBER(FIND($E781,Tables!$I$2)), ISNUMBER(FIND($D781,Tables!$J$2)), $E781&lt;&gt;"")</f>
        <v>0</v>
      </c>
    </row>
    <row r="782" spans="1:18" x14ac:dyDescent="0.3">
      <c r="A782">
        <f t="shared" si="61"/>
        <v>765</v>
      </c>
      <c r="B782" s="4"/>
      <c r="I782" s="8"/>
      <c r="J782" s="5" t="str">
        <f t="shared" si="64"/>
        <v/>
      </c>
      <c r="K782" s="3"/>
      <c r="L782" s="3" t="str">
        <f t="shared" si="63"/>
        <v/>
      </c>
      <c r="N782" s="3" t="str">
        <f t="shared" si="62"/>
        <v/>
      </c>
      <c r="O782" s="6" t="str">
        <f t="shared" si="65"/>
        <v/>
      </c>
      <c r="P782" s="7">
        <f ca="1">SUMIFS($N$2:$N782,$B$2:$B782,"&lt;&gt;"&amp;B782)+SUM($Q$2:$Q782)</f>
        <v>135.05500000000001</v>
      </c>
      <c r="R782" t="b">
        <f>AND(ISNUMBER(FIND($E782,Tables!$I$2)), ISNUMBER(FIND($D782,Tables!$J$2)), $E782&lt;&gt;"")</f>
        <v>0</v>
      </c>
    </row>
    <row r="783" spans="1:18" x14ac:dyDescent="0.3">
      <c r="A783">
        <f t="shared" si="61"/>
        <v>766</v>
      </c>
      <c r="B783" s="4"/>
      <c r="I783" s="8"/>
      <c r="J783" s="5" t="str">
        <f t="shared" si="64"/>
        <v/>
      </c>
      <c r="K783" s="3"/>
      <c r="L783" s="3" t="str">
        <f t="shared" si="63"/>
        <v/>
      </c>
      <c r="N783" s="3" t="str">
        <f t="shared" si="62"/>
        <v/>
      </c>
      <c r="O783" s="6" t="str">
        <f t="shared" si="65"/>
        <v/>
      </c>
      <c r="P783" s="7">
        <f ca="1">SUMIFS($N$2:$N783,$B$2:$B783,"&lt;&gt;"&amp;B783)+SUM($Q$2:$Q783)</f>
        <v>135.05500000000001</v>
      </c>
      <c r="R783" t="b">
        <f>AND(ISNUMBER(FIND($E783,Tables!$I$2)), ISNUMBER(FIND($D783,Tables!$J$2)), $E783&lt;&gt;"")</f>
        <v>0</v>
      </c>
    </row>
    <row r="784" spans="1:18" x14ac:dyDescent="0.3">
      <c r="A784">
        <f t="shared" si="61"/>
        <v>767</v>
      </c>
      <c r="B784" s="4"/>
      <c r="I784" s="8"/>
      <c r="J784" s="5" t="str">
        <f t="shared" si="64"/>
        <v/>
      </c>
      <c r="K784" s="3"/>
      <c r="L784" s="3" t="str">
        <f t="shared" si="63"/>
        <v/>
      </c>
      <c r="N784" s="3" t="str">
        <f t="shared" si="62"/>
        <v/>
      </c>
      <c r="O784" s="6" t="str">
        <f t="shared" si="65"/>
        <v/>
      </c>
      <c r="P784" s="7">
        <f ca="1">SUMIFS($N$2:$N784,$B$2:$B784,"&lt;&gt;"&amp;B784)+SUM($Q$2:$Q784)</f>
        <v>135.05500000000001</v>
      </c>
      <c r="R784" t="b">
        <f>AND(ISNUMBER(FIND($E784,Tables!$I$2)), ISNUMBER(FIND($D784,Tables!$J$2)), $E784&lt;&gt;"")</f>
        <v>0</v>
      </c>
    </row>
    <row r="785" spans="1:18" x14ac:dyDescent="0.3">
      <c r="A785">
        <f t="shared" si="61"/>
        <v>768</v>
      </c>
      <c r="B785" s="4"/>
      <c r="I785" s="8"/>
      <c r="J785" s="5" t="str">
        <f t="shared" si="64"/>
        <v/>
      </c>
      <c r="K785" s="3"/>
      <c r="L785" s="3" t="str">
        <f t="shared" si="63"/>
        <v/>
      </c>
      <c r="N785" s="3" t="str">
        <f t="shared" si="62"/>
        <v/>
      </c>
      <c r="O785" s="6" t="str">
        <f t="shared" si="65"/>
        <v/>
      </c>
      <c r="P785" s="7">
        <f ca="1">SUMIFS($N$2:$N785,$B$2:$B785,"&lt;&gt;"&amp;B785)+SUM($Q$2:$Q785)</f>
        <v>135.05500000000001</v>
      </c>
      <c r="R785" t="b">
        <f>AND(ISNUMBER(FIND($E785,Tables!$I$2)), ISNUMBER(FIND($D785,Tables!$J$2)), $E785&lt;&gt;"")</f>
        <v>0</v>
      </c>
    </row>
    <row r="786" spans="1:18" x14ac:dyDescent="0.3">
      <c r="A786">
        <f t="shared" si="61"/>
        <v>769</v>
      </c>
      <c r="B786" s="4"/>
      <c r="I786" s="8"/>
      <c r="J786" s="5" t="str">
        <f t="shared" si="64"/>
        <v/>
      </c>
      <c r="K786" s="3"/>
      <c r="L786" s="3" t="str">
        <f t="shared" si="63"/>
        <v/>
      </c>
      <c r="N786" s="3" t="str">
        <f t="shared" si="62"/>
        <v/>
      </c>
      <c r="O786" s="6" t="str">
        <f t="shared" si="65"/>
        <v/>
      </c>
      <c r="P786" s="7">
        <f ca="1">SUMIFS($N$2:$N786,$B$2:$B786,"&lt;&gt;"&amp;B786)+SUM($Q$2:$Q786)</f>
        <v>135.05500000000001</v>
      </c>
      <c r="R786" t="b">
        <f>AND(ISNUMBER(FIND($E786,Tables!$I$2)), ISNUMBER(FIND($D786,Tables!$J$2)), $E786&lt;&gt;"")</f>
        <v>0</v>
      </c>
    </row>
    <row r="787" spans="1:18" x14ac:dyDescent="0.3">
      <c r="A787">
        <f t="shared" si="61"/>
        <v>770</v>
      </c>
      <c r="B787" s="4"/>
      <c r="I787" s="8"/>
      <c r="J787" s="5" t="str">
        <f t="shared" si="64"/>
        <v/>
      </c>
      <c r="K787" s="3"/>
      <c r="L787" s="3" t="str">
        <f t="shared" si="63"/>
        <v/>
      </c>
      <c r="N787" s="3" t="str">
        <f t="shared" si="62"/>
        <v/>
      </c>
      <c r="O787" s="6" t="str">
        <f t="shared" si="65"/>
        <v/>
      </c>
      <c r="P787" s="7">
        <f ca="1">SUMIFS($N$2:$N787,$B$2:$B787,"&lt;&gt;"&amp;B787)+SUM($Q$2:$Q787)</f>
        <v>135.05500000000001</v>
      </c>
      <c r="R787" t="b">
        <f>AND(ISNUMBER(FIND($E787,Tables!$I$2)), ISNUMBER(FIND($D787,Tables!$J$2)), $E787&lt;&gt;"")</f>
        <v>0</v>
      </c>
    </row>
    <row r="788" spans="1:18" x14ac:dyDescent="0.3">
      <c r="A788">
        <f t="shared" si="61"/>
        <v>771</v>
      </c>
      <c r="B788" s="4"/>
      <c r="I788" s="8"/>
      <c r="J788" s="5" t="str">
        <f t="shared" si="64"/>
        <v/>
      </c>
      <c r="K788" s="3"/>
      <c r="L788" s="3" t="str">
        <f t="shared" si="63"/>
        <v/>
      </c>
      <c r="N788" s="3" t="str">
        <f t="shared" si="62"/>
        <v/>
      </c>
      <c r="O788" s="6" t="str">
        <f t="shared" si="65"/>
        <v/>
      </c>
      <c r="P788" s="7">
        <f ca="1">SUMIFS($N$2:$N788,$B$2:$B788,"&lt;&gt;"&amp;B788)+SUM($Q$2:$Q788)</f>
        <v>135.05500000000001</v>
      </c>
      <c r="R788" t="b">
        <f>AND(ISNUMBER(FIND($E788,Tables!$I$2)), ISNUMBER(FIND($D788,Tables!$J$2)), $E788&lt;&gt;"")</f>
        <v>0</v>
      </c>
    </row>
    <row r="789" spans="1:18" x14ac:dyDescent="0.3">
      <c r="A789">
        <f t="shared" si="61"/>
        <v>772</v>
      </c>
      <c r="B789" s="4"/>
      <c r="I789" s="8"/>
      <c r="J789" s="5" t="str">
        <f t="shared" si="64"/>
        <v/>
      </c>
      <c r="K789" s="3"/>
      <c r="L789" s="3" t="str">
        <f t="shared" si="63"/>
        <v/>
      </c>
      <c r="N789" s="3" t="str">
        <f t="shared" si="62"/>
        <v/>
      </c>
      <c r="O789" s="6" t="str">
        <f t="shared" si="65"/>
        <v/>
      </c>
      <c r="P789" s="7">
        <f ca="1">SUMIFS($N$2:$N789,$B$2:$B789,"&lt;&gt;"&amp;B789)+SUM($Q$2:$Q789)</f>
        <v>135.05500000000001</v>
      </c>
      <c r="R789" t="b">
        <f>AND(ISNUMBER(FIND($E789,Tables!$I$2)), ISNUMBER(FIND($D789,Tables!$J$2)), $E789&lt;&gt;"")</f>
        <v>0</v>
      </c>
    </row>
    <row r="790" spans="1:18" x14ac:dyDescent="0.3">
      <c r="A790">
        <f t="shared" si="61"/>
        <v>773</v>
      </c>
      <c r="B790" s="4"/>
      <c r="I790" s="8"/>
      <c r="J790" s="5" t="str">
        <f t="shared" si="64"/>
        <v/>
      </c>
      <c r="K790" s="3"/>
      <c r="L790" s="3" t="str">
        <f t="shared" si="63"/>
        <v/>
      </c>
      <c r="N790" s="3" t="str">
        <f t="shared" si="62"/>
        <v/>
      </c>
      <c r="O790" s="6" t="str">
        <f t="shared" si="65"/>
        <v/>
      </c>
      <c r="P790" s="7">
        <f ca="1">SUMIFS($N$2:$N790,$B$2:$B790,"&lt;&gt;"&amp;B790)+SUM($Q$2:$Q790)</f>
        <v>135.05500000000001</v>
      </c>
      <c r="R790" t="b">
        <f>AND(ISNUMBER(FIND($E790,Tables!$I$2)), ISNUMBER(FIND($D790,Tables!$J$2)), $E790&lt;&gt;"")</f>
        <v>0</v>
      </c>
    </row>
    <row r="791" spans="1:18" x14ac:dyDescent="0.3">
      <c r="A791">
        <f t="shared" si="61"/>
        <v>774</v>
      </c>
      <c r="B791" s="4"/>
      <c r="I791" s="8"/>
      <c r="J791" s="5" t="str">
        <f t="shared" si="64"/>
        <v/>
      </c>
      <c r="K791" s="3"/>
      <c r="L791" s="3" t="str">
        <f t="shared" si="63"/>
        <v/>
      </c>
      <c r="N791" s="3" t="str">
        <f t="shared" si="62"/>
        <v/>
      </c>
      <c r="O791" s="6" t="str">
        <f t="shared" si="65"/>
        <v/>
      </c>
      <c r="P791" s="7">
        <f ca="1">SUMIFS($N$2:$N791,$B$2:$B791,"&lt;&gt;"&amp;B791)+SUM($Q$2:$Q791)</f>
        <v>135.05500000000001</v>
      </c>
      <c r="R791" t="b">
        <f>AND(ISNUMBER(FIND($E791,Tables!$I$2)), ISNUMBER(FIND($D791,Tables!$J$2)), $E791&lt;&gt;"")</f>
        <v>0</v>
      </c>
    </row>
    <row r="792" spans="1:18" x14ac:dyDescent="0.3">
      <c r="A792">
        <f t="shared" si="61"/>
        <v>775</v>
      </c>
      <c r="B792" s="4"/>
      <c r="I792" s="8"/>
      <c r="J792" s="5" t="str">
        <f t="shared" si="64"/>
        <v/>
      </c>
      <c r="K792" s="3"/>
      <c r="L792" s="3" t="str">
        <f t="shared" si="63"/>
        <v/>
      </c>
      <c r="N792" s="3" t="str">
        <f t="shared" si="62"/>
        <v/>
      </c>
      <c r="O792" s="6" t="str">
        <f t="shared" si="65"/>
        <v/>
      </c>
      <c r="P792" s="7">
        <f ca="1">SUMIFS($N$2:$N792,$B$2:$B792,"&lt;&gt;"&amp;B792)+SUM($Q$2:$Q792)</f>
        <v>135.05500000000001</v>
      </c>
      <c r="R792" t="b">
        <f>AND(ISNUMBER(FIND($E792,Tables!$I$2)), ISNUMBER(FIND($D792,Tables!$J$2)), $E792&lt;&gt;"")</f>
        <v>0</v>
      </c>
    </row>
    <row r="793" spans="1:18" x14ac:dyDescent="0.3">
      <c r="A793">
        <f t="shared" si="61"/>
        <v>776</v>
      </c>
      <c r="B793" s="4"/>
      <c r="I793" s="8"/>
      <c r="J793" s="5" t="str">
        <f t="shared" si="64"/>
        <v/>
      </c>
      <c r="K793" s="3"/>
      <c r="L793" s="3" t="str">
        <f t="shared" si="63"/>
        <v/>
      </c>
      <c r="N793" s="3" t="str">
        <f t="shared" si="62"/>
        <v/>
      </c>
      <c r="O793" s="6" t="str">
        <f t="shared" si="65"/>
        <v/>
      </c>
      <c r="P793" s="7">
        <f ca="1">SUMIFS($N$2:$N793,$B$2:$B793,"&lt;&gt;"&amp;B793)+SUM($Q$2:$Q793)</f>
        <v>135.05500000000001</v>
      </c>
      <c r="R793" t="b">
        <f>AND(ISNUMBER(FIND($E793,Tables!$I$2)), ISNUMBER(FIND($D793,Tables!$J$2)), $E793&lt;&gt;"")</f>
        <v>0</v>
      </c>
    </row>
    <row r="794" spans="1:18" x14ac:dyDescent="0.3">
      <c r="A794">
        <f t="shared" si="61"/>
        <v>777</v>
      </c>
      <c r="B794" s="4"/>
      <c r="I794" s="8"/>
      <c r="J794" s="5" t="str">
        <f t="shared" si="64"/>
        <v/>
      </c>
      <c r="K794" s="3"/>
      <c r="L794" s="3" t="str">
        <f t="shared" si="63"/>
        <v/>
      </c>
      <c r="N794" s="3" t="str">
        <f t="shared" si="62"/>
        <v/>
      </c>
      <c r="O794" s="6" t="str">
        <f t="shared" si="65"/>
        <v/>
      </c>
      <c r="P794" s="7">
        <f ca="1">SUMIFS($N$2:$N794,$B$2:$B794,"&lt;&gt;"&amp;B794)+SUM($Q$2:$Q794)</f>
        <v>135.05500000000001</v>
      </c>
      <c r="R794" t="b">
        <f>AND(ISNUMBER(FIND($E794,Tables!$I$2)), ISNUMBER(FIND($D794,Tables!$J$2)), $E794&lt;&gt;"")</f>
        <v>0</v>
      </c>
    </row>
    <row r="795" spans="1:18" x14ac:dyDescent="0.3">
      <c r="A795">
        <f t="shared" si="61"/>
        <v>778</v>
      </c>
      <c r="B795" s="4"/>
      <c r="I795" s="8"/>
      <c r="J795" s="5" t="str">
        <f t="shared" si="64"/>
        <v/>
      </c>
      <c r="K795" s="3"/>
      <c r="L795" s="3" t="str">
        <f t="shared" si="63"/>
        <v/>
      </c>
      <c r="N795" s="3" t="str">
        <f t="shared" si="62"/>
        <v/>
      </c>
      <c r="O795" s="6" t="str">
        <f t="shared" si="65"/>
        <v/>
      </c>
      <c r="P795" s="7">
        <f ca="1">SUMIFS($N$2:$N795,$B$2:$B795,"&lt;&gt;"&amp;B795)+SUM($Q$2:$Q795)</f>
        <v>135.05500000000001</v>
      </c>
      <c r="R795" t="b">
        <f>AND(ISNUMBER(FIND($E795,Tables!$I$2)), ISNUMBER(FIND($D795,Tables!$J$2)), $E795&lt;&gt;"")</f>
        <v>0</v>
      </c>
    </row>
    <row r="796" spans="1:18" x14ac:dyDescent="0.3">
      <c r="A796">
        <f t="shared" si="61"/>
        <v>779</v>
      </c>
      <c r="B796" s="4"/>
      <c r="I796" s="8"/>
      <c r="J796" s="5" t="str">
        <f t="shared" si="64"/>
        <v/>
      </c>
      <c r="K796" s="3"/>
      <c r="L796" s="3" t="str">
        <f t="shared" si="63"/>
        <v/>
      </c>
      <c r="N796" s="3" t="str">
        <f t="shared" si="62"/>
        <v/>
      </c>
      <c r="O796" s="6" t="str">
        <f t="shared" si="65"/>
        <v/>
      </c>
      <c r="P796" s="7">
        <f ca="1">SUMIFS($N$2:$N796,$B$2:$B796,"&lt;&gt;"&amp;B796)+SUM($Q$2:$Q796)</f>
        <v>135.05500000000001</v>
      </c>
      <c r="R796" t="b">
        <f>AND(ISNUMBER(FIND($E796,Tables!$I$2)), ISNUMBER(FIND($D796,Tables!$J$2)), $E796&lt;&gt;"")</f>
        <v>0</v>
      </c>
    </row>
    <row r="797" spans="1:18" x14ac:dyDescent="0.3">
      <c r="A797">
        <f t="shared" si="61"/>
        <v>780</v>
      </c>
      <c r="B797" s="4"/>
      <c r="I797" s="8"/>
      <c r="J797" s="5" t="str">
        <f t="shared" si="64"/>
        <v/>
      </c>
      <c r="K797" s="3"/>
      <c r="L797" s="3" t="str">
        <f t="shared" si="63"/>
        <v/>
      </c>
      <c r="N797" s="3" t="str">
        <f t="shared" si="62"/>
        <v/>
      </c>
      <c r="O797" s="6" t="str">
        <f t="shared" si="65"/>
        <v/>
      </c>
      <c r="P797" s="7">
        <f ca="1">SUMIFS($N$2:$N797,$B$2:$B797,"&lt;&gt;"&amp;B797)+SUM($Q$2:$Q797)</f>
        <v>135.05500000000001</v>
      </c>
      <c r="R797" t="b">
        <f>AND(ISNUMBER(FIND($E797,Tables!$I$2)), ISNUMBER(FIND($D797,Tables!$J$2)), $E797&lt;&gt;"")</f>
        <v>0</v>
      </c>
    </row>
    <row r="798" spans="1:18" x14ac:dyDescent="0.3">
      <c r="A798">
        <f t="shared" si="61"/>
        <v>781</v>
      </c>
      <c r="B798" s="4"/>
      <c r="I798" s="8"/>
      <c r="J798" s="5" t="str">
        <f t="shared" si="64"/>
        <v/>
      </c>
      <c r="K798" s="3"/>
      <c r="L798" s="3" t="str">
        <f t="shared" si="63"/>
        <v/>
      </c>
      <c r="N798" s="3" t="str">
        <f t="shared" si="62"/>
        <v/>
      </c>
      <c r="O798" s="6" t="str">
        <f t="shared" si="65"/>
        <v/>
      </c>
      <c r="P798" s="7">
        <f ca="1">SUMIFS($N$2:$N798,$B$2:$B798,"&lt;&gt;"&amp;B798)+SUM($Q$2:$Q798)</f>
        <v>135.05500000000001</v>
      </c>
      <c r="R798" t="b">
        <f>AND(ISNUMBER(FIND($E798,Tables!$I$2)), ISNUMBER(FIND($D798,Tables!$J$2)), $E798&lt;&gt;"")</f>
        <v>0</v>
      </c>
    </row>
    <row r="799" spans="1:18" x14ac:dyDescent="0.3">
      <c r="A799">
        <f t="shared" si="61"/>
        <v>782</v>
      </c>
      <c r="B799" s="4"/>
      <c r="I799" s="8"/>
      <c r="J799" s="5" t="str">
        <f t="shared" si="64"/>
        <v/>
      </c>
      <c r="K799" s="3"/>
      <c r="L799" s="3" t="str">
        <f t="shared" si="63"/>
        <v/>
      </c>
      <c r="N799" s="3" t="str">
        <f t="shared" si="62"/>
        <v/>
      </c>
      <c r="O799" s="6" t="str">
        <f t="shared" si="65"/>
        <v/>
      </c>
      <c r="P799" s="7">
        <f ca="1">SUMIFS($N$2:$N799,$B$2:$B799,"&lt;&gt;"&amp;B799)+SUM($Q$2:$Q799)</f>
        <v>135.05500000000001</v>
      </c>
      <c r="R799" t="b">
        <f>AND(ISNUMBER(FIND($E799,Tables!$I$2)), ISNUMBER(FIND($D799,Tables!$J$2)), $E799&lt;&gt;"")</f>
        <v>0</v>
      </c>
    </row>
    <row r="800" spans="1:18" x14ac:dyDescent="0.3">
      <c r="A800">
        <f t="shared" si="61"/>
        <v>783</v>
      </c>
      <c r="B800" s="4"/>
      <c r="I800" s="8"/>
      <c r="J800" s="5" t="str">
        <f t="shared" si="64"/>
        <v/>
      </c>
      <c r="K800" s="3"/>
      <c r="L800" s="3" t="str">
        <f t="shared" si="63"/>
        <v/>
      </c>
      <c r="N800" s="3" t="str">
        <f t="shared" si="62"/>
        <v/>
      </c>
      <c r="O800" s="6" t="str">
        <f t="shared" si="65"/>
        <v/>
      </c>
      <c r="P800" s="7">
        <f ca="1">SUMIFS($N$2:$N800,$B$2:$B800,"&lt;&gt;"&amp;B800)+SUM($Q$2:$Q800)</f>
        <v>135.05500000000001</v>
      </c>
      <c r="R800" t="b">
        <f>AND(ISNUMBER(FIND($E800,Tables!$I$2)), ISNUMBER(FIND($D800,Tables!$J$2)), $E800&lt;&gt;"")</f>
        <v>0</v>
      </c>
    </row>
    <row r="801" spans="1:18" x14ac:dyDescent="0.3">
      <c r="A801">
        <f t="shared" si="61"/>
        <v>784</v>
      </c>
      <c r="B801" s="4"/>
      <c r="I801" s="8"/>
      <c r="J801" s="5" t="str">
        <f t="shared" si="64"/>
        <v/>
      </c>
      <c r="K801" s="3"/>
      <c r="L801" s="3" t="str">
        <f t="shared" si="63"/>
        <v/>
      </c>
      <c r="N801" s="3" t="str">
        <f t="shared" si="62"/>
        <v/>
      </c>
      <c r="O801" s="6" t="str">
        <f t="shared" si="65"/>
        <v/>
      </c>
      <c r="P801" s="7">
        <f ca="1">SUMIFS($N$2:$N801,$B$2:$B801,"&lt;&gt;"&amp;B801)+SUM($Q$2:$Q801)</f>
        <v>135.05500000000001</v>
      </c>
      <c r="R801" t="b">
        <f>AND(ISNUMBER(FIND($E801,Tables!$I$2)), ISNUMBER(FIND($D801,Tables!$J$2)), $E801&lt;&gt;"")</f>
        <v>0</v>
      </c>
    </row>
    <row r="802" spans="1:18" x14ac:dyDescent="0.3">
      <c r="A802">
        <f t="shared" ref="A802:A865" si="66">IF(AND(B802="", D802&lt;&gt;""), A801, A801+1)</f>
        <v>785</v>
      </c>
      <c r="B802" s="4"/>
      <c r="I802" s="8"/>
      <c r="J802" s="5" t="str">
        <f t="shared" si="64"/>
        <v/>
      </c>
      <c r="K802" s="3"/>
      <c r="L802" s="3" t="str">
        <f t="shared" si="63"/>
        <v/>
      </c>
      <c r="N802" s="3" t="str">
        <f t="shared" si="62"/>
        <v/>
      </c>
      <c r="O802" s="6" t="str">
        <f t="shared" si="65"/>
        <v/>
      </c>
      <c r="P802" s="7">
        <f ca="1">SUMIFS($N$2:$N802,$B$2:$B802,"&lt;&gt;"&amp;B802)+SUM($Q$2:$Q802)</f>
        <v>135.05500000000001</v>
      </c>
      <c r="R802" t="b">
        <f>AND(ISNUMBER(FIND($E802,Tables!$I$2)), ISNUMBER(FIND($D802,Tables!$J$2)), $E802&lt;&gt;"")</f>
        <v>0</v>
      </c>
    </row>
    <row r="803" spans="1:18" x14ac:dyDescent="0.3">
      <c r="A803">
        <f t="shared" si="66"/>
        <v>786</v>
      </c>
      <c r="B803" s="4"/>
      <c r="I803" s="8"/>
      <c r="J803" s="5" t="str">
        <f t="shared" si="64"/>
        <v/>
      </c>
      <c r="K803" s="3"/>
      <c r="L803" s="3" t="str">
        <f t="shared" si="63"/>
        <v/>
      </c>
      <c r="N803" s="3" t="str">
        <f t="shared" si="62"/>
        <v/>
      </c>
      <c r="O803" s="6" t="str">
        <f t="shared" si="65"/>
        <v/>
      </c>
      <c r="P803" s="7">
        <f ca="1">SUMIFS($N$2:$N803,$B$2:$B803,"&lt;&gt;"&amp;B803)+SUM($Q$2:$Q803)</f>
        <v>135.05500000000001</v>
      </c>
      <c r="R803" t="b">
        <f>AND(ISNUMBER(FIND($E803,Tables!$I$2)), ISNUMBER(FIND($D803,Tables!$J$2)), $E803&lt;&gt;"")</f>
        <v>0</v>
      </c>
    </row>
    <row r="804" spans="1:18" x14ac:dyDescent="0.3">
      <c r="A804">
        <f t="shared" si="66"/>
        <v>787</v>
      </c>
      <c r="B804" s="4"/>
      <c r="I804" s="8"/>
      <c r="J804" s="5" t="str">
        <f t="shared" si="64"/>
        <v/>
      </c>
      <c r="K804" s="3"/>
      <c r="L804" s="3" t="str">
        <f t="shared" si="63"/>
        <v/>
      </c>
      <c r="N804" s="3" t="str">
        <f t="shared" si="62"/>
        <v/>
      </c>
      <c r="O804" s="6" t="str">
        <f t="shared" si="65"/>
        <v/>
      </c>
      <c r="P804" s="7">
        <f ca="1">SUMIFS($N$2:$N804,$B$2:$B804,"&lt;&gt;"&amp;B804)+SUM($Q$2:$Q804)</f>
        <v>135.05500000000001</v>
      </c>
      <c r="R804" t="b">
        <f>AND(ISNUMBER(FIND($E804,Tables!$I$2)), ISNUMBER(FIND($D804,Tables!$J$2)), $E804&lt;&gt;"")</f>
        <v>0</v>
      </c>
    </row>
    <row r="805" spans="1:18" x14ac:dyDescent="0.3">
      <c r="A805">
        <f t="shared" si="66"/>
        <v>788</v>
      </c>
      <c r="B805" s="4"/>
      <c r="I805" s="8"/>
      <c r="J805" s="5" t="str">
        <f t="shared" si="64"/>
        <v/>
      </c>
      <c r="K805" s="3"/>
      <c r="L805" s="3" t="str">
        <f t="shared" si="63"/>
        <v/>
      </c>
      <c r="N805" s="3" t="str">
        <f t="shared" si="62"/>
        <v/>
      </c>
      <c r="O805" s="6" t="str">
        <f t="shared" si="65"/>
        <v/>
      </c>
      <c r="P805" s="7">
        <f ca="1">SUMIFS($N$2:$N805,$B$2:$B805,"&lt;&gt;"&amp;B805)+SUM($Q$2:$Q805)</f>
        <v>135.05500000000001</v>
      </c>
      <c r="R805" t="b">
        <f>AND(ISNUMBER(FIND($E805,Tables!$I$2)), ISNUMBER(FIND($D805,Tables!$J$2)), $E805&lt;&gt;"")</f>
        <v>0</v>
      </c>
    </row>
    <row r="806" spans="1:18" x14ac:dyDescent="0.3">
      <c r="A806">
        <f t="shared" si="66"/>
        <v>789</v>
      </c>
      <c r="B806" s="4"/>
      <c r="I806" s="8"/>
      <c r="J806" s="5" t="str">
        <f t="shared" si="64"/>
        <v/>
      </c>
      <c r="K806" s="3"/>
      <c r="L806" s="3" t="str">
        <f t="shared" si="63"/>
        <v/>
      </c>
      <c r="N806" s="3" t="str">
        <f t="shared" si="62"/>
        <v/>
      </c>
      <c r="O806" s="6" t="str">
        <f t="shared" si="65"/>
        <v/>
      </c>
      <c r="P806" s="7">
        <f ca="1">SUMIFS($N$2:$N806,$B$2:$B806,"&lt;&gt;"&amp;B806)+SUM($Q$2:$Q806)</f>
        <v>135.05500000000001</v>
      </c>
      <c r="R806" t="b">
        <f>AND(ISNUMBER(FIND($E806,Tables!$I$2)), ISNUMBER(FIND($D806,Tables!$J$2)), $E806&lt;&gt;"")</f>
        <v>0</v>
      </c>
    </row>
    <row r="807" spans="1:18" x14ac:dyDescent="0.3">
      <c r="A807">
        <f t="shared" si="66"/>
        <v>790</v>
      </c>
      <c r="B807" s="4"/>
      <c r="I807" s="8"/>
      <c r="J807" s="5" t="str">
        <f t="shared" si="64"/>
        <v/>
      </c>
      <c r="K807" s="3"/>
      <c r="L807" s="3" t="str">
        <f t="shared" si="63"/>
        <v/>
      </c>
      <c r="N807" s="3" t="str">
        <f t="shared" si="62"/>
        <v/>
      </c>
      <c r="O807" s="6" t="str">
        <f t="shared" si="65"/>
        <v/>
      </c>
      <c r="P807" s="7">
        <f ca="1">SUMIFS($N$2:$N807,$B$2:$B807,"&lt;&gt;"&amp;B807)+SUM($Q$2:$Q807)</f>
        <v>135.05500000000001</v>
      </c>
      <c r="R807" t="b">
        <f>AND(ISNUMBER(FIND($E807,Tables!$I$2)), ISNUMBER(FIND($D807,Tables!$J$2)), $E807&lt;&gt;"")</f>
        <v>0</v>
      </c>
    </row>
    <row r="808" spans="1:18" x14ac:dyDescent="0.3">
      <c r="A808">
        <f t="shared" si="66"/>
        <v>791</v>
      </c>
      <c r="B808" s="4"/>
      <c r="I808" s="8"/>
      <c r="J808" s="5" t="str">
        <f t="shared" si="64"/>
        <v/>
      </c>
      <c r="K808" s="3"/>
      <c r="L808" s="3" t="str">
        <f t="shared" si="63"/>
        <v/>
      </c>
      <c r="N808" s="3" t="str">
        <f t="shared" ref="N808:N871" si="67">IF(L808 = "", "", IF(M808="", "", IF(OR(M808="Draw",M808="NC"), 0, IF(M808="win", L808, -1*K808))))</f>
        <v/>
      </c>
      <c r="O808" s="6" t="str">
        <f t="shared" si="65"/>
        <v/>
      </c>
      <c r="P808" s="7">
        <f ca="1">SUMIFS($N$2:$N808,$B$2:$B808,"&lt;&gt;"&amp;B808)+SUM($Q$2:$Q808)</f>
        <v>135.05500000000001</v>
      </c>
      <c r="R808" t="b">
        <f>AND(ISNUMBER(FIND($E808,Tables!$I$2)), ISNUMBER(FIND($D808,Tables!$J$2)), $E808&lt;&gt;"")</f>
        <v>0</v>
      </c>
    </row>
    <row r="809" spans="1:18" x14ac:dyDescent="0.3">
      <c r="A809">
        <f t="shared" si="66"/>
        <v>792</v>
      </c>
      <c r="B809" s="4"/>
      <c r="I809" s="8"/>
      <c r="J809" s="5" t="str">
        <f t="shared" si="64"/>
        <v/>
      </c>
      <c r="K809" s="3"/>
      <c r="L809" s="3" t="str">
        <f t="shared" si="63"/>
        <v/>
      </c>
      <c r="N809" s="3" t="str">
        <f t="shared" si="67"/>
        <v/>
      </c>
      <c r="O809" s="6" t="str">
        <f t="shared" si="65"/>
        <v/>
      </c>
      <c r="P809" s="7">
        <f ca="1">SUMIFS($N$2:$N809,$B$2:$B809,"&lt;&gt;"&amp;B809)+SUM($Q$2:$Q809)</f>
        <v>135.05500000000001</v>
      </c>
      <c r="R809" t="b">
        <f>AND(ISNUMBER(FIND($E809,Tables!$I$2)), ISNUMBER(FIND($D809,Tables!$J$2)), $E809&lt;&gt;"")</f>
        <v>0</v>
      </c>
    </row>
    <row r="810" spans="1:18" x14ac:dyDescent="0.3">
      <c r="A810">
        <f t="shared" si="66"/>
        <v>793</v>
      </c>
      <c r="B810" s="4"/>
      <c r="I810" s="8"/>
      <c r="J810" s="5" t="str">
        <f t="shared" si="64"/>
        <v/>
      </c>
      <c r="K810" s="3"/>
      <c r="L810" s="3" t="str">
        <f t="shared" si="63"/>
        <v/>
      </c>
      <c r="N810" s="3" t="str">
        <f t="shared" si="67"/>
        <v/>
      </c>
      <c r="O810" s="6" t="str">
        <f t="shared" si="65"/>
        <v/>
      </c>
      <c r="P810" s="7">
        <f ca="1">SUMIFS($N$2:$N810,$B$2:$B810,"&lt;&gt;"&amp;B810)+SUM($Q$2:$Q810)</f>
        <v>135.05500000000001</v>
      </c>
      <c r="R810" t="b">
        <f>AND(ISNUMBER(FIND($E810,Tables!$I$2)), ISNUMBER(FIND($D810,Tables!$J$2)), $E810&lt;&gt;"")</f>
        <v>0</v>
      </c>
    </row>
    <row r="811" spans="1:18" x14ac:dyDescent="0.3">
      <c r="A811">
        <f t="shared" si="66"/>
        <v>794</v>
      </c>
      <c r="B811" s="4"/>
      <c r="I811" s="8"/>
      <c r="J811" s="5" t="str">
        <f t="shared" si="64"/>
        <v/>
      </c>
      <c r="K811" s="3"/>
      <c r="L811" s="3" t="str">
        <f t="shared" si="63"/>
        <v/>
      </c>
      <c r="N811" s="3" t="str">
        <f t="shared" si="67"/>
        <v/>
      </c>
      <c r="O811" s="6" t="str">
        <f t="shared" si="65"/>
        <v/>
      </c>
      <c r="P811" s="7">
        <f ca="1">SUMIFS($N$2:$N811,$B$2:$B811,"&lt;&gt;"&amp;B811)+SUM($Q$2:$Q811)</f>
        <v>135.05500000000001</v>
      </c>
      <c r="R811" t="b">
        <f>AND(ISNUMBER(FIND($E811,Tables!$I$2)), ISNUMBER(FIND($D811,Tables!$J$2)), $E811&lt;&gt;"")</f>
        <v>0</v>
      </c>
    </row>
    <row r="812" spans="1:18" x14ac:dyDescent="0.3">
      <c r="A812">
        <f t="shared" si="66"/>
        <v>795</v>
      </c>
      <c r="B812" s="4"/>
      <c r="I812" s="8"/>
      <c r="J812" s="5" t="str">
        <f t="shared" si="64"/>
        <v/>
      </c>
      <c r="K812" s="3"/>
      <c r="L812" s="3" t="str">
        <f t="shared" si="63"/>
        <v/>
      </c>
      <c r="N812" s="3" t="str">
        <f t="shared" si="67"/>
        <v/>
      </c>
      <c r="O812" s="6" t="str">
        <f t="shared" si="65"/>
        <v/>
      </c>
      <c r="P812" s="7">
        <f ca="1">SUMIFS($N$2:$N812,$B$2:$B812,"&lt;&gt;"&amp;B812)+SUM($Q$2:$Q812)</f>
        <v>135.05500000000001</v>
      </c>
      <c r="R812" t="b">
        <f>AND(ISNUMBER(FIND($E812,Tables!$I$2)), ISNUMBER(FIND($D812,Tables!$J$2)), $E812&lt;&gt;"")</f>
        <v>0</v>
      </c>
    </row>
    <row r="813" spans="1:18" x14ac:dyDescent="0.3">
      <c r="A813">
        <f t="shared" si="66"/>
        <v>796</v>
      </c>
      <c r="B813" s="4"/>
      <c r="I813" s="8"/>
      <c r="J813" s="5" t="str">
        <f t="shared" si="64"/>
        <v/>
      </c>
      <c r="K813" s="3"/>
      <c r="L813" s="3" t="str">
        <f t="shared" si="63"/>
        <v/>
      </c>
      <c r="N813" s="3" t="str">
        <f t="shared" si="67"/>
        <v/>
      </c>
      <c r="O813" s="6" t="str">
        <f t="shared" si="65"/>
        <v/>
      </c>
      <c r="P813" s="7">
        <f ca="1">SUMIFS($N$2:$N813,$B$2:$B813,"&lt;&gt;"&amp;B813)+SUM($Q$2:$Q813)</f>
        <v>135.05500000000001</v>
      </c>
      <c r="R813" t="b">
        <f>AND(ISNUMBER(FIND($E813,Tables!$I$2)), ISNUMBER(FIND($D813,Tables!$J$2)), $E813&lt;&gt;"")</f>
        <v>0</v>
      </c>
    </row>
    <row r="814" spans="1:18" x14ac:dyDescent="0.3">
      <c r="A814">
        <f t="shared" si="66"/>
        <v>797</v>
      </c>
      <c r="B814" s="4"/>
      <c r="I814" s="8"/>
      <c r="J814" s="5" t="str">
        <f t="shared" si="64"/>
        <v/>
      </c>
      <c r="K814" s="3"/>
      <c r="L814" s="3" t="str">
        <f t="shared" si="63"/>
        <v/>
      </c>
      <c r="N814" s="3" t="str">
        <f t="shared" si="67"/>
        <v/>
      </c>
      <c r="O814" s="6" t="str">
        <f t="shared" si="65"/>
        <v/>
      </c>
      <c r="P814" s="7">
        <f ca="1">SUMIFS($N$2:$N814,$B$2:$B814,"&lt;&gt;"&amp;B814)+SUM($Q$2:$Q814)</f>
        <v>135.05500000000001</v>
      </c>
      <c r="R814" t="b">
        <f>AND(ISNUMBER(FIND($E814,Tables!$I$2)), ISNUMBER(FIND($D814,Tables!$J$2)), $E814&lt;&gt;"")</f>
        <v>0</v>
      </c>
    </row>
    <row r="815" spans="1:18" x14ac:dyDescent="0.3">
      <c r="A815">
        <f t="shared" si="66"/>
        <v>798</v>
      </c>
      <c r="B815" s="4"/>
      <c r="I815" s="8"/>
      <c r="J815" s="5" t="str">
        <f t="shared" si="64"/>
        <v/>
      </c>
      <c r="K815" s="3"/>
      <c r="L815" s="3" t="str">
        <f t="shared" si="63"/>
        <v/>
      </c>
      <c r="N815" s="3" t="str">
        <f t="shared" si="67"/>
        <v/>
      </c>
      <c r="O815" s="6" t="str">
        <f t="shared" si="65"/>
        <v/>
      </c>
      <c r="P815" s="7">
        <f ca="1">SUMIFS($N$2:$N815,$B$2:$B815,"&lt;&gt;"&amp;B815)+SUM($Q$2:$Q815)</f>
        <v>135.05500000000001</v>
      </c>
      <c r="R815" t="b">
        <f>AND(ISNUMBER(FIND($E815,Tables!$I$2)), ISNUMBER(FIND($D815,Tables!$J$2)), $E815&lt;&gt;"")</f>
        <v>0</v>
      </c>
    </row>
    <row r="816" spans="1:18" x14ac:dyDescent="0.3">
      <c r="A816">
        <f t="shared" si="66"/>
        <v>799</v>
      </c>
      <c r="B816" s="4"/>
      <c r="I816" s="8"/>
      <c r="J816" s="5" t="str">
        <f t="shared" si="64"/>
        <v/>
      </c>
      <c r="K816" s="3"/>
      <c r="L816" s="3" t="str">
        <f t="shared" si="63"/>
        <v/>
      </c>
      <c r="N816" s="3" t="str">
        <f t="shared" si="67"/>
        <v/>
      </c>
      <c r="O816" s="6" t="str">
        <f t="shared" si="65"/>
        <v/>
      </c>
      <c r="P816" s="7">
        <f ca="1">SUMIFS($N$2:$N816,$B$2:$B816,"&lt;&gt;"&amp;B816)+SUM($Q$2:$Q816)</f>
        <v>135.05500000000001</v>
      </c>
      <c r="R816" t="b">
        <f>AND(ISNUMBER(FIND($E816,Tables!$I$2)), ISNUMBER(FIND($D816,Tables!$J$2)), $E816&lt;&gt;"")</f>
        <v>0</v>
      </c>
    </row>
    <row r="817" spans="1:18" x14ac:dyDescent="0.3">
      <c r="A817">
        <f t="shared" si="66"/>
        <v>800</v>
      </c>
      <c r="B817" s="4"/>
      <c r="I817" s="8"/>
      <c r="J817" s="5" t="str">
        <f t="shared" si="64"/>
        <v/>
      </c>
      <c r="K817" s="3"/>
      <c r="L817" s="3" t="str">
        <f t="shared" si="63"/>
        <v/>
      </c>
      <c r="N817" s="3" t="str">
        <f t="shared" si="67"/>
        <v/>
      </c>
      <c r="O817" s="6" t="str">
        <f t="shared" si="65"/>
        <v/>
      </c>
      <c r="P817" s="7">
        <f ca="1">SUMIFS($N$2:$N817,$B$2:$B817,"&lt;&gt;"&amp;B817)+SUM($Q$2:$Q817)</f>
        <v>135.05500000000001</v>
      </c>
      <c r="R817" t="b">
        <f>AND(ISNUMBER(FIND($E817,Tables!$I$2)), ISNUMBER(FIND($D817,Tables!$J$2)), $E817&lt;&gt;"")</f>
        <v>0</v>
      </c>
    </row>
    <row r="818" spans="1:18" x14ac:dyDescent="0.3">
      <c r="A818">
        <f t="shared" si="66"/>
        <v>801</v>
      </c>
      <c r="B818" s="4"/>
      <c r="I818" s="8"/>
      <c r="J818" s="5" t="str">
        <f t="shared" si="64"/>
        <v/>
      </c>
      <c r="K818" s="3"/>
      <c r="L818" s="3" t="str">
        <f t="shared" ref="L818:L881" si="68">IFERROR(IF(K818=0, "", IF(I818&gt;0, K818/100*I818,K818/I818*-100)), "")</f>
        <v/>
      </c>
      <c r="N818" s="3" t="str">
        <f t="shared" si="67"/>
        <v/>
      </c>
      <c r="O818" s="6" t="str">
        <f t="shared" si="65"/>
        <v/>
      </c>
      <c r="P818" s="7">
        <f ca="1">SUMIFS($N$2:$N818,$B$2:$B818,"&lt;&gt;"&amp;B818)+SUM($Q$2:$Q818)</f>
        <v>135.05500000000001</v>
      </c>
      <c r="R818" t="b">
        <f>AND(ISNUMBER(FIND($E818,Tables!$I$2)), ISNUMBER(FIND($D818,Tables!$J$2)), $E818&lt;&gt;"")</f>
        <v>0</v>
      </c>
    </row>
    <row r="819" spans="1:18" x14ac:dyDescent="0.3">
      <c r="A819">
        <f t="shared" si="66"/>
        <v>802</v>
      </c>
      <c r="B819" s="4"/>
      <c r="I819" s="8"/>
      <c r="J819" s="5" t="str">
        <f t="shared" si="64"/>
        <v/>
      </c>
      <c r="K819" s="3"/>
      <c r="L819" s="3" t="str">
        <f t="shared" si="68"/>
        <v/>
      </c>
      <c r="N819" s="3" t="str">
        <f t="shared" si="67"/>
        <v/>
      </c>
      <c r="O819" s="6" t="str">
        <f t="shared" si="65"/>
        <v/>
      </c>
      <c r="P819" s="7">
        <f ca="1">SUMIFS($N$2:$N819,$B$2:$B819,"&lt;&gt;"&amp;B819)+SUM($Q$2:$Q819)</f>
        <v>135.05500000000001</v>
      </c>
      <c r="R819" t="b">
        <f>AND(ISNUMBER(FIND($E819,Tables!$I$2)), ISNUMBER(FIND($D819,Tables!$J$2)), $E819&lt;&gt;"")</f>
        <v>0</v>
      </c>
    </row>
    <row r="820" spans="1:18" x14ac:dyDescent="0.3">
      <c r="A820">
        <f t="shared" si="66"/>
        <v>803</v>
      </c>
      <c r="B820" s="4"/>
      <c r="I820" s="8"/>
      <c r="J820" s="5" t="str">
        <f t="shared" si="64"/>
        <v/>
      </c>
      <c r="K820" s="3"/>
      <c r="L820" s="3" t="str">
        <f t="shared" si="68"/>
        <v/>
      </c>
      <c r="N820" s="3" t="str">
        <f t="shared" si="67"/>
        <v/>
      </c>
      <c r="O820" s="6" t="str">
        <f t="shared" si="65"/>
        <v/>
      </c>
      <c r="P820" s="7">
        <f ca="1">SUMIFS($N$2:$N820,$B$2:$B820,"&lt;&gt;"&amp;B820)+SUM($Q$2:$Q820)</f>
        <v>135.05500000000001</v>
      </c>
      <c r="R820" t="b">
        <f>AND(ISNUMBER(FIND($E820,Tables!$I$2)), ISNUMBER(FIND($D820,Tables!$J$2)), $E820&lt;&gt;"")</f>
        <v>0</v>
      </c>
    </row>
    <row r="821" spans="1:18" x14ac:dyDescent="0.3">
      <c r="A821">
        <f t="shared" si="66"/>
        <v>804</v>
      </c>
      <c r="B821" s="4"/>
      <c r="I821" s="8"/>
      <c r="J821" s="5" t="str">
        <f t="shared" si="64"/>
        <v/>
      </c>
      <c r="K821" s="3"/>
      <c r="L821" s="3" t="str">
        <f t="shared" si="68"/>
        <v/>
      </c>
      <c r="N821" s="3" t="str">
        <f t="shared" si="67"/>
        <v/>
      </c>
      <c r="O821" s="6" t="str">
        <f t="shared" si="65"/>
        <v/>
      </c>
      <c r="P821" s="7">
        <f ca="1">SUMIFS($N$2:$N821,$B$2:$B821,"&lt;&gt;"&amp;B821)+SUM($Q$2:$Q821)</f>
        <v>135.05500000000001</v>
      </c>
      <c r="R821" t="b">
        <f>AND(ISNUMBER(FIND($E821,Tables!$I$2)), ISNUMBER(FIND($D821,Tables!$J$2)), $E821&lt;&gt;"")</f>
        <v>0</v>
      </c>
    </row>
    <row r="822" spans="1:18" x14ac:dyDescent="0.3">
      <c r="A822">
        <f t="shared" si="66"/>
        <v>805</v>
      </c>
      <c r="B822" s="4"/>
      <c r="I822" s="8"/>
      <c r="J822" s="5" t="str">
        <f t="shared" si="64"/>
        <v/>
      </c>
      <c r="K822" s="3"/>
      <c r="L822" s="3" t="str">
        <f t="shared" si="68"/>
        <v/>
      </c>
      <c r="N822" s="3" t="str">
        <f t="shared" si="67"/>
        <v/>
      </c>
      <c r="O822" s="6" t="str">
        <f t="shared" si="65"/>
        <v/>
      </c>
      <c r="P822" s="7">
        <f ca="1">SUMIFS($N$2:$N822,$B$2:$B822,"&lt;&gt;"&amp;B822)+SUM($Q$2:$Q822)</f>
        <v>135.05500000000001</v>
      </c>
      <c r="R822" t="b">
        <f>AND(ISNUMBER(FIND($E822,Tables!$I$2)), ISNUMBER(FIND($D822,Tables!$J$2)), $E822&lt;&gt;"")</f>
        <v>0</v>
      </c>
    </row>
    <row r="823" spans="1:18" x14ac:dyDescent="0.3">
      <c r="A823">
        <f t="shared" si="66"/>
        <v>806</v>
      </c>
      <c r="B823" s="4"/>
      <c r="I823" s="8"/>
      <c r="J823" s="5" t="str">
        <f t="shared" si="64"/>
        <v/>
      </c>
      <c r="K823" s="3"/>
      <c r="L823" s="3" t="str">
        <f t="shared" si="68"/>
        <v/>
      </c>
      <c r="N823" s="3" t="str">
        <f t="shared" si="67"/>
        <v/>
      </c>
      <c r="O823" s="6" t="str">
        <f t="shared" si="65"/>
        <v/>
      </c>
      <c r="P823" s="7">
        <f ca="1">SUMIFS($N$2:$N823,$B$2:$B823,"&lt;&gt;"&amp;B823)+SUM($Q$2:$Q823)</f>
        <v>135.05500000000001</v>
      </c>
      <c r="R823" t="b">
        <f>AND(ISNUMBER(FIND($E823,Tables!$I$2)), ISNUMBER(FIND($D823,Tables!$J$2)), $E823&lt;&gt;"")</f>
        <v>0</v>
      </c>
    </row>
    <row r="824" spans="1:18" x14ac:dyDescent="0.3">
      <c r="A824">
        <f t="shared" si="66"/>
        <v>807</v>
      </c>
      <c r="B824" s="4"/>
      <c r="I824" s="8"/>
      <c r="J824" s="5" t="str">
        <f t="shared" si="64"/>
        <v/>
      </c>
      <c r="K824" s="3"/>
      <c r="L824" s="3" t="str">
        <f t="shared" si="68"/>
        <v/>
      </c>
      <c r="N824" s="3" t="str">
        <f t="shared" si="67"/>
        <v/>
      </c>
      <c r="O824" s="6" t="str">
        <f t="shared" si="65"/>
        <v/>
      </c>
      <c r="P824" s="7">
        <f ca="1">SUMIFS($N$2:$N824,$B$2:$B824,"&lt;&gt;"&amp;B824)+SUM($Q$2:$Q824)</f>
        <v>135.05500000000001</v>
      </c>
      <c r="R824" t="b">
        <f>AND(ISNUMBER(FIND($E824,Tables!$I$2)), ISNUMBER(FIND($D824,Tables!$J$2)), $E824&lt;&gt;"")</f>
        <v>0</v>
      </c>
    </row>
    <row r="825" spans="1:18" x14ac:dyDescent="0.3">
      <c r="A825">
        <f t="shared" si="66"/>
        <v>808</v>
      </c>
      <c r="B825" s="4"/>
      <c r="I825" s="8"/>
      <c r="J825" s="5" t="str">
        <f t="shared" si="64"/>
        <v/>
      </c>
      <c r="K825" s="3"/>
      <c r="L825" s="3" t="str">
        <f t="shared" si="68"/>
        <v/>
      </c>
      <c r="N825" s="3" t="str">
        <f t="shared" si="67"/>
        <v/>
      </c>
      <c r="O825" s="6" t="str">
        <f t="shared" si="65"/>
        <v/>
      </c>
      <c r="P825" s="7">
        <f ca="1">SUMIFS($N$2:$N825,$B$2:$B825,"&lt;&gt;"&amp;B825)+SUM($Q$2:$Q825)</f>
        <v>135.05500000000001</v>
      </c>
      <c r="R825" t="b">
        <f>AND(ISNUMBER(FIND($E825,Tables!$I$2)), ISNUMBER(FIND($D825,Tables!$J$2)), $E825&lt;&gt;"")</f>
        <v>0</v>
      </c>
    </row>
    <row r="826" spans="1:18" x14ac:dyDescent="0.3">
      <c r="A826">
        <f t="shared" si="66"/>
        <v>809</v>
      </c>
      <c r="B826" s="4"/>
      <c r="I826" s="8"/>
      <c r="J826" s="5" t="str">
        <f t="shared" si="64"/>
        <v/>
      </c>
      <c r="K826" s="3"/>
      <c r="L826" s="3" t="str">
        <f t="shared" si="68"/>
        <v/>
      </c>
      <c r="N826" s="3" t="str">
        <f t="shared" si="67"/>
        <v/>
      </c>
      <c r="O826" s="6" t="str">
        <f t="shared" si="65"/>
        <v/>
      </c>
      <c r="P826" s="7">
        <f ca="1">SUMIFS($N$2:$N826,$B$2:$B826,"&lt;&gt;"&amp;B826)+SUM($Q$2:$Q826)</f>
        <v>135.05500000000001</v>
      </c>
      <c r="R826" t="b">
        <f>AND(ISNUMBER(FIND($E826,Tables!$I$2)), ISNUMBER(FIND($D826,Tables!$J$2)), $E826&lt;&gt;"")</f>
        <v>0</v>
      </c>
    </row>
    <row r="827" spans="1:18" x14ac:dyDescent="0.3">
      <c r="A827">
        <f t="shared" si="66"/>
        <v>810</v>
      </c>
      <c r="B827" s="4"/>
      <c r="I827" s="8"/>
      <c r="J827" s="5" t="str">
        <f t="shared" si="64"/>
        <v/>
      </c>
      <c r="K827" s="3"/>
      <c r="L827" s="3" t="str">
        <f t="shared" si="68"/>
        <v/>
      </c>
      <c r="N827" s="3" t="str">
        <f t="shared" si="67"/>
        <v/>
      </c>
      <c r="O827" s="6" t="str">
        <f t="shared" si="65"/>
        <v/>
      </c>
      <c r="P827" s="7">
        <f ca="1">SUMIFS($N$2:$N827,$B$2:$B827,"&lt;&gt;"&amp;B827)+SUM($Q$2:$Q827)</f>
        <v>135.05500000000001</v>
      </c>
      <c r="R827" t="b">
        <f>AND(ISNUMBER(FIND($E827,Tables!$I$2)), ISNUMBER(FIND($D827,Tables!$J$2)), $E827&lt;&gt;"")</f>
        <v>0</v>
      </c>
    </row>
    <row r="828" spans="1:18" x14ac:dyDescent="0.3">
      <c r="A828">
        <f t="shared" si="66"/>
        <v>811</v>
      </c>
      <c r="B828" s="4"/>
      <c r="I828" s="8"/>
      <c r="J828" s="5" t="str">
        <f t="shared" si="64"/>
        <v/>
      </c>
      <c r="K828" s="3"/>
      <c r="L828" s="3" t="str">
        <f t="shared" si="68"/>
        <v/>
      </c>
      <c r="N828" s="3" t="str">
        <f t="shared" si="67"/>
        <v/>
      </c>
      <c r="O828" s="6" t="str">
        <f t="shared" si="65"/>
        <v/>
      </c>
      <c r="P828" s="7">
        <f ca="1">SUMIFS($N$2:$N828,$B$2:$B828,"&lt;&gt;"&amp;B828)+SUM($Q$2:$Q828)</f>
        <v>135.05500000000001</v>
      </c>
      <c r="R828" t="b">
        <f>AND(ISNUMBER(FIND($E828,Tables!$I$2)), ISNUMBER(FIND($D828,Tables!$J$2)), $E828&lt;&gt;"")</f>
        <v>0</v>
      </c>
    </row>
    <row r="829" spans="1:18" x14ac:dyDescent="0.3">
      <c r="A829">
        <f t="shared" si="66"/>
        <v>812</v>
      </c>
      <c r="B829" s="4"/>
      <c r="I829" s="8"/>
      <c r="J829" s="5" t="str">
        <f t="shared" si="64"/>
        <v/>
      </c>
      <c r="K829" s="3"/>
      <c r="L829" s="3" t="str">
        <f t="shared" si="68"/>
        <v/>
      </c>
      <c r="N829" s="3" t="str">
        <f t="shared" si="67"/>
        <v/>
      </c>
      <c r="O829" s="6" t="str">
        <f t="shared" si="65"/>
        <v/>
      </c>
      <c r="P829" s="7">
        <f ca="1">SUMIFS($N$2:$N829,$B$2:$B829,"&lt;&gt;"&amp;B829)+SUM($Q$2:$Q829)</f>
        <v>135.05500000000001</v>
      </c>
      <c r="R829" t="b">
        <f>AND(ISNUMBER(FIND($E829,Tables!$I$2)), ISNUMBER(FIND($D829,Tables!$J$2)), $E829&lt;&gt;"")</f>
        <v>0</v>
      </c>
    </row>
    <row r="830" spans="1:18" x14ac:dyDescent="0.3">
      <c r="A830">
        <f t="shared" si="66"/>
        <v>813</v>
      </c>
      <c r="B830" s="4"/>
      <c r="I830" s="8"/>
      <c r="J830" s="5" t="str">
        <f t="shared" si="64"/>
        <v/>
      </c>
      <c r="K830" s="3"/>
      <c r="L830" s="3" t="str">
        <f t="shared" si="68"/>
        <v/>
      </c>
      <c r="N830" s="3" t="str">
        <f t="shared" si="67"/>
        <v/>
      </c>
      <c r="O830" s="6" t="str">
        <f t="shared" si="65"/>
        <v/>
      </c>
      <c r="P830" s="7">
        <f ca="1">SUMIFS($N$2:$N830,$B$2:$B830,"&lt;&gt;"&amp;B830)+SUM($Q$2:$Q830)</f>
        <v>135.05500000000001</v>
      </c>
      <c r="R830" t="b">
        <f>AND(ISNUMBER(FIND($E830,Tables!$I$2)), ISNUMBER(FIND($D830,Tables!$J$2)), $E830&lt;&gt;"")</f>
        <v>0</v>
      </c>
    </row>
    <row r="831" spans="1:18" x14ac:dyDescent="0.3">
      <c r="A831">
        <f t="shared" si="66"/>
        <v>814</v>
      </c>
      <c r="B831" s="4"/>
      <c r="I831" s="8"/>
      <c r="J831" s="5" t="str">
        <f t="shared" si="64"/>
        <v/>
      </c>
      <c r="K831" s="3"/>
      <c r="L831" s="3" t="str">
        <f t="shared" si="68"/>
        <v/>
      </c>
      <c r="N831" s="3" t="str">
        <f t="shared" si="67"/>
        <v/>
      </c>
      <c r="O831" s="6" t="str">
        <f t="shared" si="65"/>
        <v/>
      </c>
      <c r="P831" s="7">
        <f ca="1">SUMIFS($N$2:$N831,$B$2:$B831,"&lt;&gt;"&amp;B831)+SUM($Q$2:$Q831)</f>
        <v>135.05500000000001</v>
      </c>
      <c r="R831" t="b">
        <f>AND(ISNUMBER(FIND($E831,Tables!$I$2)), ISNUMBER(FIND($D831,Tables!$J$2)), $E831&lt;&gt;"")</f>
        <v>0</v>
      </c>
    </row>
    <row r="832" spans="1:18" x14ac:dyDescent="0.3">
      <c r="A832">
        <f t="shared" si="66"/>
        <v>815</v>
      </c>
      <c r="B832" s="4"/>
      <c r="I832" s="8"/>
      <c r="J832" s="5" t="str">
        <f t="shared" si="64"/>
        <v/>
      </c>
      <c r="K832" s="3"/>
      <c r="L832" s="3" t="str">
        <f t="shared" si="68"/>
        <v/>
      </c>
      <c r="N832" s="3" t="str">
        <f t="shared" si="67"/>
        <v/>
      </c>
      <c r="O832" s="6" t="str">
        <f t="shared" si="65"/>
        <v/>
      </c>
      <c r="P832" s="7">
        <f ca="1">SUMIFS($N$2:$N832,$B$2:$B832,"&lt;&gt;"&amp;B832)+SUM($Q$2:$Q832)</f>
        <v>135.05500000000001</v>
      </c>
      <c r="R832" t="b">
        <f>AND(ISNUMBER(FIND($E832,Tables!$I$2)), ISNUMBER(FIND($D832,Tables!$J$2)), $E832&lt;&gt;"")</f>
        <v>0</v>
      </c>
    </row>
    <row r="833" spans="1:18" x14ac:dyDescent="0.3">
      <c r="A833">
        <f t="shared" si="66"/>
        <v>816</v>
      </c>
      <c r="B833" s="4"/>
      <c r="I833" s="8"/>
      <c r="J833" s="5" t="str">
        <f t="shared" si="64"/>
        <v/>
      </c>
      <c r="K833" s="3"/>
      <c r="L833" s="3" t="str">
        <f t="shared" si="68"/>
        <v/>
      </c>
      <c r="N833" s="3" t="str">
        <f t="shared" si="67"/>
        <v/>
      </c>
      <c r="O833" s="6" t="str">
        <f t="shared" si="65"/>
        <v/>
      </c>
      <c r="P833" s="7">
        <f ca="1">SUMIFS($N$2:$N833,$B$2:$B833,"&lt;&gt;"&amp;B833)+SUM($Q$2:$Q833)</f>
        <v>135.05500000000001</v>
      </c>
      <c r="R833" t="b">
        <f>AND(ISNUMBER(FIND($E833,Tables!$I$2)), ISNUMBER(FIND($D833,Tables!$J$2)), $E833&lt;&gt;"")</f>
        <v>0</v>
      </c>
    </row>
    <row r="834" spans="1:18" x14ac:dyDescent="0.3">
      <c r="A834">
        <f t="shared" si="66"/>
        <v>817</v>
      </c>
      <c r="B834" s="4"/>
      <c r="I834" s="8"/>
      <c r="J834" s="5" t="str">
        <f t="shared" ref="J834:J897" si="69">IF(I834="", "", IF(I834&gt;0, I834/100 +1, -100/I834 +1))</f>
        <v/>
      </c>
      <c r="K834" s="3"/>
      <c r="L834" s="3" t="str">
        <f t="shared" si="68"/>
        <v/>
      </c>
      <c r="N834" s="3" t="str">
        <f t="shared" si="67"/>
        <v/>
      </c>
      <c r="O834" s="6" t="str">
        <f t="shared" ref="O834:O897" si="70">IFERROR(K834/VLOOKUP(_xlfn.MINIFS(A:A,B:B,B834,C:C,C834),A:P,16),"")</f>
        <v/>
      </c>
      <c r="P834" s="7">
        <f ca="1">SUMIFS($N$2:$N834,$B$2:$B834,"&lt;&gt;"&amp;B834)+SUM($Q$2:$Q834)</f>
        <v>135.05500000000001</v>
      </c>
      <c r="R834" t="b">
        <f>AND(ISNUMBER(FIND($E834,Tables!$I$2)), ISNUMBER(FIND($D834,Tables!$J$2)), $E834&lt;&gt;"")</f>
        <v>0</v>
      </c>
    </row>
    <row r="835" spans="1:18" x14ac:dyDescent="0.3">
      <c r="A835">
        <f t="shared" si="66"/>
        <v>818</v>
      </c>
      <c r="B835" s="4"/>
      <c r="I835" s="8"/>
      <c r="J835" s="5" t="str">
        <f t="shared" si="69"/>
        <v/>
      </c>
      <c r="K835" s="3"/>
      <c r="L835" s="3" t="str">
        <f t="shared" si="68"/>
        <v/>
      </c>
      <c r="N835" s="3" t="str">
        <f t="shared" si="67"/>
        <v/>
      </c>
      <c r="O835" s="6" t="str">
        <f t="shared" si="70"/>
        <v/>
      </c>
      <c r="P835" s="7">
        <f ca="1">SUMIFS($N$2:$N835,$B$2:$B835,"&lt;&gt;"&amp;B835)+SUM($Q$2:$Q835)</f>
        <v>135.05500000000001</v>
      </c>
      <c r="R835" t="b">
        <f>AND(ISNUMBER(FIND($E835,Tables!$I$2)), ISNUMBER(FIND($D835,Tables!$J$2)), $E835&lt;&gt;"")</f>
        <v>0</v>
      </c>
    </row>
    <row r="836" spans="1:18" x14ac:dyDescent="0.3">
      <c r="A836">
        <f t="shared" si="66"/>
        <v>819</v>
      </c>
      <c r="B836" s="4"/>
      <c r="I836" s="8"/>
      <c r="J836" s="5" t="str">
        <f t="shared" si="69"/>
        <v/>
      </c>
      <c r="K836" s="3"/>
      <c r="L836" s="3" t="str">
        <f t="shared" si="68"/>
        <v/>
      </c>
      <c r="N836" s="3" t="str">
        <f t="shared" si="67"/>
        <v/>
      </c>
      <c r="O836" s="6" t="str">
        <f t="shared" si="70"/>
        <v/>
      </c>
      <c r="P836" s="7">
        <f ca="1">SUMIFS($N$2:$N836,$B$2:$B836,"&lt;&gt;"&amp;B836)+SUM($Q$2:$Q836)</f>
        <v>135.05500000000001</v>
      </c>
      <c r="R836" t="b">
        <f>AND(ISNUMBER(FIND($E836,Tables!$I$2)), ISNUMBER(FIND($D836,Tables!$J$2)), $E836&lt;&gt;"")</f>
        <v>0</v>
      </c>
    </row>
    <row r="837" spans="1:18" x14ac:dyDescent="0.3">
      <c r="A837">
        <f t="shared" si="66"/>
        <v>820</v>
      </c>
      <c r="B837" s="4"/>
      <c r="I837" s="8"/>
      <c r="J837" s="5" t="str">
        <f t="shared" si="69"/>
        <v/>
      </c>
      <c r="K837" s="3"/>
      <c r="L837" s="3" t="str">
        <f t="shared" si="68"/>
        <v/>
      </c>
      <c r="N837" s="3" t="str">
        <f t="shared" si="67"/>
        <v/>
      </c>
      <c r="O837" s="6" t="str">
        <f t="shared" si="70"/>
        <v/>
      </c>
      <c r="P837" s="7">
        <f ca="1">SUMIFS($N$2:$N837,$B$2:$B837,"&lt;&gt;"&amp;B837)+SUM($Q$2:$Q837)</f>
        <v>135.05500000000001</v>
      </c>
      <c r="R837" t="b">
        <f>AND(ISNUMBER(FIND($E837,Tables!$I$2)), ISNUMBER(FIND($D837,Tables!$J$2)), $E837&lt;&gt;"")</f>
        <v>0</v>
      </c>
    </row>
    <row r="838" spans="1:18" x14ac:dyDescent="0.3">
      <c r="A838">
        <f t="shared" si="66"/>
        <v>821</v>
      </c>
      <c r="B838" s="4"/>
      <c r="I838" s="8"/>
      <c r="J838" s="5" t="str">
        <f t="shared" si="69"/>
        <v/>
      </c>
      <c r="K838" s="3"/>
      <c r="L838" s="3" t="str">
        <f t="shared" si="68"/>
        <v/>
      </c>
      <c r="N838" s="3" t="str">
        <f t="shared" si="67"/>
        <v/>
      </c>
      <c r="O838" s="6" t="str">
        <f t="shared" si="70"/>
        <v/>
      </c>
      <c r="P838" s="7">
        <f ca="1">SUMIFS($N$2:$N838,$B$2:$B838,"&lt;&gt;"&amp;B838)+SUM($Q$2:$Q838)</f>
        <v>135.05500000000001</v>
      </c>
      <c r="R838" t="b">
        <f>AND(ISNUMBER(FIND($E838,Tables!$I$2)), ISNUMBER(FIND($D838,Tables!$J$2)), $E838&lt;&gt;"")</f>
        <v>0</v>
      </c>
    </row>
    <row r="839" spans="1:18" x14ac:dyDescent="0.3">
      <c r="A839">
        <f t="shared" si="66"/>
        <v>822</v>
      </c>
      <c r="B839" s="4"/>
      <c r="I839" s="8"/>
      <c r="J839" s="5" t="str">
        <f t="shared" si="69"/>
        <v/>
      </c>
      <c r="K839" s="3"/>
      <c r="L839" s="3" t="str">
        <f t="shared" si="68"/>
        <v/>
      </c>
      <c r="N839" s="3" t="str">
        <f t="shared" si="67"/>
        <v/>
      </c>
      <c r="O839" s="6" t="str">
        <f t="shared" si="70"/>
        <v/>
      </c>
      <c r="P839" s="7">
        <f ca="1">SUMIFS($N$2:$N839,$B$2:$B839,"&lt;&gt;"&amp;B839)+SUM($Q$2:$Q839)</f>
        <v>135.05500000000001</v>
      </c>
      <c r="R839" t="b">
        <f>AND(ISNUMBER(FIND($E839,Tables!$I$2)), ISNUMBER(FIND($D839,Tables!$J$2)), $E839&lt;&gt;"")</f>
        <v>0</v>
      </c>
    </row>
    <row r="840" spans="1:18" x14ac:dyDescent="0.3">
      <c r="A840">
        <f t="shared" si="66"/>
        <v>823</v>
      </c>
      <c r="B840" s="4"/>
      <c r="I840" s="8"/>
      <c r="J840" s="5" t="str">
        <f t="shared" si="69"/>
        <v/>
      </c>
      <c r="K840" s="3"/>
      <c r="L840" s="3" t="str">
        <f t="shared" si="68"/>
        <v/>
      </c>
      <c r="N840" s="3" t="str">
        <f t="shared" si="67"/>
        <v/>
      </c>
      <c r="O840" s="6" t="str">
        <f t="shared" si="70"/>
        <v/>
      </c>
      <c r="P840" s="7">
        <f ca="1">SUMIFS($N$2:$N840,$B$2:$B840,"&lt;&gt;"&amp;B840)+SUM($Q$2:$Q840)</f>
        <v>135.05500000000001</v>
      </c>
      <c r="R840" t="b">
        <f>AND(ISNUMBER(FIND($E840,Tables!$I$2)), ISNUMBER(FIND($D840,Tables!$J$2)), $E840&lt;&gt;"")</f>
        <v>0</v>
      </c>
    </row>
    <row r="841" spans="1:18" x14ac:dyDescent="0.3">
      <c r="A841">
        <f t="shared" si="66"/>
        <v>824</v>
      </c>
      <c r="B841" s="4"/>
      <c r="I841" s="8"/>
      <c r="J841" s="5" t="str">
        <f t="shared" si="69"/>
        <v/>
      </c>
      <c r="K841" s="3"/>
      <c r="L841" s="3" t="str">
        <f t="shared" si="68"/>
        <v/>
      </c>
      <c r="N841" s="3" t="str">
        <f t="shared" si="67"/>
        <v/>
      </c>
      <c r="O841" s="6" t="str">
        <f t="shared" si="70"/>
        <v/>
      </c>
      <c r="P841" s="7">
        <f ca="1">SUMIFS($N$2:$N841,$B$2:$B841,"&lt;&gt;"&amp;B841)+SUM($Q$2:$Q841)</f>
        <v>135.05500000000001</v>
      </c>
      <c r="R841" t="b">
        <f>AND(ISNUMBER(FIND($E841,Tables!$I$2)), ISNUMBER(FIND($D841,Tables!$J$2)), $E841&lt;&gt;"")</f>
        <v>0</v>
      </c>
    </row>
    <row r="842" spans="1:18" x14ac:dyDescent="0.3">
      <c r="A842">
        <f t="shared" si="66"/>
        <v>825</v>
      </c>
      <c r="B842" s="4"/>
      <c r="I842" s="8"/>
      <c r="J842" s="5" t="str">
        <f t="shared" si="69"/>
        <v/>
      </c>
      <c r="K842" s="3"/>
      <c r="L842" s="3" t="str">
        <f t="shared" si="68"/>
        <v/>
      </c>
      <c r="N842" s="3" t="str">
        <f t="shared" si="67"/>
        <v/>
      </c>
      <c r="O842" s="6" t="str">
        <f t="shared" si="70"/>
        <v/>
      </c>
      <c r="P842" s="7">
        <f ca="1">SUMIFS($N$2:$N842,$B$2:$B842,"&lt;&gt;"&amp;B842)+SUM($Q$2:$Q842)</f>
        <v>135.05500000000001</v>
      </c>
      <c r="R842" t="b">
        <f>AND(ISNUMBER(FIND($E842,Tables!$I$2)), ISNUMBER(FIND($D842,Tables!$J$2)), $E842&lt;&gt;"")</f>
        <v>0</v>
      </c>
    </row>
    <row r="843" spans="1:18" x14ac:dyDescent="0.3">
      <c r="A843">
        <f t="shared" si="66"/>
        <v>826</v>
      </c>
      <c r="B843" s="4"/>
      <c r="I843" s="8"/>
      <c r="J843" s="5" t="str">
        <f t="shared" si="69"/>
        <v/>
      </c>
      <c r="K843" s="3"/>
      <c r="L843" s="3" t="str">
        <f t="shared" si="68"/>
        <v/>
      </c>
      <c r="N843" s="3" t="str">
        <f t="shared" si="67"/>
        <v/>
      </c>
      <c r="O843" s="6" t="str">
        <f t="shared" si="70"/>
        <v/>
      </c>
      <c r="P843" s="7">
        <f ca="1">SUMIFS($N$2:$N843,$B$2:$B843,"&lt;&gt;"&amp;B843)+SUM($Q$2:$Q843)</f>
        <v>135.05500000000001</v>
      </c>
      <c r="R843" t="b">
        <f>AND(ISNUMBER(FIND($E843,Tables!$I$2)), ISNUMBER(FIND($D843,Tables!$J$2)), $E843&lt;&gt;"")</f>
        <v>0</v>
      </c>
    </row>
    <row r="844" spans="1:18" x14ac:dyDescent="0.3">
      <c r="A844">
        <f t="shared" si="66"/>
        <v>827</v>
      </c>
      <c r="B844" s="4"/>
      <c r="I844" s="8"/>
      <c r="J844" s="5" t="str">
        <f t="shared" si="69"/>
        <v/>
      </c>
      <c r="K844" s="3"/>
      <c r="L844" s="3" t="str">
        <f t="shared" si="68"/>
        <v/>
      </c>
      <c r="N844" s="3" t="str">
        <f t="shared" si="67"/>
        <v/>
      </c>
      <c r="O844" s="6" t="str">
        <f t="shared" si="70"/>
        <v/>
      </c>
      <c r="P844" s="7">
        <f ca="1">SUMIFS($N$2:$N844,$B$2:$B844,"&lt;&gt;"&amp;B844)+SUM($Q$2:$Q844)</f>
        <v>135.05500000000001</v>
      </c>
      <c r="R844" t="b">
        <f>AND(ISNUMBER(FIND($E844,Tables!$I$2)), ISNUMBER(FIND($D844,Tables!$J$2)), $E844&lt;&gt;"")</f>
        <v>0</v>
      </c>
    </row>
    <row r="845" spans="1:18" x14ac:dyDescent="0.3">
      <c r="A845">
        <f t="shared" si="66"/>
        <v>828</v>
      </c>
      <c r="B845" s="4"/>
      <c r="I845" s="8"/>
      <c r="J845" s="5" t="str">
        <f t="shared" si="69"/>
        <v/>
      </c>
      <c r="K845" s="3"/>
      <c r="L845" s="3" t="str">
        <f t="shared" si="68"/>
        <v/>
      </c>
      <c r="N845" s="3" t="str">
        <f t="shared" si="67"/>
        <v/>
      </c>
      <c r="O845" s="6" t="str">
        <f t="shared" si="70"/>
        <v/>
      </c>
      <c r="P845" s="7">
        <f ca="1">SUMIFS($N$2:$N845,$B$2:$B845,"&lt;&gt;"&amp;B845)+SUM($Q$2:$Q845)</f>
        <v>135.05500000000001</v>
      </c>
      <c r="R845" t="b">
        <f>AND(ISNUMBER(FIND($E845,Tables!$I$2)), ISNUMBER(FIND($D845,Tables!$J$2)), $E845&lt;&gt;"")</f>
        <v>0</v>
      </c>
    </row>
    <row r="846" spans="1:18" x14ac:dyDescent="0.3">
      <c r="A846">
        <f t="shared" si="66"/>
        <v>829</v>
      </c>
      <c r="B846" s="4"/>
      <c r="I846" s="8"/>
      <c r="J846" s="5" t="str">
        <f t="shared" si="69"/>
        <v/>
      </c>
      <c r="K846" s="3"/>
      <c r="L846" s="3" t="str">
        <f t="shared" si="68"/>
        <v/>
      </c>
      <c r="N846" s="3" t="str">
        <f t="shared" si="67"/>
        <v/>
      </c>
      <c r="O846" s="6" t="str">
        <f t="shared" si="70"/>
        <v/>
      </c>
      <c r="P846" s="7">
        <f ca="1">SUMIFS($N$2:$N846,$B$2:$B846,"&lt;&gt;"&amp;B846)+SUM($Q$2:$Q846)</f>
        <v>135.05500000000001</v>
      </c>
      <c r="R846" t="b">
        <f>AND(ISNUMBER(FIND($E846,Tables!$I$2)), ISNUMBER(FIND($D846,Tables!$J$2)), $E846&lt;&gt;"")</f>
        <v>0</v>
      </c>
    </row>
    <row r="847" spans="1:18" x14ac:dyDescent="0.3">
      <c r="A847">
        <f t="shared" si="66"/>
        <v>830</v>
      </c>
      <c r="B847" s="4"/>
      <c r="I847" s="8"/>
      <c r="J847" s="5" t="str">
        <f t="shared" si="69"/>
        <v/>
      </c>
      <c r="K847" s="3"/>
      <c r="L847" s="3" t="str">
        <f t="shared" si="68"/>
        <v/>
      </c>
      <c r="N847" s="3" t="str">
        <f t="shared" si="67"/>
        <v/>
      </c>
      <c r="O847" s="6" t="str">
        <f t="shared" si="70"/>
        <v/>
      </c>
      <c r="P847" s="7">
        <f ca="1">SUMIFS($N$2:$N847,$B$2:$B847,"&lt;&gt;"&amp;B847)+SUM($Q$2:$Q847)</f>
        <v>135.05500000000001</v>
      </c>
      <c r="R847" t="b">
        <f>AND(ISNUMBER(FIND($E847,Tables!$I$2)), ISNUMBER(FIND($D847,Tables!$J$2)), $E847&lt;&gt;"")</f>
        <v>0</v>
      </c>
    </row>
    <row r="848" spans="1:18" x14ac:dyDescent="0.3">
      <c r="A848">
        <f t="shared" si="66"/>
        <v>831</v>
      </c>
      <c r="B848" s="4"/>
      <c r="I848" s="8"/>
      <c r="J848" s="5" t="str">
        <f t="shared" si="69"/>
        <v/>
      </c>
      <c r="K848" s="3"/>
      <c r="L848" s="3" t="str">
        <f t="shared" si="68"/>
        <v/>
      </c>
      <c r="N848" s="3" t="str">
        <f t="shared" si="67"/>
        <v/>
      </c>
      <c r="O848" s="6" t="str">
        <f t="shared" si="70"/>
        <v/>
      </c>
      <c r="P848" s="7">
        <f ca="1">SUMIFS($N$2:$N848,$B$2:$B848,"&lt;&gt;"&amp;B848)+SUM($Q$2:$Q848)</f>
        <v>135.05500000000001</v>
      </c>
      <c r="R848" t="b">
        <f>AND(ISNUMBER(FIND($E848,Tables!$I$2)), ISNUMBER(FIND($D848,Tables!$J$2)), $E848&lt;&gt;"")</f>
        <v>0</v>
      </c>
    </row>
    <row r="849" spans="1:18" x14ac:dyDescent="0.3">
      <c r="A849">
        <f t="shared" si="66"/>
        <v>832</v>
      </c>
      <c r="B849" s="4"/>
      <c r="I849" s="8"/>
      <c r="J849" s="5" t="str">
        <f t="shared" si="69"/>
        <v/>
      </c>
      <c r="K849" s="3"/>
      <c r="L849" s="3" t="str">
        <f t="shared" si="68"/>
        <v/>
      </c>
      <c r="N849" s="3" t="str">
        <f t="shared" si="67"/>
        <v/>
      </c>
      <c r="O849" s="6" t="str">
        <f t="shared" si="70"/>
        <v/>
      </c>
      <c r="P849" s="7">
        <f ca="1">SUMIFS($N$2:$N849,$B$2:$B849,"&lt;&gt;"&amp;B849)+SUM($Q$2:$Q849)</f>
        <v>135.05500000000001</v>
      </c>
      <c r="R849" t="b">
        <f>AND(ISNUMBER(FIND($E849,Tables!$I$2)), ISNUMBER(FIND($D849,Tables!$J$2)), $E849&lt;&gt;"")</f>
        <v>0</v>
      </c>
    </row>
    <row r="850" spans="1:18" x14ac:dyDescent="0.3">
      <c r="A850">
        <f t="shared" si="66"/>
        <v>833</v>
      </c>
      <c r="B850" s="4"/>
      <c r="I850" s="8"/>
      <c r="J850" s="5" t="str">
        <f t="shared" si="69"/>
        <v/>
      </c>
      <c r="K850" s="3"/>
      <c r="L850" s="3" t="str">
        <f t="shared" si="68"/>
        <v/>
      </c>
      <c r="N850" s="3" t="str">
        <f t="shared" si="67"/>
        <v/>
      </c>
      <c r="O850" s="6" t="str">
        <f t="shared" si="70"/>
        <v/>
      </c>
      <c r="P850" s="7">
        <f ca="1">SUMIFS($N$2:$N850,$B$2:$B850,"&lt;&gt;"&amp;B850)+SUM($Q$2:$Q850)</f>
        <v>135.05500000000001</v>
      </c>
      <c r="R850" t="b">
        <f>AND(ISNUMBER(FIND($E850,Tables!$I$2)), ISNUMBER(FIND($D850,Tables!$J$2)), $E850&lt;&gt;"")</f>
        <v>0</v>
      </c>
    </row>
    <row r="851" spans="1:18" x14ac:dyDescent="0.3">
      <c r="A851">
        <f t="shared" si="66"/>
        <v>834</v>
      </c>
      <c r="B851" s="4"/>
      <c r="I851" s="8"/>
      <c r="J851" s="5" t="str">
        <f t="shared" si="69"/>
        <v/>
      </c>
      <c r="K851" s="3"/>
      <c r="L851" s="3" t="str">
        <f t="shared" si="68"/>
        <v/>
      </c>
      <c r="N851" s="3" t="str">
        <f t="shared" si="67"/>
        <v/>
      </c>
      <c r="O851" s="6" t="str">
        <f t="shared" si="70"/>
        <v/>
      </c>
      <c r="P851" s="7">
        <f ca="1">SUMIFS($N$2:$N851,$B$2:$B851,"&lt;&gt;"&amp;B851)+SUM($Q$2:$Q851)</f>
        <v>135.05500000000001</v>
      </c>
      <c r="R851" t="b">
        <f>AND(ISNUMBER(FIND($E851,Tables!$I$2)), ISNUMBER(FIND($D851,Tables!$J$2)), $E851&lt;&gt;"")</f>
        <v>0</v>
      </c>
    </row>
    <row r="852" spans="1:18" x14ac:dyDescent="0.3">
      <c r="A852">
        <f t="shared" si="66"/>
        <v>835</v>
      </c>
      <c r="B852" s="4"/>
      <c r="I852" s="8"/>
      <c r="J852" s="5" t="str">
        <f t="shared" si="69"/>
        <v/>
      </c>
      <c r="K852" s="3"/>
      <c r="L852" s="3" t="str">
        <f t="shared" si="68"/>
        <v/>
      </c>
      <c r="N852" s="3" t="str">
        <f t="shared" si="67"/>
        <v/>
      </c>
      <c r="O852" s="6" t="str">
        <f t="shared" si="70"/>
        <v/>
      </c>
      <c r="P852" s="7">
        <f ca="1">SUMIFS($N$2:$N852,$B$2:$B852,"&lt;&gt;"&amp;B852)+SUM($Q$2:$Q852)</f>
        <v>135.05500000000001</v>
      </c>
      <c r="R852" t="b">
        <f>AND(ISNUMBER(FIND($E852,Tables!$I$2)), ISNUMBER(FIND($D852,Tables!$J$2)), $E852&lt;&gt;"")</f>
        <v>0</v>
      </c>
    </row>
    <row r="853" spans="1:18" x14ac:dyDescent="0.3">
      <c r="A853">
        <f t="shared" si="66"/>
        <v>836</v>
      </c>
      <c r="B853" s="4"/>
      <c r="I853" s="8"/>
      <c r="J853" s="5" t="str">
        <f t="shared" si="69"/>
        <v/>
      </c>
      <c r="K853" s="3"/>
      <c r="L853" s="3" t="str">
        <f t="shared" si="68"/>
        <v/>
      </c>
      <c r="N853" s="3" t="str">
        <f t="shared" si="67"/>
        <v/>
      </c>
      <c r="O853" s="6" t="str">
        <f t="shared" si="70"/>
        <v/>
      </c>
      <c r="P853" s="7">
        <f ca="1">SUMIFS($N$2:$N853,$B$2:$B853,"&lt;&gt;"&amp;B853)+SUM($Q$2:$Q853)</f>
        <v>135.05500000000001</v>
      </c>
      <c r="R853" t="b">
        <f>AND(ISNUMBER(FIND($E853,Tables!$I$2)), ISNUMBER(FIND($D853,Tables!$J$2)), $E853&lt;&gt;"")</f>
        <v>0</v>
      </c>
    </row>
    <row r="854" spans="1:18" x14ac:dyDescent="0.3">
      <c r="A854">
        <f t="shared" si="66"/>
        <v>837</v>
      </c>
      <c r="B854" s="4"/>
      <c r="I854" s="8"/>
      <c r="J854" s="5" t="str">
        <f t="shared" si="69"/>
        <v/>
      </c>
      <c r="K854" s="3"/>
      <c r="L854" s="3" t="str">
        <f t="shared" si="68"/>
        <v/>
      </c>
      <c r="N854" s="3" t="str">
        <f t="shared" si="67"/>
        <v/>
      </c>
      <c r="O854" s="6" t="str">
        <f t="shared" si="70"/>
        <v/>
      </c>
      <c r="P854" s="7">
        <f ca="1">SUMIFS($N$2:$N854,$B$2:$B854,"&lt;&gt;"&amp;B854)+SUM($Q$2:$Q854)</f>
        <v>135.05500000000001</v>
      </c>
      <c r="R854" t="b">
        <f>AND(ISNUMBER(FIND($E854,Tables!$I$2)), ISNUMBER(FIND($D854,Tables!$J$2)), $E854&lt;&gt;"")</f>
        <v>0</v>
      </c>
    </row>
    <row r="855" spans="1:18" x14ac:dyDescent="0.3">
      <c r="A855">
        <f t="shared" si="66"/>
        <v>838</v>
      </c>
      <c r="B855" s="4"/>
      <c r="I855" s="8"/>
      <c r="J855" s="5" t="str">
        <f t="shared" si="69"/>
        <v/>
      </c>
      <c r="K855" s="3"/>
      <c r="L855" s="3" t="str">
        <f t="shared" si="68"/>
        <v/>
      </c>
      <c r="N855" s="3" t="str">
        <f t="shared" si="67"/>
        <v/>
      </c>
      <c r="O855" s="6" t="str">
        <f t="shared" si="70"/>
        <v/>
      </c>
      <c r="P855" s="7">
        <f ca="1">SUMIFS($N$2:$N855,$B$2:$B855,"&lt;&gt;"&amp;B855)+SUM($Q$2:$Q855)</f>
        <v>135.05500000000001</v>
      </c>
      <c r="R855" t="b">
        <f>AND(ISNUMBER(FIND($E855,Tables!$I$2)), ISNUMBER(FIND($D855,Tables!$J$2)), $E855&lt;&gt;"")</f>
        <v>0</v>
      </c>
    </row>
    <row r="856" spans="1:18" x14ac:dyDescent="0.3">
      <c r="A856">
        <f t="shared" si="66"/>
        <v>839</v>
      </c>
      <c r="B856" s="4"/>
      <c r="I856" s="8"/>
      <c r="J856" s="5" t="str">
        <f t="shared" si="69"/>
        <v/>
      </c>
      <c r="K856" s="3"/>
      <c r="L856" s="3" t="str">
        <f t="shared" si="68"/>
        <v/>
      </c>
      <c r="N856" s="3" t="str">
        <f t="shared" si="67"/>
        <v/>
      </c>
      <c r="O856" s="6" t="str">
        <f t="shared" si="70"/>
        <v/>
      </c>
      <c r="P856" s="7">
        <f ca="1">SUMIFS($N$2:$N856,$B$2:$B856,"&lt;&gt;"&amp;B856)+SUM($Q$2:$Q856)</f>
        <v>135.05500000000001</v>
      </c>
      <c r="R856" t="b">
        <f>AND(ISNUMBER(FIND($E856,Tables!$I$2)), ISNUMBER(FIND($D856,Tables!$J$2)), $E856&lt;&gt;"")</f>
        <v>0</v>
      </c>
    </row>
    <row r="857" spans="1:18" x14ac:dyDescent="0.3">
      <c r="A857">
        <f t="shared" si="66"/>
        <v>840</v>
      </c>
      <c r="B857" s="4"/>
      <c r="I857" s="8"/>
      <c r="J857" s="5" t="str">
        <f t="shared" si="69"/>
        <v/>
      </c>
      <c r="K857" s="3"/>
      <c r="L857" s="3" t="str">
        <f t="shared" si="68"/>
        <v/>
      </c>
      <c r="N857" s="3" t="str">
        <f t="shared" si="67"/>
        <v/>
      </c>
      <c r="O857" s="6" t="str">
        <f t="shared" si="70"/>
        <v/>
      </c>
      <c r="P857" s="7">
        <f ca="1">SUMIFS($N$2:$N857,$B$2:$B857,"&lt;&gt;"&amp;B857)+SUM($Q$2:$Q857)</f>
        <v>135.05500000000001</v>
      </c>
      <c r="R857" t="b">
        <f>AND(ISNUMBER(FIND($E857,Tables!$I$2)), ISNUMBER(FIND($D857,Tables!$J$2)), $E857&lt;&gt;"")</f>
        <v>0</v>
      </c>
    </row>
    <row r="858" spans="1:18" x14ac:dyDescent="0.3">
      <c r="A858">
        <f t="shared" si="66"/>
        <v>841</v>
      </c>
      <c r="B858" s="4"/>
      <c r="I858" s="8"/>
      <c r="J858" s="5" t="str">
        <f t="shared" si="69"/>
        <v/>
      </c>
      <c r="K858" s="3"/>
      <c r="L858" s="3" t="str">
        <f t="shared" si="68"/>
        <v/>
      </c>
      <c r="N858" s="3" t="str">
        <f t="shared" si="67"/>
        <v/>
      </c>
      <c r="O858" s="6" t="str">
        <f t="shared" si="70"/>
        <v/>
      </c>
      <c r="P858" s="7">
        <f ca="1">SUMIFS($N$2:$N858,$B$2:$B858,"&lt;&gt;"&amp;B858)+SUM($Q$2:$Q858)</f>
        <v>135.05500000000001</v>
      </c>
      <c r="R858" t="b">
        <f>AND(ISNUMBER(FIND($E858,Tables!$I$2)), ISNUMBER(FIND($D858,Tables!$J$2)), $E858&lt;&gt;"")</f>
        <v>0</v>
      </c>
    </row>
    <row r="859" spans="1:18" x14ac:dyDescent="0.3">
      <c r="A859">
        <f t="shared" si="66"/>
        <v>842</v>
      </c>
      <c r="B859" s="4"/>
      <c r="I859" s="8"/>
      <c r="J859" s="5" t="str">
        <f t="shared" si="69"/>
        <v/>
      </c>
      <c r="K859" s="3"/>
      <c r="L859" s="3" t="str">
        <f t="shared" si="68"/>
        <v/>
      </c>
      <c r="N859" s="3" t="str">
        <f t="shared" si="67"/>
        <v/>
      </c>
      <c r="O859" s="6" t="str">
        <f t="shared" si="70"/>
        <v/>
      </c>
      <c r="P859" s="7">
        <f ca="1">SUMIFS($N$2:$N859,$B$2:$B859,"&lt;&gt;"&amp;B859)+SUM($Q$2:$Q859)</f>
        <v>135.05500000000001</v>
      </c>
      <c r="R859" t="b">
        <f>AND(ISNUMBER(FIND($E859,Tables!$I$2)), ISNUMBER(FIND($D859,Tables!$J$2)), $E859&lt;&gt;"")</f>
        <v>0</v>
      </c>
    </row>
    <row r="860" spans="1:18" x14ac:dyDescent="0.3">
      <c r="A860">
        <f t="shared" si="66"/>
        <v>843</v>
      </c>
      <c r="B860" s="4"/>
      <c r="I860" s="8"/>
      <c r="J860" s="5" t="str">
        <f t="shared" si="69"/>
        <v/>
      </c>
      <c r="K860" s="3"/>
      <c r="L860" s="3" t="str">
        <f t="shared" si="68"/>
        <v/>
      </c>
      <c r="N860" s="3" t="str">
        <f t="shared" si="67"/>
        <v/>
      </c>
      <c r="O860" s="6" t="str">
        <f t="shared" si="70"/>
        <v/>
      </c>
      <c r="P860" s="7">
        <f ca="1">SUMIFS($N$2:$N860,$B$2:$B860,"&lt;&gt;"&amp;B860)+SUM($Q$2:$Q860)</f>
        <v>135.05500000000001</v>
      </c>
      <c r="R860" t="b">
        <f>AND(ISNUMBER(FIND($E860,Tables!$I$2)), ISNUMBER(FIND($D860,Tables!$J$2)), $E860&lt;&gt;"")</f>
        <v>0</v>
      </c>
    </row>
    <row r="861" spans="1:18" x14ac:dyDescent="0.3">
      <c r="A861">
        <f t="shared" si="66"/>
        <v>844</v>
      </c>
      <c r="B861" s="4"/>
      <c r="I861" s="8"/>
      <c r="J861" s="5" t="str">
        <f t="shared" si="69"/>
        <v/>
      </c>
      <c r="K861" s="3"/>
      <c r="L861" s="3" t="str">
        <f t="shared" si="68"/>
        <v/>
      </c>
      <c r="N861" s="3" t="str">
        <f t="shared" si="67"/>
        <v/>
      </c>
      <c r="O861" s="6" t="str">
        <f t="shared" si="70"/>
        <v/>
      </c>
      <c r="P861" s="7">
        <f ca="1">SUMIFS($N$2:$N861,$B$2:$B861,"&lt;&gt;"&amp;B861)+SUM($Q$2:$Q861)</f>
        <v>135.05500000000001</v>
      </c>
      <c r="R861" t="b">
        <f>AND(ISNUMBER(FIND($E861,Tables!$I$2)), ISNUMBER(FIND($D861,Tables!$J$2)), $E861&lt;&gt;"")</f>
        <v>0</v>
      </c>
    </row>
    <row r="862" spans="1:18" x14ac:dyDescent="0.3">
      <c r="A862">
        <f t="shared" si="66"/>
        <v>845</v>
      </c>
      <c r="B862" s="4"/>
      <c r="I862" s="8"/>
      <c r="J862" s="5" t="str">
        <f t="shared" si="69"/>
        <v/>
      </c>
      <c r="K862" s="3"/>
      <c r="L862" s="3" t="str">
        <f t="shared" si="68"/>
        <v/>
      </c>
      <c r="N862" s="3" t="str">
        <f t="shared" si="67"/>
        <v/>
      </c>
      <c r="O862" s="6" t="str">
        <f t="shared" si="70"/>
        <v/>
      </c>
      <c r="P862" s="7">
        <f ca="1">SUMIFS($N$2:$N862,$B$2:$B862,"&lt;&gt;"&amp;B862)+SUM($Q$2:$Q862)</f>
        <v>135.05500000000001</v>
      </c>
      <c r="R862" t="b">
        <f>AND(ISNUMBER(FIND($E862,Tables!$I$2)), ISNUMBER(FIND($D862,Tables!$J$2)), $E862&lt;&gt;"")</f>
        <v>0</v>
      </c>
    </row>
    <row r="863" spans="1:18" x14ac:dyDescent="0.3">
      <c r="A863">
        <f t="shared" si="66"/>
        <v>846</v>
      </c>
      <c r="B863" s="4"/>
      <c r="I863" s="8"/>
      <c r="J863" s="5" t="str">
        <f t="shared" si="69"/>
        <v/>
      </c>
      <c r="K863" s="3"/>
      <c r="L863" s="3" t="str">
        <f t="shared" si="68"/>
        <v/>
      </c>
      <c r="N863" s="3" t="str">
        <f t="shared" si="67"/>
        <v/>
      </c>
      <c r="O863" s="6" t="str">
        <f t="shared" si="70"/>
        <v/>
      </c>
      <c r="P863" s="7">
        <f ca="1">SUMIFS($N$2:$N863,$B$2:$B863,"&lt;&gt;"&amp;B863)+SUM($Q$2:$Q863)</f>
        <v>135.05500000000001</v>
      </c>
      <c r="R863" t="b">
        <f>AND(ISNUMBER(FIND($E863,Tables!$I$2)), ISNUMBER(FIND($D863,Tables!$J$2)), $E863&lt;&gt;"")</f>
        <v>0</v>
      </c>
    </row>
    <row r="864" spans="1:18" x14ac:dyDescent="0.3">
      <c r="A864">
        <f t="shared" si="66"/>
        <v>847</v>
      </c>
      <c r="B864" s="4"/>
      <c r="I864" s="8"/>
      <c r="J864" s="5" t="str">
        <f t="shared" si="69"/>
        <v/>
      </c>
      <c r="K864" s="3"/>
      <c r="L864" s="3" t="str">
        <f t="shared" si="68"/>
        <v/>
      </c>
      <c r="N864" s="3" t="str">
        <f t="shared" si="67"/>
        <v/>
      </c>
      <c r="O864" s="6" t="str">
        <f t="shared" si="70"/>
        <v/>
      </c>
      <c r="P864" s="7">
        <f ca="1">SUMIFS($N$2:$N864,$B$2:$B864,"&lt;&gt;"&amp;B864)+SUM($Q$2:$Q864)</f>
        <v>135.05500000000001</v>
      </c>
      <c r="R864" t="b">
        <f>AND(ISNUMBER(FIND($E864,Tables!$I$2)), ISNUMBER(FIND($D864,Tables!$J$2)), $E864&lt;&gt;"")</f>
        <v>0</v>
      </c>
    </row>
    <row r="865" spans="1:18" x14ac:dyDescent="0.3">
      <c r="A865">
        <f t="shared" si="66"/>
        <v>848</v>
      </c>
      <c r="B865" s="4"/>
      <c r="I865" s="8"/>
      <c r="J865" s="5" t="str">
        <f t="shared" si="69"/>
        <v/>
      </c>
      <c r="K865" s="3"/>
      <c r="L865" s="3" t="str">
        <f t="shared" si="68"/>
        <v/>
      </c>
      <c r="N865" s="3" t="str">
        <f t="shared" si="67"/>
        <v/>
      </c>
      <c r="O865" s="6" t="str">
        <f t="shared" si="70"/>
        <v/>
      </c>
      <c r="P865" s="7">
        <f ca="1">SUMIFS($N$2:$N865,$B$2:$B865,"&lt;&gt;"&amp;B865)+SUM($Q$2:$Q865)</f>
        <v>135.05500000000001</v>
      </c>
      <c r="R865" t="b">
        <f>AND(ISNUMBER(FIND($E865,Tables!$I$2)), ISNUMBER(FIND($D865,Tables!$J$2)), $E865&lt;&gt;"")</f>
        <v>0</v>
      </c>
    </row>
    <row r="866" spans="1:18" x14ac:dyDescent="0.3">
      <c r="A866">
        <f t="shared" ref="A866:A929" si="71">IF(AND(B866="", D866&lt;&gt;""), A865, A865+1)</f>
        <v>849</v>
      </c>
      <c r="B866" s="4"/>
      <c r="I866" s="8"/>
      <c r="J866" s="5" t="str">
        <f t="shared" si="69"/>
        <v/>
      </c>
      <c r="K866" s="3"/>
      <c r="L866" s="3" t="str">
        <f t="shared" si="68"/>
        <v/>
      </c>
      <c r="N866" s="3" t="str">
        <f t="shared" si="67"/>
        <v/>
      </c>
      <c r="O866" s="6" t="str">
        <f t="shared" si="70"/>
        <v/>
      </c>
      <c r="P866" s="7">
        <f ca="1">SUMIFS($N$2:$N866,$B$2:$B866,"&lt;&gt;"&amp;B866)+SUM($Q$2:$Q866)</f>
        <v>135.05500000000001</v>
      </c>
      <c r="R866" t="b">
        <f>AND(ISNUMBER(FIND($E866,Tables!$I$2)), ISNUMBER(FIND($D866,Tables!$J$2)), $E866&lt;&gt;"")</f>
        <v>0</v>
      </c>
    </row>
    <row r="867" spans="1:18" x14ac:dyDescent="0.3">
      <c r="A867">
        <f t="shared" si="71"/>
        <v>850</v>
      </c>
      <c r="B867" s="4"/>
      <c r="I867" s="8"/>
      <c r="J867" s="5" t="str">
        <f t="shared" si="69"/>
        <v/>
      </c>
      <c r="K867" s="3"/>
      <c r="L867" s="3" t="str">
        <f t="shared" si="68"/>
        <v/>
      </c>
      <c r="N867" s="3" t="str">
        <f t="shared" si="67"/>
        <v/>
      </c>
      <c r="O867" s="6" t="str">
        <f t="shared" si="70"/>
        <v/>
      </c>
      <c r="P867" s="7">
        <f ca="1">SUMIFS($N$2:$N867,$B$2:$B867,"&lt;&gt;"&amp;B867)+SUM($Q$2:$Q867)</f>
        <v>135.05500000000001</v>
      </c>
      <c r="R867" t="b">
        <f>AND(ISNUMBER(FIND($E867,Tables!$I$2)), ISNUMBER(FIND($D867,Tables!$J$2)), $E867&lt;&gt;"")</f>
        <v>0</v>
      </c>
    </row>
    <row r="868" spans="1:18" x14ac:dyDescent="0.3">
      <c r="A868">
        <f t="shared" si="71"/>
        <v>851</v>
      </c>
      <c r="B868" s="4"/>
      <c r="I868" s="8"/>
      <c r="J868" s="5" t="str">
        <f t="shared" si="69"/>
        <v/>
      </c>
      <c r="K868" s="3"/>
      <c r="L868" s="3" t="str">
        <f t="shared" si="68"/>
        <v/>
      </c>
      <c r="N868" s="3" t="str">
        <f t="shared" si="67"/>
        <v/>
      </c>
      <c r="O868" s="6" t="str">
        <f t="shared" si="70"/>
        <v/>
      </c>
      <c r="P868" s="7">
        <f ca="1">SUMIFS($N$2:$N868,$B$2:$B868,"&lt;&gt;"&amp;B868)+SUM($Q$2:$Q868)</f>
        <v>135.05500000000001</v>
      </c>
      <c r="R868" t="b">
        <f>AND(ISNUMBER(FIND($E868,Tables!$I$2)), ISNUMBER(FIND($D868,Tables!$J$2)), $E868&lt;&gt;"")</f>
        <v>0</v>
      </c>
    </row>
    <row r="869" spans="1:18" x14ac:dyDescent="0.3">
      <c r="A869">
        <f t="shared" si="71"/>
        <v>852</v>
      </c>
      <c r="B869" s="4"/>
      <c r="I869" s="8"/>
      <c r="J869" s="5" t="str">
        <f t="shared" si="69"/>
        <v/>
      </c>
      <c r="K869" s="3"/>
      <c r="L869" s="3" t="str">
        <f t="shared" si="68"/>
        <v/>
      </c>
      <c r="N869" s="3" t="str">
        <f t="shared" si="67"/>
        <v/>
      </c>
      <c r="O869" s="6" t="str">
        <f t="shared" si="70"/>
        <v/>
      </c>
      <c r="P869" s="7">
        <f ca="1">SUMIFS($N$2:$N869,$B$2:$B869,"&lt;&gt;"&amp;B869)+SUM($Q$2:$Q869)</f>
        <v>135.05500000000001</v>
      </c>
      <c r="R869" t="b">
        <f>AND(ISNUMBER(FIND($E869,Tables!$I$2)), ISNUMBER(FIND($D869,Tables!$J$2)), $E869&lt;&gt;"")</f>
        <v>0</v>
      </c>
    </row>
    <row r="870" spans="1:18" x14ac:dyDescent="0.3">
      <c r="A870">
        <f t="shared" si="71"/>
        <v>853</v>
      </c>
      <c r="B870" s="4"/>
      <c r="I870" s="8"/>
      <c r="J870" s="5" t="str">
        <f t="shared" si="69"/>
        <v/>
      </c>
      <c r="K870" s="3"/>
      <c r="L870" s="3" t="str">
        <f t="shared" si="68"/>
        <v/>
      </c>
      <c r="N870" s="3" t="str">
        <f t="shared" si="67"/>
        <v/>
      </c>
      <c r="O870" s="6" t="str">
        <f t="shared" si="70"/>
        <v/>
      </c>
      <c r="P870" s="7">
        <f ca="1">SUMIFS($N$2:$N870,$B$2:$B870,"&lt;&gt;"&amp;B870)+SUM($Q$2:$Q870)</f>
        <v>135.05500000000001</v>
      </c>
      <c r="R870" t="b">
        <f>AND(ISNUMBER(FIND($E870,Tables!$I$2)), ISNUMBER(FIND($D870,Tables!$J$2)), $E870&lt;&gt;"")</f>
        <v>0</v>
      </c>
    </row>
    <row r="871" spans="1:18" x14ac:dyDescent="0.3">
      <c r="A871">
        <f t="shared" si="71"/>
        <v>854</v>
      </c>
      <c r="B871" s="4"/>
      <c r="I871" s="8"/>
      <c r="J871" s="5" t="str">
        <f t="shared" si="69"/>
        <v/>
      </c>
      <c r="K871" s="3"/>
      <c r="L871" s="3" t="str">
        <f t="shared" si="68"/>
        <v/>
      </c>
      <c r="N871" s="3" t="str">
        <f t="shared" si="67"/>
        <v/>
      </c>
      <c r="O871" s="6" t="str">
        <f t="shared" si="70"/>
        <v/>
      </c>
      <c r="P871" s="7">
        <f ca="1">SUMIFS($N$2:$N871,$B$2:$B871,"&lt;&gt;"&amp;B871)+SUM($Q$2:$Q871)</f>
        <v>135.05500000000001</v>
      </c>
      <c r="R871" t="b">
        <f>AND(ISNUMBER(FIND($E871,Tables!$I$2)), ISNUMBER(FIND($D871,Tables!$J$2)), $E871&lt;&gt;"")</f>
        <v>0</v>
      </c>
    </row>
    <row r="872" spans="1:18" x14ac:dyDescent="0.3">
      <c r="A872">
        <f t="shared" si="71"/>
        <v>855</v>
      </c>
      <c r="B872" s="4"/>
      <c r="I872" s="8"/>
      <c r="J872" s="5" t="str">
        <f t="shared" si="69"/>
        <v/>
      </c>
      <c r="K872" s="3"/>
      <c r="L872" s="3" t="str">
        <f t="shared" si="68"/>
        <v/>
      </c>
      <c r="N872" s="3" t="str">
        <f t="shared" ref="N872:N935" si="72">IF(L872 = "", "", IF(M872="", "", IF(OR(M872="Draw",M872="NC"), 0, IF(M872="win", L872, -1*K872))))</f>
        <v/>
      </c>
      <c r="O872" s="6" t="str">
        <f t="shared" si="70"/>
        <v/>
      </c>
      <c r="P872" s="7">
        <f ca="1">SUMIFS($N$2:$N872,$B$2:$B872,"&lt;&gt;"&amp;B872)+SUM($Q$2:$Q872)</f>
        <v>135.05500000000001</v>
      </c>
      <c r="R872" t="b">
        <f>AND(ISNUMBER(FIND($E872,Tables!$I$2)), ISNUMBER(FIND($D872,Tables!$J$2)), $E872&lt;&gt;"")</f>
        <v>0</v>
      </c>
    </row>
    <row r="873" spans="1:18" x14ac:dyDescent="0.3">
      <c r="A873">
        <f t="shared" si="71"/>
        <v>856</v>
      </c>
      <c r="B873" s="4"/>
      <c r="I873" s="8"/>
      <c r="J873" s="5" t="str">
        <f t="shared" si="69"/>
        <v/>
      </c>
      <c r="K873" s="3"/>
      <c r="L873" s="3" t="str">
        <f t="shared" si="68"/>
        <v/>
      </c>
      <c r="N873" s="3" t="str">
        <f t="shared" si="72"/>
        <v/>
      </c>
      <c r="O873" s="6" t="str">
        <f t="shared" si="70"/>
        <v/>
      </c>
      <c r="P873" s="7">
        <f ca="1">SUMIFS($N$2:$N873,$B$2:$B873,"&lt;&gt;"&amp;B873)+SUM($Q$2:$Q873)</f>
        <v>135.05500000000001</v>
      </c>
      <c r="R873" t="b">
        <f>AND(ISNUMBER(FIND($E873,Tables!$I$2)), ISNUMBER(FIND($D873,Tables!$J$2)), $E873&lt;&gt;"")</f>
        <v>0</v>
      </c>
    </row>
    <row r="874" spans="1:18" x14ac:dyDescent="0.3">
      <c r="A874">
        <f t="shared" si="71"/>
        <v>857</v>
      </c>
      <c r="B874" s="4"/>
      <c r="I874" s="8"/>
      <c r="J874" s="5" t="str">
        <f t="shared" si="69"/>
        <v/>
      </c>
      <c r="K874" s="3"/>
      <c r="L874" s="3" t="str">
        <f t="shared" si="68"/>
        <v/>
      </c>
      <c r="N874" s="3" t="str">
        <f t="shared" si="72"/>
        <v/>
      </c>
      <c r="O874" s="6" t="str">
        <f t="shared" si="70"/>
        <v/>
      </c>
      <c r="P874" s="7">
        <f ca="1">SUMIFS($N$2:$N874,$B$2:$B874,"&lt;&gt;"&amp;B874)+SUM($Q$2:$Q874)</f>
        <v>135.05500000000001</v>
      </c>
      <c r="R874" t="b">
        <f>AND(ISNUMBER(FIND($E874,Tables!$I$2)), ISNUMBER(FIND($D874,Tables!$J$2)), $E874&lt;&gt;"")</f>
        <v>0</v>
      </c>
    </row>
    <row r="875" spans="1:18" x14ac:dyDescent="0.3">
      <c r="A875">
        <f t="shared" si="71"/>
        <v>858</v>
      </c>
      <c r="B875" s="4"/>
      <c r="I875" s="8"/>
      <c r="J875" s="5" t="str">
        <f t="shared" si="69"/>
        <v/>
      </c>
      <c r="K875" s="3"/>
      <c r="L875" s="3" t="str">
        <f t="shared" si="68"/>
        <v/>
      </c>
      <c r="N875" s="3" t="str">
        <f t="shared" si="72"/>
        <v/>
      </c>
      <c r="O875" s="6" t="str">
        <f t="shared" si="70"/>
        <v/>
      </c>
      <c r="P875" s="7">
        <f ca="1">SUMIFS($N$2:$N875,$B$2:$B875,"&lt;&gt;"&amp;B875)+SUM($Q$2:$Q875)</f>
        <v>135.05500000000001</v>
      </c>
      <c r="R875" t="b">
        <f>AND(ISNUMBER(FIND($E875,Tables!$I$2)), ISNUMBER(FIND($D875,Tables!$J$2)), $E875&lt;&gt;"")</f>
        <v>0</v>
      </c>
    </row>
    <row r="876" spans="1:18" x14ac:dyDescent="0.3">
      <c r="A876">
        <f t="shared" si="71"/>
        <v>859</v>
      </c>
      <c r="B876" s="4"/>
      <c r="I876" s="8"/>
      <c r="J876" s="5" t="str">
        <f t="shared" si="69"/>
        <v/>
      </c>
      <c r="K876" s="3"/>
      <c r="L876" s="3" t="str">
        <f t="shared" si="68"/>
        <v/>
      </c>
      <c r="N876" s="3" t="str">
        <f t="shared" si="72"/>
        <v/>
      </c>
      <c r="O876" s="6" t="str">
        <f t="shared" si="70"/>
        <v/>
      </c>
      <c r="P876" s="7">
        <f ca="1">SUMIFS($N$2:$N876,$B$2:$B876,"&lt;&gt;"&amp;B876)+SUM($Q$2:$Q876)</f>
        <v>135.05500000000001</v>
      </c>
      <c r="R876" t="b">
        <f>AND(ISNUMBER(FIND($E876,Tables!$I$2)), ISNUMBER(FIND($D876,Tables!$J$2)), $E876&lt;&gt;"")</f>
        <v>0</v>
      </c>
    </row>
    <row r="877" spans="1:18" x14ac:dyDescent="0.3">
      <c r="A877">
        <f t="shared" si="71"/>
        <v>860</v>
      </c>
      <c r="B877" s="4"/>
      <c r="I877" s="8"/>
      <c r="J877" s="5" t="str">
        <f t="shared" si="69"/>
        <v/>
      </c>
      <c r="K877" s="3"/>
      <c r="L877" s="3" t="str">
        <f t="shared" si="68"/>
        <v/>
      </c>
      <c r="N877" s="3" t="str">
        <f t="shared" si="72"/>
        <v/>
      </c>
      <c r="O877" s="6" t="str">
        <f t="shared" si="70"/>
        <v/>
      </c>
      <c r="P877" s="7">
        <f ca="1">SUMIFS($N$2:$N877,$B$2:$B877,"&lt;&gt;"&amp;B877)+SUM($Q$2:$Q877)</f>
        <v>135.05500000000001</v>
      </c>
      <c r="R877" t="b">
        <f>AND(ISNUMBER(FIND($E877,Tables!$I$2)), ISNUMBER(FIND($D877,Tables!$J$2)), $E877&lt;&gt;"")</f>
        <v>0</v>
      </c>
    </row>
    <row r="878" spans="1:18" x14ac:dyDescent="0.3">
      <c r="A878">
        <f t="shared" si="71"/>
        <v>861</v>
      </c>
      <c r="B878" s="4"/>
      <c r="I878" s="8"/>
      <c r="J878" s="5" t="str">
        <f t="shared" si="69"/>
        <v/>
      </c>
      <c r="K878" s="3"/>
      <c r="L878" s="3" t="str">
        <f t="shared" si="68"/>
        <v/>
      </c>
      <c r="N878" s="3" t="str">
        <f t="shared" si="72"/>
        <v/>
      </c>
      <c r="O878" s="6" t="str">
        <f t="shared" si="70"/>
        <v/>
      </c>
      <c r="P878" s="7">
        <f ca="1">SUMIFS($N$2:$N878,$B$2:$B878,"&lt;&gt;"&amp;B878)+SUM($Q$2:$Q878)</f>
        <v>135.05500000000001</v>
      </c>
      <c r="R878" t="b">
        <f>AND(ISNUMBER(FIND($E878,Tables!$I$2)), ISNUMBER(FIND($D878,Tables!$J$2)), $E878&lt;&gt;"")</f>
        <v>0</v>
      </c>
    </row>
    <row r="879" spans="1:18" x14ac:dyDescent="0.3">
      <c r="A879">
        <f t="shared" si="71"/>
        <v>862</v>
      </c>
      <c r="B879" s="4"/>
      <c r="I879" s="8"/>
      <c r="J879" s="5" t="str">
        <f t="shared" si="69"/>
        <v/>
      </c>
      <c r="K879" s="3"/>
      <c r="L879" s="3" t="str">
        <f t="shared" si="68"/>
        <v/>
      </c>
      <c r="N879" s="3" t="str">
        <f t="shared" si="72"/>
        <v/>
      </c>
      <c r="O879" s="6" t="str">
        <f t="shared" si="70"/>
        <v/>
      </c>
      <c r="P879" s="7">
        <f ca="1">SUMIFS($N$2:$N879,$B$2:$B879,"&lt;&gt;"&amp;B879)+SUM($Q$2:$Q879)</f>
        <v>135.05500000000001</v>
      </c>
      <c r="R879" t="b">
        <f>AND(ISNUMBER(FIND($E879,Tables!$I$2)), ISNUMBER(FIND($D879,Tables!$J$2)), $E879&lt;&gt;"")</f>
        <v>0</v>
      </c>
    </row>
    <row r="880" spans="1:18" x14ac:dyDescent="0.3">
      <c r="A880">
        <f t="shared" si="71"/>
        <v>863</v>
      </c>
      <c r="B880" s="4"/>
      <c r="I880" s="8"/>
      <c r="J880" s="5" t="str">
        <f t="shared" si="69"/>
        <v/>
      </c>
      <c r="K880" s="3"/>
      <c r="L880" s="3" t="str">
        <f t="shared" si="68"/>
        <v/>
      </c>
      <c r="N880" s="3" t="str">
        <f t="shared" si="72"/>
        <v/>
      </c>
      <c r="O880" s="6" t="str">
        <f t="shared" si="70"/>
        <v/>
      </c>
      <c r="P880" s="7">
        <f ca="1">SUMIFS($N$2:$N880,$B$2:$B880,"&lt;&gt;"&amp;B880)+SUM($Q$2:$Q880)</f>
        <v>135.05500000000001</v>
      </c>
      <c r="R880" t="b">
        <f>AND(ISNUMBER(FIND($E880,Tables!$I$2)), ISNUMBER(FIND($D880,Tables!$J$2)), $E880&lt;&gt;"")</f>
        <v>0</v>
      </c>
    </row>
    <row r="881" spans="1:18" x14ac:dyDescent="0.3">
      <c r="A881">
        <f t="shared" si="71"/>
        <v>864</v>
      </c>
      <c r="B881" s="4"/>
      <c r="I881" s="8"/>
      <c r="J881" s="5" t="str">
        <f t="shared" si="69"/>
        <v/>
      </c>
      <c r="K881" s="3"/>
      <c r="L881" s="3" t="str">
        <f t="shared" si="68"/>
        <v/>
      </c>
      <c r="N881" s="3" t="str">
        <f t="shared" si="72"/>
        <v/>
      </c>
      <c r="O881" s="6" t="str">
        <f t="shared" si="70"/>
        <v/>
      </c>
      <c r="P881" s="7">
        <f ca="1">SUMIFS($N$2:$N881,$B$2:$B881,"&lt;&gt;"&amp;B881)+SUM($Q$2:$Q881)</f>
        <v>135.05500000000001</v>
      </c>
      <c r="R881" t="b">
        <f>AND(ISNUMBER(FIND($E881,Tables!$I$2)), ISNUMBER(FIND($D881,Tables!$J$2)), $E881&lt;&gt;"")</f>
        <v>0</v>
      </c>
    </row>
    <row r="882" spans="1:18" x14ac:dyDescent="0.3">
      <c r="A882">
        <f t="shared" si="71"/>
        <v>865</v>
      </c>
      <c r="B882" s="4"/>
      <c r="I882" s="8"/>
      <c r="J882" s="5" t="str">
        <f t="shared" si="69"/>
        <v/>
      </c>
      <c r="K882" s="3"/>
      <c r="L882" s="3" t="str">
        <f t="shared" ref="L882:L945" si="73">IFERROR(IF(K882=0, "", IF(I882&gt;0, K882/100*I882,K882/I882*-100)), "")</f>
        <v/>
      </c>
      <c r="N882" s="3" t="str">
        <f t="shared" si="72"/>
        <v/>
      </c>
      <c r="O882" s="6" t="str">
        <f t="shared" si="70"/>
        <v/>
      </c>
      <c r="P882" s="7">
        <f ca="1">SUMIFS($N$2:$N882,$B$2:$B882,"&lt;&gt;"&amp;B882)+SUM($Q$2:$Q882)</f>
        <v>135.05500000000001</v>
      </c>
      <c r="R882" t="b">
        <f>AND(ISNUMBER(FIND($E882,Tables!$I$2)), ISNUMBER(FIND($D882,Tables!$J$2)), $E882&lt;&gt;"")</f>
        <v>0</v>
      </c>
    </row>
    <row r="883" spans="1:18" x14ac:dyDescent="0.3">
      <c r="A883">
        <f t="shared" si="71"/>
        <v>866</v>
      </c>
      <c r="B883" s="4"/>
      <c r="I883" s="8"/>
      <c r="J883" s="5" t="str">
        <f t="shared" si="69"/>
        <v/>
      </c>
      <c r="K883" s="3"/>
      <c r="L883" s="3" t="str">
        <f t="shared" si="73"/>
        <v/>
      </c>
      <c r="N883" s="3" t="str">
        <f t="shared" si="72"/>
        <v/>
      </c>
      <c r="O883" s="6" t="str">
        <f t="shared" si="70"/>
        <v/>
      </c>
      <c r="P883" s="7">
        <f ca="1">SUMIFS($N$2:$N883,$B$2:$B883,"&lt;&gt;"&amp;B883)+SUM($Q$2:$Q883)</f>
        <v>135.05500000000001</v>
      </c>
      <c r="R883" t="b">
        <f>AND(ISNUMBER(FIND($E883,Tables!$I$2)), ISNUMBER(FIND($D883,Tables!$J$2)), $E883&lt;&gt;"")</f>
        <v>0</v>
      </c>
    </row>
    <row r="884" spans="1:18" x14ac:dyDescent="0.3">
      <c r="A884">
        <f t="shared" si="71"/>
        <v>867</v>
      </c>
      <c r="B884" s="4"/>
      <c r="I884" s="8"/>
      <c r="J884" s="5" t="str">
        <f t="shared" si="69"/>
        <v/>
      </c>
      <c r="K884" s="3"/>
      <c r="L884" s="3" t="str">
        <f t="shared" si="73"/>
        <v/>
      </c>
      <c r="N884" s="3" t="str">
        <f t="shared" si="72"/>
        <v/>
      </c>
      <c r="O884" s="6" t="str">
        <f t="shared" si="70"/>
        <v/>
      </c>
      <c r="P884" s="7">
        <f ca="1">SUMIFS($N$2:$N884,$B$2:$B884,"&lt;&gt;"&amp;B884)+SUM($Q$2:$Q884)</f>
        <v>135.05500000000001</v>
      </c>
      <c r="R884" t="b">
        <f>AND(ISNUMBER(FIND($E884,Tables!$I$2)), ISNUMBER(FIND($D884,Tables!$J$2)), $E884&lt;&gt;"")</f>
        <v>0</v>
      </c>
    </row>
    <row r="885" spans="1:18" x14ac:dyDescent="0.3">
      <c r="A885">
        <f t="shared" si="71"/>
        <v>868</v>
      </c>
      <c r="B885" s="4"/>
      <c r="I885" s="8"/>
      <c r="J885" s="5" t="str">
        <f t="shared" si="69"/>
        <v/>
      </c>
      <c r="K885" s="3"/>
      <c r="L885" s="3" t="str">
        <f t="shared" si="73"/>
        <v/>
      </c>
      <c r="N885" s="3" t="str">
        <f t="shared" si="72"/>
        <v/>
      </c>
      <c r="O885" s="6" t="str">
        <f t="shared" si="70"/>
        <v/>
      </c>
      <c r="P885" s="7">
        <f ca="1">SUMIFS($N$2:$N885,$B$2:$B885,"&lt;&gt;"&amp;B885)+SUM($Q$2:$Q885)</f>
        <v>135.05500000000001</v>
      </c>
      <c r="R885" t="b">
        <f>AND(ISNUMBER(FIND($E885,Tables!$I$2)), ISNUMBER(FIND($D885,Tables!$J$2)), $E885&lt;&gt;"")</f>
        <v>0</v>
      </c>
    </row>
    <row r="886" spans="1:18" x14ac:dyDescent="0.3">
      <c r="A886">
        <f t="shared" si="71"/>
        <v>869</v>
      </c>
      <c r="B886" s="4"/>
      <c r="I886" s="8"/>
      <c r="J886" s="5" t="str">
        <f t="shared" si="69"/>
        <v/>
      </c>
      <c r="K886" s="3"/>
      <c r="L886" s="3" t="str">
        <f t="shared" si="73"/>
        <v/>
      </c>
      <c r="N886" s="3" t="str">
        <f t="shared" si="72"/>
        <v/>
      </c>
      <c r="O886" s="6" t="str">
        <f t="shared" si="70"/>
        <v/>
      </c>
      <c r="P886" s="7">
        <f ca="1">SUMIFS($N$2:$N886,$B$2:$B886,"&lt;&gt;"&amp;B886)+SUM($Q$2:$Q886)</f>
        <v>135.05500000000001</v>
      </c>
      <c r="R886" t="b">
        <f>AND(ISNUMBER(FIND($E886,Tables!$I$2)), ISNUMBER(FIND($D886,Tables!$J$2)), $E886&lt;&gt;"")</f>
        <v>0</v>
      </c>
    </row>
    <row r="887" spans="1:18" x14ac:dyDescent="0.3">
      <c r="A887">
        <f t="shared" si="71"/>
        <v>870</v>
      </c>
      <c r="B887" s="4"/>
      <c r="I887" s="8"/>
      <c r="J887" s="5" t="str">
        <f t="shared" si="69"/>
        <v/>
      </c>
      <c r="K887" s="3"/>
      <c r="L887" s="3" t="str">
        <f t="shared" si="73"/>
        <v/>
      </c>
      <c r="N887" s="3" t="str">
        <f t="shared" si="72"/>
        <v/>
      </c>
      <c r="O887" s="6" t="str">
        <f t="shared" si="70"/>
        <v/>
      </c>
      <c r="P887" s="7">
        <f ca="1">SUMIFS($N$2:$N887,$B$2:$B887,"&lt;&gt;"&amp;B887)+SUM($Q$2:$Q887)</f>
        <v>135.05500000000001</v>
      </c>
      <c r="R887" t="b">
        <f>AND(ISNUMBER(FIND($E887,Tables!$I$2)), ISNUMBER(FIND($D887,Tables!$J$2)), $E887&lt;&gt;"")</f>
        <v>0</v>
      </c>
    </row>
    <row r="888" spans="1:18" x14ac:dyDescent="0.3">
      <c r="A888">
        <f t="shared" si="71"/>
        <v>871</v>
      </c>
      <c r="B888" s="4"/>
      <c r="I888" s="8"/>
      <c r="J888" s="5" t="str">
        <f t="shared" si="69"/>
        <v/>
      </c>
      <c r="K888" s="3"/>
      <c r="L888" s="3" t="str">
        <f t="shared" si="73"/>
        <v/>
      </c>
      <c r="N888" s="3" t="str">
        <f t="shared" si="72"/>
        <v/>
      </c>
      <c r="O888" s="6" t="str">
        <f t="shared" si="70"/>
        <v/>
      </c>
      <c r="P888" s="7">
        <f ca="1">SUMIFS($N$2:$N888,$B$2:$B888,"&lt;&gt;"&amp;B888)+SUM($Q$2:$Q888)</f>
        <v>135.05500000000001</v>
      </c>
      <c r="R888" t="b">
        <f>AND(ISNUMBER(FIND($E888,Tables!$I$2)), ISNUMBER(FIND($D888,Tables!$J$2)), $E888&lt;&gt;"")</f>
        <v>0</v>
      </c>
    </row>
    <row r="889" spans="1:18" x14ac:dyDescent="0.3">
      <c r="A889">
        <f t="shared" si="71"/>
        <v>872</v>
      </c>
      <c r="B889" s="4"/>
      <c r="I889" s="8"/>
      <c r="J889" s="5" t="str">
        <f t="shared" si="69"/>
        <v/>
      </c>
      <c r="K889" s="3"/>
      <c r="L889" s="3" t="str">
        <f t="shared" si="73"/>
        <v/>
      </c>
      <c r="N889" s="3" t="str">
        <f t="shared" si="72"/>
        <v/>
      </c>
      <c r="O889" s="6" t="str">
        <f t="shared" si="70"/>
        <v/>
      </c>
      <c r="P889" s="7">
        <f ca="1">SUMIFS($N$2:$N889,$B$2:$B889,"&lt;&gt;"&amp;B889)+SUM($Q$2:$Q889)</f>
        <v>135.05500000000001</v>
      </c>
      <c r="R889" t="b">
        <f>AND(ISNUMBER(FIND($E889,Tables!$I$2)), ISNUMBER(FIND($D889,Tables!$J$2)), $E889&lt;&gt;"")</f>
        <v>0</v>
      </c>
    </row>
    <row r="890" spans="1:18" x14ac:dyDescent="0.3">
      <c r="A890">
        <f t="shared" si="71"/>
        <v>873</v>
      </c>
      <c r="B890" s="4"/>
      <c r="I890" s="8"/>
      <c r="J890" s="5" t="str">
        <f t="shared" si="69"/>
        <v/>
      </c>
      <c r="K890" s="3"/>
      <c r="L890" s="3" t="str">
        <f t="shared" si="73"/>
        <v/>
      </c>
      <c r="N890" s="3" t="str">
        <f t="shared" si="72"/>
        <v/>
      </c>
      <c r="O890" s="6" t="str">
        <f t="shared" si="70"/>
        <v/>
      </c>
      <c r="P890" s="7">
        <f ca="1">SUMIFS($N$2:$N890,$B$2:$B890,"&lt;&gt;"&amp;B890)+SUM($Q$2:$Q890)</f>
        <v>135.05500000000001</v>
      </c>
      <c r="R890" t="b">
        <f>AND(ISNUMBER(FIND($E890,Tables!$I$2)), ISNUMBER(FIND($D890,Tables!$J$2)), $E890&lt;&gt;"")</f>
        <v>0</v>
      </c>
    </row>
    <row r="891" spans="1:18" x14ac:dyDescent="0.3">
      <c r="A891">
        <f t="shared" si="71"/>
        <v>874</v>
      </c>
      <c r="B891" s="4"/>
      <c r="I891" s="8"/>
      <c r="J891" s="5" t="str">
        <f t="shared" si="69"/>
        <v/>
      </c>
      <c r="K891" s="3"/>
      <c r="L891" s="3" t="str">
        <f t="shared" si="73"/>
        <v/>
      </c>
      <c r="N891" s="3" t="str">
        <f t="shared" si="72"/>
        <v/>
      </c>
      <c r="O891" s="6" t="str">
        <f t="shared" si="70"/>
        <v/>
      </c>
      <c r="P891" s="7">
        <f ca="1">SUMIFS($N$2:$N891,$B$2:$B891,"&lt;&gt;"&amp;B891)+SUM($Q$2:$Q891)</f>
        <v>135.05500000000001</v>
      </c>
      <c r="R891" t="b">
        <f>AND(ISNUMBER(FIND($E891,Tables!$I$2)), ISNUMBER(FIND($D891,Tables!$J$2)), $E891&lt;&gt;"")</f>
        <v>0</v>
      </c>
    </row>
    <row r="892" spans="1:18" x14ac:dyDescent="0.3">
      <c r="A892">
        <f t="shared" si="71"/>
        <v>875</v>
      </c>
      <c r="B892" s="4"/>
      <c r="I892" s="8"/>
      <c r="J892" s="5" t="str">
        <f t="shared" si="69"/>
        <v/>
      </c>
      <c r="K892" s="3"/>
      <c r="L892" s="3" t="str">
        <f t="shared" si="73"/>
        <v/>
      </c>
      <c r="N892" s="3" t="str">
        <f t="shared" si="72"/>
        <v/>
      </c>
      <c r="O892" s="6" t="str">
        <f t="shared" si="70"/>
        <v/>
      </c>
      <c r="P892" s="7">
        <f ca="1">SUMIFS($N$2:$N892,$B$2:$B892,"&lt;&gt;"&amp;B892)+SUM($Q$2:$Q892)</f>
        <v>135.05500000000001</v>
      </c>
      <c r="R892" t="b">
        <f>AND(ISNUMBER(FIND($E892,Tables!$I$2)), ISNUMBER(FIND($D892,Tables!$J$2)), $E892&lt;&gt;"")</f>
        <v>0</v>
      </c>
    </row>
    <row r="893" spans="1:18" x14ac:dyDescent="0.3">
      <c r="A893">
        <f t="shared" si="71"/>
        <v>876</v>
      </c>
      <c r="B893" s="4"/>
      <c r="I893" s="8"/>
      <c r="J893" s="5" t="str">
        <f t="shared" si="69"/>
        <v/>
      </c>
      <c r="K893" s="3"/>
      <c r="L893" s="3" t="str">
        <f t="shared" si="73"/>
        <v/>
      </c>
      <c r="N893" s="3" t="str">
        <f t="shared" si="72"/>
        <v/>
      </c>
      <c r="O893" s="6" t="str">
        <f t="shared" si="70"/>
        <v/>
      </c>
      <c r="P893" s="7">
        <f ca="1">SUMIFS($N$2:$N893,$B$2:$B893,"&lt;&gt;"&amp;B893)+SUM($Q$2:$Q893)</f>
        <v>135.05500000000001</v>
      </c>
      <c r="R893" t="b">
        <f>AND(ISNUMBER(FIND($E893,Tables!$I$2)), ISNUMBER(FIND($D893,Tables!$J$2)), $E893&lt;&gt;"")</f>
        <v>0</v>
      </c>
    </row>
    <row r="894" spans="1:18" x14ac:dyDescent="0.3">
      <c r="A894">
        <f t="shared" si="71"/>
        <v>877</v>
      </c>
      <c r="B894" s="4"/>
      <c r="I894" s="8"/>
      <c r="J894" s="5" t="str">
        <f t="shared" si="69"/>
        <v/>
      </c>
      <c r="K894" s="3"/>
      <c r="L894" s="3" t="str">
        <f t="shared" si="73"/>
        <v/>
      </c>
      <c r="N894" s="3" t="str">
        <f t="shared" si="72"/>
        <v/>
      </c>
      <c r="O894" s="6" t="str">
        <f t="shared" si="70"/>
        <v/>
      </c>
      <c r="P894" s="7">
        <f ca="1">SUMIFS($N$2:$N894,$B$2:$B894,"&lt;&gt;"&amp;B894)+SUM($Q$2:$Q894)</f>
        <v>135.05500000000001</v>
      </c>
      <c r="R894" t="b">
        <f>AND(ISNUMBER(FIND($E894,Tables!$I$2)), ISNUMBER(FIND($D894,Tables!$J$2)), $E894&lt;&gt;"")</f>
        <v>0</v>
      </c>
    </row>
    <row r="895" spans="1:18" x14ac:dyDescent="0.3">
      <c r="A895">
        <f t="shared" si="71"/>
        <v>878</v>
      </c>
      <c r="B895" s="4"/>
      <c r="I895" s="8"/>
      <c r="J895" s="5" t="str">
        <f t="shared" si="69"/>
        <v/>
      </c>
      <c r="K895" s="3"/>
      <c r="L895" s="3" t="str">
        <f t="shared" si="73"/>
        <v/>
      </c>
      <c r="N895" s="3" t="str">
        <f t="shared" si="72"/>
        <v/>
      </c>
      <c r="O895" s="6" t="str">
        <f t="shared" si="70"/>
        <v/>
      </c>
      <c r="P895" s="7">
        <f ca="1">SUMIFS($N$2:$N895,$B$2:$B895,"&lt;&gt;"&amp;B895)+SUM($Q$2:$Q895)</f>
        <v>135.05500000000001</v>
      </c>
      <c r="R895" t="b">
        <f>AND(ISNUMBER(FIND($E895,Tables!$I$2)), ISNUMBER(FIND($D895,Tables!$J$2)), $E895&lt;&gt;"")</f>
        <v>0</v>
      </c>
    </row>
    <row r="896" spans="1:18" x14ac:dyDescent="0.3">
      <c r="A896">
        <f t="shared" si="71"/>
        <v>879</v>
      </c>
      <c r="B896" s="4"/>
      <c r="I896" s="8"/>
      <c r="J896" s="5" t="str">
        <f t="shared" si="69"/>
        <v/>
      </c>
      <c r="K896" s="3"/>
      <c r="L896" s="3" t="str">
        <f t="shared" si="73"/>
        <v/>
      </c>
      <c r="N896" s="3" t="str">
        <f t="shared" si="72"/>
        <v/>
      </c>
      <c r="O896" s="6" t="str">
        <f t="shared" si="70"/>
        <v/>
      </c>
      <c r="P896" s="7">
        <f ca="1">SUMIFS($N$2:$N896,$B$2:$B896,"&lt;&gt;"&amp;B896)+SUM($Q$2:$Q896)</f>
        <v>135.05500000000001</v>
      </c>
      <c r="R896" t="b">
        <f>AND(ISNUMBER(FIND($E896,Tables!$I$2)), ISNUMBER(FIND($D896,Tables!$J$2)), $E896&lt;&gt;"")</f>
        <v>0</v>
      </c>
    </row>
    <row r="897" spans="1:18" x14ac:dyDescent="0.3">
      <c r="A897">
        <f t="shared" si="71"/>
        <v>880</v>
      </c>
      <c r="B897" s="4"/>
      <c r="I897" s="8"/>
      <c r="J897" s="5" t="str">
        <f t="shared" si="69"/>
        <v/>
      </c>
      <c r="K897" s="3"/>
      <c r="L897" s="3" t="str">
        <f t="shared" si="73"/>
        <v/>
      </c>
      <c r="N897" s="3" t="str">
        <f t="shared" si="72"/>
        <v/>
      </c>
      <c r="O897" s="6" t="str">
        <f t="shared" si="70"/>
        <v/>
      </c>
      <c r="P897" s="7">
        <f ca="1">SUMIFS($N$2:$N897,$B$2:$B897,"&lt;&gt;"&amp;B897)+SUM($Q$2:$Q897)</f>
        <v>135.05500000000001</v>
      </c>
      <c r="R897" t="b">
        <f>AND(ISNUMBER(FIND($E897,Tables!$I$2)), ISNUMBER(FIND($D897,Tables!$J$2)), $E897&lt;&gt;"")</f>
        <v>0</v>
      </c>
    </row>
    <row r="898" spans="1:18" x14ac:dyDescent="0.3">
      <c r="A898">
        <f t="shared" si="71"/>
        <v>881</v>
      </c>
      <c r="B898" s="4"/>
      <c r="I898" s="8"/>
      <c r="J898" s="5" t="str">
        <f t="shared" ref="J898:J961" si="74">IF(I898="", "", IF(I898&gt;0, I898/100 +1, -100/I898 +1))</f>
        <v/>
      </c>
      <c r="K898" s="3"/>
      <c r="L898" s="3" t="str">
        <f t="shared" si="73"/>
        <v/>
      </c>
      <c r="N898" s="3" t="str">
        <f t="shared" si="72"/>
        <v/>
      </c>
      <c r="O898" s="6" t="str">
        <f t="shared" ref="O898:O961" si="75">IFERROR(K898/VLOOKUP(_xlfn.MINIFS(A:A,B:B,B898,C:C,C898),A:P,16),"")</f>
        <v/>
      </c>
      <c r="P898" s="7">
        <f ca="1">SUMIFS($N$2:$N898,$B$2:$B898,"&lt;&gt;"&amp;B898)+SUM($Q$2:$Q898)</f>
        <v>135.05500000000001</v>
      </c>
      <c r="R898" t="b">
        <f>AND(ISNUMBER(FIND($E898,Tables!$I$2)), ISNUMBER(FIND($D898,Tables!$J$2)), $E898&lt;&gt;"")</f>
        <v>0</v>
      </c>
    </row>
    <row r="899" spans="1:18" x14ac:dyDescent="0.3">
      <c r="A899">
        <f t="shared" si="71"/>
        <v>882</v>
      </c>
      <c r="B899" s="4"/>
      <c r="I899" s="8"/>
      <c r="J899" s="5" t="str">
        <f t="shared" si="74"/>
        <v/>
      </c>
      <c r="K899" s="3"/>
      <c r="L899" s="3" t="str">
        <f t="shared" si="73"/>
        <v/>
      </c>
      <c r="N899" s="3" t="str">
        <f t="shared" si="72"/>
        <v/>
      </c>
      <c r="O899" s="6" t="str">
        <f t="shared" si="75"/>
        <v/>
      </c>
      <c r="P899" s="7">
        <f ca="1">SUMIFS($N$2:$N899,$B$2:$B899,"&lt;&gt;"&amp;B899)+SUM($Q$2:$Q899)</f>
        <v>135.05500000000001</v>
      </c>
      <c r="R899" t="b">
        <f>AND(ISNUMBER(FIND($E899,Tables!$I$2)), ISNUMBER(FIND($D899,Tables!$J$2)), $E899&lt;&gt;"")</f>
        <v>0</v>
      </c>
    </row>
    <row r="900" spans="1:18" x14ac:dyDescent="0.3">
      <c r="A900">
        <f t="shared" si="71"/>
        <v>883</v>
      </c>
      <c r="B900" s="4"/>
      <c r="I900" s="8"/>
      <c r="J900" s="5" t="str">
        <f t="shared" si="74"/>
        <v/>
      </c>
      <c r="K900" s="3"/>
      <c r="L900" s="3" t="str">
        <f t="shared" si="73"/>
        <v/>
      </c>
      <c r="N900" s="3" t="str">
        <f t="shared" si="72"/>
        <v/>
      </c>
      <c r="O900" s="6" t="str">
        <f t="shared" si="75"/>
        <v/>
      </c>
      <c r="P900" s="7">
        <f ca="1">SUMIFS($N$2:$N900,$B$2:$B900,"&lt;&gt;"&amp;B900)+SUM($Q$2:$Q900)</f>
        <v>135.05500000000001</v>
      </c>
      <c r="R900" t="b">
        <f>AND(ISNUMBER(FIND($E900,Tables!$I$2)), ISNUMBER(FIND($D900,Tables!$J$2)), $E900&lt;&gt;"")</f>
        <v>0</v>
      </c>
    </row>
    <row r="901" spans="1:18" x14ac:dyDescent="0.3">
      <c r="A901">
        <f t="shared" si="71"/>
        <v>884</v>
      </c>
      <c r="B901" s="4"/>
      <c r="I901" s="8"/>
      <c r="J901" s="5" t="str">
        <f t="shared" si="74"/>
        <v/>
      </c>
      <c r="K901" s="3"/>
      <c r="L901" s="3" t="str">
        <f t="shared" si="73"/>
        <v/>
      </c>
      <c r="N901" s="3" t="str">
        <f t="shared" si="72"/>
        <v/>
      </c>
      <c r="O901" s="6" t="str">
        <f t="shared" si="75"/>
        <v/>
      </c>
      <c r="P901" s="7">
        <f ca="1">SUMIFS($N$2:$N901,$B$2:$B901,"&lt;&gt;"&amp;B901)+SUM($Q$2:$Q901)</f>
        <v>135.05500000000001</v>
      </c>
      <c r="R901" t="b">
        <f>AND(ISNUMBER(FIND($E901,Tables!$I$2)), ISNUMBER(FIND($D901,Tables!$J$2)), $E901&lt;&gt;"")</f>
        <v>0</v>
      </c>
    </row>
    <row r="902" spans="1:18" x14ac:dyDescent="0.3">
      <c r="A902">
        <f t="shared" si="71"/>
        <v>885</v>
      </c>
      <c r="B902" s="4"/>
      <c r="I902" s="8"/>
      <c r="J902" s="5" t="str">
        <f t="shared" si="74"/>
        <v/>
      </c>
      <c r="K902" s="3"/>
      <c r="L902" s="3" t="str">
        <f t="shared" si="73"/>
        <v/>
      </c>
      <c r="N902" s="3" t="str">
        <f t="shared" si="72"/>
        <v/>
      </c>
      <c r="O902" s="6" t="str">
        <f t="shared" si="75"/>
        <v/>
      </c>
      <c r="P902" s="7">
        <f ca="1">SUMIFS($N$2:$N902,$B$2:$B902,"&lt;&gt;"&amp;B902)+SUM($Q$2:$Q902)</f>
        <v>135.05500000000001</v>
      </c>
      <c r="R902" t="b">
        <f>AND(ISNUMBER(FIND($E902,Tables!$I$2)), ISNUMBER(FIND($D902,Tables!$J$2)), $E902&lt;&gt;"")</f>
        <v>0</v>
      </c>
    </row>
    <row r="903" spans="1:18" x14ac:dyDescent="0.3">
      <c r="A903">
        <f t="shared" si="71"/>
        <v>886</v>
      </c>
      <c r="B903" s="4"/>
      <c r="I903" s="8"/>
      <c r="J903" s="5" t="str">
        <f t="shared" si="74"/>
        <v/>
      </c>
      <c r="K903" s="3"/>
      <c r="L903" s="3" t="str">
        <f t="shared" si="73"/>
        <v/>
      </c>
      <c r="N903" s="3" t="str">
        <f t="shared" si="72"/>
        <v/>
      </c>
      <c r="O903" s="6" t="str">
        <f t="shared" si="75"/>
        <v/>
      </c>
      <c r="P903" s="7">
        <f ca="1">SUMIFS($N$2:$N903,$B$2:$B903,"&lt;&gt;"&amp;B903)+SUM($Q$2:$Q903)</f>
        <v>135.05500000000001</v>
      </c>
      <c r="R903" t="b">
        <f>AND(ISNUMBER(FIND($E903,Tables!$I$2)), ISNUMBER(FIND($D903,Tables!$J$2)), $E903&lt;&gt;"")</f>
        <v>0</v>
      </c>
    </row>
    <row r="904" spans="1:18" x14ac:dyDescent="0.3">
      <c r="A904">
        <f t="shared" si="71"/>
        <v>887</v>
      </c>
      <c r="B904" s="4"/>
      <c r="I904" s="8"/>
      <c r="J904" s="5" t="str">
        <f t="shared" si="74"/>
        <v/>
      </c>
      <c r="K904" s="3"/>
      <c r="L904" s="3" t="str">
        <f t="shared" si="73"/>
        <v/>
      </c>
      <c r="N904" s="3" t="str">
        <f t="shared" si="72"/>
        <v/>
      </c>
      <c r="O904" s="6" t="str">
        <f t="shared" si="75"/>
        <v/>
      </c>
      <c r="P904" s="7">
        <f ca="1">SUMIFS($N$2:$N904,$B$2:$B904,"&lt;&gt;"&amp;B904)+SUM($Q$2:$Q904)</f>
        <v>135.05500000000001</v>
      </c>
      <c r="R904" t="b">
        <f>AND(ISNUMBER(FIND($E904,Tables!$I$2)), ISNUMBER(FIND($D904,Tables!$J$2)), $E904&lt;&gt;"")</f>
        <v>0</v>
      </c>
    </row>
    <row r="905" spans="1:18" x14ac:dyDescent="0.3">
      <c r="A905">
        <f t="shared" si="71"/>
        <v>888</v>
      </c>
      <c r="B905" s="4"/>
      <c r="I905" s="8"/>
      <c r="J905" s="5" t="str">
        <f t="shared" si="74"/>
        <v/>
      </c>
      <c r="K905" s="3"/>
      <c r="L905" s="3" t="str">
        <f t="shared" si="73"/>
        <v/>
      </c>
      <c r="N905" s="3" t="str">
        <f t="shared" si="72"/>
        <v/>
      </c>
      <c r="O905" s="6" t="str">
        <f t="shared" si="75"/>
        <v/>
      </c>
      <c r="P905" s="7">
        <f ca="1">SUMIFS($N$2:$N905,$B$2:$B905,"&lt;&gt;"&amp;B905)+SUM($Q$2:$Q905)</f>
        <v>135.05500000000001</v>
      </c>
      <c r="R905" t="b">
        <f>AND(ISNUMBER(FIND($E905,Tables!$I$2)), ISNUMBER(FIND($D905,Tables!$J$2)), $E905&lt;&gt;"")</f>
        <v>0</v>
      </c>
    </row>
    <row r="906" spans="1:18" x14ac:dyDescent="0.3">
      <c r="A906">
        <f t="shared" si="71"/>
        <v>889</v>
      </c>
      <c r="B906" s="4"/>
      <c r="I906" s="8"/>
      <c r="J906" s="5" t="str">
        <f t="shared" si="74"/>
        <v/>
      </c>
      <c r="K906" s="3"/>
      <c r="L906" s="3" t="str">
        <f t="shared" si="73"/>
        <v/>
      </c>
      <c r="N906" s="3" t="str">
        <f t="shared" si="72"/>
        <v/>
      </c>
      <c r="O906" s="6" t="str">
        <f t="shared" si="75"/>
        <v/>
      </c>
      <c r="P906" s="7">
        <f ca="1">SUMIFS($N$2:$N906,$B$2:$B906,"&lt;&gt;"&amp;B906)+SUM($Q$2:$Q906)</f>
        <v>135.05500000000001</v>
      </c>
      <c r="R906" t="b">
        <f>AND(ISNUMBER(FIND($E906,Tables!$I$2)), ISNUMBER(FIND($D906,Tables!$J$2)), $E906&lt;&gt;"")</f>
        <v>0</v>
      </c>
    </row>
    <row r="907" spans="1:18" x14ac:dyDescent="0.3">
      <c r="A907">
        <f t="shared" si="71"/>
        <v>890</v>
      </c>
      <c r="B907" s="4"/>
      <c r="I907" s="8"/>
      <c r="J907" s="5" t="str">
        <f t="shared" si="74"/>
        <v/>
      </c>
      <c r="K907" s="3"/>
      <c r="L907" s="3" t="str">
        <f t="shared" si="73"/>
        <v/>
      </c>
      <c r="N907" s="3" t="str">
        <f t="shared" si="72"/>
        <v/>
      </c>
      <c r="O907" s="6" t="str">
        <f t="shared" si="75"/>
        <v/>
      </c>
      <c r="P907" s="7">
        <f ca="1">SUMIFS($N$2:$N907,$B$2:$B907,"&lt;&gt;"&amp;B907)+SUM($Q$2:$Q907)</f>
        <v>135.05500000000001</v>
      </c>
      <c r="R907" t="b">
        <f>AND(ISNUMBER(FIND($E907,Tables!$I$2)), ISNUMBER(FIND($D907,Tables!$J$2)), $E907&lt;&gt;"")</f>
        <v>0</v>
      </c>
    </row>
    <row r="908" spans="1:18" x14ac:dyDescent="0.3">
      <c r="A908">
        <f t="shared" si="71"/>
        <v>891</v>
      </c>
      <c r="B908" s="4"/>
      <c r="I908" s="8"/>
      <c r="J908" s="5" t="str">
        <f t="shared" si="74"/>
        <v/>
      </c>
      <c r="K908" s="3"/>
      <c r="L908" s="3" t="str">
        <f t="shared" si="73"/>
        <v/>
      </c>
      <c r="N908" s="3" t="str">
        <f t="shared" si="72"/>
        <v/>
      </c>
      <c r="O908" s="6" t="str">
        <f t="shared" si="75"/>
        <v/>
      </c>
      <c r="P908" s="7">
        <f ca="1">SUMIFS($N$2:$N908,$B$2:$B908,"&lt;&gt;"&amp;B908)+SUM($Q$2:$Q908)</f>
        <v>135.05500000000001</v>
      </c>
      <c r="R908" t="b">
        <f>AND(ISNUMBER(FIND($E908,Tables!$I$2)), ISNUMBER(FIND($D908,Tables!$J$2)), $E908&lt;&gt;"")</f>
        <v>0</v>
      </c>
    </row>
    <row r="909" spans="1:18" x14ac:dyDescent="0.3">
      <c r="A909">
        <f t="shared" si="71"/>
        <v>892</v>
      </c>
      <c r="B909" s="4"/>
      <c r="I909" s="8"/>
      <c r="J909" s="5" t="str">
        <f t="shared" si="74"/>
        <v/>
      </c>
      <c r="K909" s="3"/>
      <c r="L909" s="3" t="str">
        <f t="shared" si="73"/>
        <v/>
      </c>
      <c r="N909" s="3" t="str">
        <f t="shared" si="72"/>
        <v/>
      </c>
      <c r="O909" s="6" t="str">
        <f t="shared" si="75"/>
        <v/>
      </c>
      <c r="P909" s="7">
        <f ca="1">SUMIFS($N$2:$N909,$B$2:$B909,"&lt;&gt;"&amp;B909)+SUM($Q$2:$Q909)</f>
        <v>135.05500000000001</v>
      </c>
      <c r="R909" t="b">
        <f>AND(ISNUMBER(FIND($E909,Tables!$I$2)), ISNUMBER(FIND($D909,Tables!$J$2)), $E909&lt;&gt;"")</f>
        <v>0</v>
      </c>
    </row>
    <row r="910" spans="1:18" x14ac:dyDescent="0.3">
      <c r="A910">
        <f t="shared" si="71"/>
        <v>893</v>
      </c>
      <c r="B910" s="4"/>
      <c r="I910" s="8"/>
      <c r="J910" s="5" t="str">
        <f t="shared" si="74"/>
        <v/>
      </c>
      <c r="K910" s="3"/>
      <c r="L910" s="3" t="str">
        <f t="shared" si="73"/>
        <v/>
      </c>
      <c r="N910" s="3" t="str">
        <f t="shared" si="72"/>
        <v/>
      </c>
      <c r="O910" s="6" t="str">
        <f t="shared" si="75"/>
        <v/>
      </c>
      <c r="P910" s="7">
        <f ca="1">SUMIFS($N$2:$N910,$B$2:$B910,"&lt;&gt;"&amp;B910)+SUM($Q$2:$Q910)</f>
        <v>135.05500000000001</v>
      </c>
      <c r="R910" t="b">
        <f>AND(ISNUMBER(FIND($E910,Tables!$I$2)), ISNUMBER(FIND($D910,Tables!$J$2)), $E910&lt;&gt;"")</f>
        <v>0</v>
      </c>
    </row>
    <row r="911" spans="1:18" x14ac:dyDescent="0.3">
      <c r="A911">
        <f t="shared" si="71"/>
        <v>894</v>
      </c>
      <c r="B911" s="4"/>
      <c r="I911" s="8"/>
      <c r="J911" s="5" t="str">
        <f t="shared" si="74"/>
        <v/>
      </c>
      <c r="K911" s="3"/>
      <c r="L911" s="3" t="str">
        <f t="shared" si="73"/>
        <v/>
      </c>
      <c r="N911" s="3" t="str">
        <f t="shared" si="72"/>
        <v/>
      </c>
      <c r="O911" s="6" t="str">
        <f t="shared" si="75"/>
        <v/>
      </c>
      <c r="P911" s="7">
        <f ca="1">SUMIFS($N$2:$N911,$B$2:$B911,"&lt;&gt;"&amp;B911)+SUM($Q$2:$Q911)</f>
        <v>135.05500000000001</v>
      </c>
      <c r="R911" t="b">
        <f>AND(ISNUMBER(FIND($E911,Tables!$I$2)), ISNUMBER(FIND($D911,Tables!$J$2)), $E911&lt;&gt;"")</f>
        <v>0</v>
      </c>
    </row>
    <row r="912" spans="1:18" x14ac:dyDescent="0.3">
      <c r="A912">
        <f t="shared" si="71"/>
        <v>895</v>
      </c>
      <c r="B912" s="4"/>
      <c r="I912" s="8"/>
      <c r="J912" s="5" t="str">
        <f t="shared" si="74"/>
        <v/>
      </c>
      <c r="K912" s="3"/>
      <c r="L912" s="3" t="str">
        <f t="shared" si="73"/>
        <v/>
      </c>
      <c r="N912" s="3" t="str">
        <f t="shared" si="72"/>
        <v/>
      </c>
      <c r="O912" s="6" t="str">
        <f t="shared" si="75"/>
        <v/>
      </c>
      <c r="P912" s="7">
        <f ca="1">SUMIFS($N$2:$N912,$B$2:$B912,"&lt;&gt;"&amp;B912)+SUM($Q$2:$Q912)</f>
        <v>135.05500000000001</v>
      </c>
      <c r="R912" t="b">
        <f>AND(ISNUMBER(FIND($E912,Tables!$I$2)), ISNUMBER(FIND($D912,Tables!$J$2)), $E912&lt;&gt;"")</f>
        <v>0</v>
      </c>
    </row>
    <row r="913" spans="1:18" x14ac:dyDescent="0.3">
      <c r="A913">
        <f t="shared" si="71"/>
        <v>896</v>
      </c>
      <c r="B913" s="4"/>
      <c r="I913" s="8"/>
      <c r="J913" s="5" t="str">
        <f t="shared" si="74"/>
        <v/>
      </c>
      <c r="K913" s="3"/>
      <c r="L913" s="3" t="str">
        <f t="shared" si="73"/>
        <v/>
      </c>
      <c r="N913" s="3" t="str">
        <f t="shared" si="72"/>
        <v/>
      </c>
      <c r="O913" s="6" t="str">
        <f t="shared" si="75"/>
        <v/>
      </c>
      <c r="P913" s="7">
        <f ca="1">SUMIFS($N$2:$N913,$B$2:$B913,"&lt;&gt;"&amp;B913)+SUM($Q$2:$Q913)</f>
        <v>135.05500000000001</v>
      </c>
      <c r="R913" t="b">
        <f>AND(ISNUMBER(FIND($E913,Tables!$I$2)), ISNUMBER(FIND($D913,Tables!$J$2)), $E913&lt;&gt;"")</f>
        <v>0</v>
      </c>
    </row>
    <row r="914" spans="1:18" x14ac:dyDescent="0.3">
      <c r="A914">
        <f t="shared" si="71"/>
        <v>897</v>
      </c>
      <c r="B914" s="4"/>
      <c r="I914" s="8"/>
      <c r="J914" s="5" t="str">
        <f t="shared" si="74"/>
        <v/>
      </c>
      <c r="K914" s="3"/>
      <c r="L914" s="3" t="str">
        <f t="shared" si="73"/>
        <v/>
      </c>
      <c r="N914" s="3" t="str">
        <f t="shared" si="72"/>
        <v/>
      </c>
      <c r="O914" s="6" t="str">
        <f t="shared" si="75"/>
        <v/>
      </c>
      <c r="P914" s="7">
        <f ca="1">SUMIFS($N$2:$N914,$B$2:$B914,"&lt;&gt;"&amp;B914)+SUM($Q$2:$Q914)</f>
        <v>135.05500000000001</v>
      </c>
      <c r="R914" t="b">
        <f>AND(ISNUMBER(FIND($E914,Tables!$I$2)), ISNUMBER(FIND($D914,Tables!$J$2)), $E914&lt;&gt;"")</f>
        <v>0</v>
      </c>
    </row>
    <row r="915" spans="1:18" x14ac:dyDescent="0.3">
      <c r="A915">
        <f t="shared" si="71"/>
        <v>898</v>
      </c>
      <c r="B915" s="4"/>
      <c r="I915" s="8"/>
      <c r="J915" s="5" t="str">
        <f t="shared" si="74"/>
        <v/>
      </c>
      <c r="K915" s="3"/>
      <c r="L915" s="3" t="str">
        <f t="shared" si="73"/>
        <v/>
      </c>
      <c r="N915" s="3" t="str">
        <f t="shared" si="72"/>
        <v/>
      </c>
      <c r="O915" s="6" t="str">
        <f t="shared" si="75"/>
        <v/>
      </c>
      <c r="P915" s="7">
        <f ca="1">SUMIFS($N$2:$N915,$B$2:$B915,"&lt;&gt;"&amp;B915)+SUM($Q$2:$Q915)</f>
        <v>135.05500000000001</v>
      </c>
      <c r="R915" t="b">
        <f>AND(ISNUMBER(FIND($E915,Tables!$I$2)), ISNUMBER(FIND($D915,Tables!$J$2)), $E915&lt;&gt;"")</f>
        <v>0</v>
      </c>
    </row>
    <row r="916" spans="1:18" x14ac:dyDescent="0.3">
      <c r="A916">
        <f t="shared" si="71"/>
        <v>899</v>
      </c>
      <c r="B916" s="4"/>
      <c r="I916" s="8"/>
      <c r="J916" s="5" t="str">
        <f t="shared" si="74"/>
        <v/>
      </c>
      <c r="K916" s="3"/>
      <c r="L916" s="3" t="str">
        <f t="shared" si="73"/>
        <v/>
      </c>
      <c r="N916" s="3" t="str">
        <f t="shared" si="72"/>
        <v/>
      </c>
      <c r="O916" s="6" t="str">
        <f t="shared" si="75"/>
        <v/>
      </c>
      <c r="P916" s="7">
        <f ca="1">SUMIFS($N$2:$N916,$B$2:$B916,"&lt;&gt;"&amp;B916)+SUM($Q$2:$Q916)</f>
        <v>135.05500000000001</v>
      </c>
      <c r="R916" t="b">
        <f>AND(ISNUMBER(FIND($E916,Tables!$I$2)), ISNUMBER(FIND($D916,Tables!$J$2)), $E916&lt;&gt;"")</f>
        <v>0</v>
      </c>
    </row>
    <row r="917" spans="1:18" x14ac:dyDescent="0.3">
      <c r="A917">
        <f t="shared" si="71"/>
        <v>900</v>
      </c>
      <c r="B917" s="4"/>
      <c r="I917" s="8"/>
      <c r="J917" s="5" t="str">
        <f t="shared" si="74"/>
        <v/>
      </c>
      <c r="K917" s="3"/>
      <c r="L917" s="3" t="str">
        <f t="shared" si="73"/>
        <v/>
      </c>
      <c r="N917" s="3" t="str">
        <f t="shared" si="72"/>
        <v/>
      </c>
      <c r="O917" s="6" t="str">
        <f t="shared" si="75"/>
        <v/>
      </c>
      <c r="P917" s="7">
        <f ca="1">SUMIFS($N$2:$N917,$B$2:$B917,"&lt;&gt;"&amp;B917)+SUM($Q$2:$Q917)</f>
        <v>135.05500000000001</v>
      </c>
      <c r="R917" t="b">
        <f>AND(ISNUMBER(FIND($E917,Tables!$I$2)), ISNUMBER(FIND($D917,Tables!$J$2)), $E917&lt;&gt;"")</f>
        <v>0</v>
      </c>
    </row>
    <row r="918" spans="1:18" x14ac:dyDescent="0.3">
      <c r="A918">
        <f t="shared" si="71"/>
        <v>901</v>
      </c>
      <c r="B918" s="4"/>
      <c r="I918" s="8"/>
      <c r="J918" s="5" t="str">
        <f t="shared" si="74"/>
        <v/>
      </c>
      <c r="K918" s="3"/>
      <c r="L918" s="3" t="str">
        <f t="shared" si="73"/>
        <v/>
      </c>
      <c r="N918" s="3" t="str">
        <f t="shared" si="72"/>
        <v/>
      </c>
      <c r="O918" s="6" t="str">
        <f t="shared" si="75"/>
        <v/>
      </c>
      <c r="P918" s="7">
        <f ca="1">SUMIFS($N$2:$N918,$B$2:$B918,"&lt;&gt;"&amp;B918)+SUM($Q$2:$Q918)</f>
        <v>135.05500000000001</v>
      </c>
      <c r="R918" t="b">
        <f>AND(ISNUMBER(FIND($E918,Tables!$I$2)), ISNUMBER(FIND($D918,Tables!$J$2)), $E918&lt;&gt;"")</f>
        <v>0</v>
      </c>
    </row>
    <row r="919" spans="1:18" x14ac:dyDescent="0.3">
      <c r="A919">
        <f t="shared" si="71"/>
        <v>902</v>
      </c>
      <c r="B919" s="4"/>
      <c r="I919" s="8"/>
      <c r="J919" s="5" t="str">
        <f t="shared" si="74"/>
        <v/>
      </c>
      <c r="K919" s="3"/>
      <c r="L919" s="3" t="str">
        <f t="shared" si="73"/>
        <v/>
      </c>
      <c r="N919" s="3" t="str">
        <f t="shared" si="72"/>
        <v/>
      </c>
      <c r="O919" s="6" t="str">
        <f t="shared" si="75"/>
        <v/>
      </c>
      <c r="P919" s="7">
        <f ca="1">SUMIFS($N$2:$N919,$B$2:$B919,"&lt;&gt;"&amp;B919)+SUM($Q$2:$Q919)</f>
        <v>135.05500000000001</v>
      </c>
      <c r="R919" t="b">
        <f>AND(ISNUMBER(FIND($E919,Tables!$I$2)), ISNUMBER(FIND($D919,Tables!$J$2)), $E919&lt;&gt;"")</f>
        <v>0</v>
      </c>
    </row>
    <row r="920" spans="1:18" x14ac:dyDescent="0.3">
      <c r="A920">
        <f t="shared" si="71"/>
        <v>903</v>
      </c>
      <c r="B920" s="4"/>
      <c r="I920" s="8"/>
      <c r="J920" s="5" t="str">
        <f t="shared" si="74"/>
        <v/>
      </c>
      <c r="K920" s="3"/>
      <c r="L920" s="3" t="str">
        <f t="shared" si="73"/>
        <v/>
      </c>
      <c r="N920" s="3" t="str">
        <f t="shared" si="72"/>
        <v/>
      </c>
      <c r="O920" s="6" t="str">
        <f t="shared" si="75"/>
        <v/>
      </c>
      <c r="P920" s="7">
        <f ca="1">SUMIFS($N$2:$N920,$B$2:$B920,"&lt;&gt;"&amp;B920)+SUM($Q$2:$Q920)</f>
        <v>135.05500000000001</v>
      </c>
      <c r="R920" t="b">
        <f>AND(ISNUMBER(FIND($E920,Tables!$I$2)), ISNUMBER(FIND($D920,Tables!$J$2)), $E920&lt;&gt;"")</f>
        <v>0</v>
      </c>
    </row>
    <row r="921" spans="1:18" x14ac:dyDescent="0.3">
      <c r="A921">
        <f t="shared" si="71"/>
        <v>904</v>
      </c>
      <c r="B921" s="4"/>
      <c r="I921" s="8"/>
      <c r="J921" s="5" t="str">
        <f t="shared" si="74"/>
        <v/>
      </c>
      <c r="K921" s="3"/>
      <c r="L921" s="3" t="str">
        <f t="shared" si="73"/>
        <v/>
      </c>
      <c r="N921" s="3" t="str">
        <f t="shared" si="72"/>
        <v/>
      </c>
      <c r="O921" s="6" t="str">
        <f t="shared" si="75"/>
        <v/>
      </c>
      <c r="P921" s="7">
        <f ca="1">SUMIFS($N$2:$N921,$B$2:$B921,"&lt;&gt;"&amp;B921)+SUM($Q$2:$Q921)</f>
        <v>135.05500000000001</v>
      </c>
      <c r="R921" t="b">
        <f>AND(ISNUMBER(FIND($E921,Tables!$I$2)), ISNUMBER(FIND($D921,Tables!$J$2)), $E921&lt;&gt;"")</f>
        <v>0</v>
      </c>
    </row>
    <row r="922" spans="1:18" x14ac:dyDescent="0.3">
      <c r="A922">
        <f t="shared" si="71"/>
        <v>905</v>
      </c>
      <c r="B922" s="4"/>
      <c r="I922" s="8"/>
      <c r="J922" s="5" t="str">
        <f t="shared" si="74"/>
        <v/>
      </c>
      <c r="K922" s="3"/>
      <c r="L922" s="3" t="str">
        <f t="shared" si="73"/>
        <v/>
      </c>
      <c r="N922" s="3" t="str">
        <f t="shared" si="72"/>
        <v/>
      </c>
      <c r="O922" s="6" t="str">
        <f t="shared" si="75"/>
        <v/>
      </c>
      <c r="P922" s="7">
        <f ca="1">SUMIFS($N$2:$N922,$B$2:$B922,"&lt;&gt;"&amp;B922)+SUM($Q$2:$Q922)</f>
        <v>135.05500000000001</v>
      </c>
      <c r="R922" t="b">
        <f>AND(ISNUMBER(FIND($E922,Tables!$I$2)), ISNUMBER(FIND($D922,Tables!$J$2)), $E922&lt;&gt;"")</f>
        <v>0</v>
      </c>
    </row>
    <row r="923" spans="1:18" x14ac:dyDescent="0.3">
      <c r="A923">
        <f t="shared" si="71"/>
        <v>906</v>
      </c>
      <c r="B923" s="4"/>
      <c r="I923" s="8"/>
      <c r="J923" s="5" t="str">
        <f t="shared" si="74"/>
        <v/>
      </c>
      <c r="K923" s="3"/>
      <c r="L923" s="3" t="str">
        <f t="shared" si="73"/>
        <v/>
      </c>
      <c r="N923" s="3" t="str">
        <f t="shared" si="72"/>
        <v/>
      </c>
      <c r="O923" s="6" t="str">
        <f t="shared" si="75"/>
        <v/>
      </c>
      <c r="P923" s="7">
        <f ca="1">SUMIFS($N$2:$N923,$B$2:$B923,"&lt;&gt;"&amp;B923)+SUM($Q$2:$Q923)</f>
        <v>135.05500000000001</v>
      </c>
      <c r="R923" t="b">
        <f>AND(ISNUMBER(FIND($E923,Tables!$I$2)), ISNUMBER(FIND($D923,Tables!$J$2)), $E923&lt;&gt;"")</f>
        <v>0</v>
      </c>
    </row>
    <row r="924" spans="1:18" x14ac:dyDescent="0.3">
      <c r="A924">
        <f t="shared" si="71"/>
        <v>907</v>
      </c>
      <c r="B924" s="4"/>
      <c r="I924" s="8"/>
      <c r="J924" s="5" t="str">
        <f t="shared" si="74"/>
        <v/>
      </c>
      <c r="K924" s="3"/>
      <c r="L924" s="3" t="str">
        <f t="shared" si="73"/>
        <v/>
      </c>
      <c r="N924" s="3" t="str">
        <f t="shared" si="72"/>
        <v/>
      </c>
      <c r="O924" s="6" t="str">
        <f t="shared" si="75"/>
        <v/>
      </c>
      <c r="P924" s="7">
        <f ca="1">SUMIFS($N$2:$N924,$B$2:$B924,"&lt;&gt;"&amp;B924)+SUM($Q$2:$Q924)</f>
        <v>135.05500000000001</v>
      </c>
      <c r="R924" t="b">
        <f>AND(ISNUMBER(FIND($E924,Tables!$I$2)), ISNUMBER(FIND($D924,Tables!$J$2)), $E924&lt;&gt;"")</f>
        <v>0</v>
      </c>
    </row>
    <row r="925" spans="1:18" x14ac:dyDescent="0.3">
      <c r="A925">
        <f t="shared" si="71"/>
        <v>908</v>
      </c>
      <c r="B925" s="4"/>
      <c r="I925" s="8"/>
      <c r="J925" s="5" t="str">
        <f t="shared" si="74"/>
        <v/>
      </c>
      <c r="K925" s="3"/>
      <c r="L925" s="3" t="str">
        <f t="shared" si="73"/>
        <v/>
      </c>
      <c r="N925" s="3" t="str">
        <f t="shared" si="72"/>
        <v/>
      </c>
      <c r="O925" s="6" t="str">
        <f t="shared" si="75"/>
        <v/>
      </c>
      <c r="P925" s="7">
        <f ca="1">SUMIFS($N$2:$N925,$B$2:$B925,"&lt;&gt;"&amp;B925)+SUM($Q$2:$Q925)</f>
        <v>135.05500000000001</v>
      </c>
      <c r="R925" t="b">
        <f>AND(ISNUMBER(FIND($E925,Tables!$I$2)), ISNUMBER(FIND($D925,Tables!$J$2)), $E925&lt;&gt;"")</f>
        <v>0</v>
      </c>
    </row>
    <row r="926" spans="1:18" x14ac:dyDescent="0.3">
      <c r="A926">
        <f t="shared" si="71"/>
        <v>909</v>
      </c>
      <c r="B926" s="4"/>
      <c r="I926" s="8"/>
      <c r="J926" s="5" t="str">
        <f t="shared" si="74"/>
        <v/>
      </c>
      <c r="K926" s="3"/>
      <c r="L926" s="3" t="str">
        <f t="shared" si="73"/>
        <v/>
      </c>
      <c r="N926" s="3" t="str">
        <f t="shared" si="72"/>
        <v/>
      </c>
      <c r="O926" s="6" t="str">
        <f t="shared" si="75"/>
        <v/>
      </c>
      <c r="P926" s="7">
        <f ca="1">SUMIFS($N$2:$N926,$B$2:$B926,"&lt;&gt;"&amp;B926)+SUM($Q$2:$Q926)</f>
        <v>135.05500000000001</v>
      </c>
      <c r="R926" t="b">
        <f>AND(ISNUMBER(FIND($E926,Tables!$I$2)), ISNUMBER(FIND($D926,Tables!$J$2)), $E926&lt;&gt;"")</f>
        <v>0</v>
      </c>
    </row>
    <row r="927" spans="1:18" x14ac:dyDescent="0.3">
      <c r="A927">
        <f t="shared" si="71"/>
        <v>910</v>
      </c>
      <c r="B927" s="4"/>
      <c r="I927" s="8"/>
      <c r="J927" s="5" t="str">
        <f t="shared" si="74"/>
        <v/>
      </c>
      <c r="K927" s="3"/>
      <c r="L927" s="3" t="str">
        <f t="shared" si="73"/>
        <v/>
      </c>
      <c r="N927" s="3" t="str">
        <f t="shared" si="72"/>
        <v/>
      </c>
      <c r="O927" s="6" t="str">
        <f t="shared" si="75"/>
        <v/>
      </c>
      <c r="P927" s="7">
        <f ca="1">SUMIFS($N$2:$N927,$B$2:$B927,"&lt;&gt;"&amp;B927)+SUM($Q$2:$Q927)</f>
        <v>135.05500000000001</v>
      </c>
      <c r="R927" t="b">
        <f>AND(ISNUMBER(FIND($E927,Tables!$I$2)), ISNUMBER(FIND($D927,Tables!$J$2)), $E927&lt;&gt;"")</f>
        <v>0</v>
      </c>
    </row>
    <row r="928" spans="1:18" x14ac:dyDescent="0.3">
      <c r="A928">
        <f t="shared" si="71"/>
        <v>911</v>
      </c>
      <c r="B928" s="4"/>
      <c r="I928" s="8"/>
      <c r="J928" s="5" t="str">
        <f t="shared" si="74"/>
        <v/>
      </c>
      <c r="K928" s="3"/>
      <c r="L928" s="3" t="str">
        <f t="shared" si="73"/>
        <v/>
      </c>
      <c r="N928" s="3" t="str">
        <f t="shared" si="72"/>
        <v/>
      </c>
      <c r="O928" s="6" t="str">
        <f t="shared" si="75"/>
        <v/>
      </c>
      <c r="P928" s="7">
        <f ca="1">SUMIFS($N$2:$N928,$B$2:$B928,"&lt;&gt;"&amp;B928)+SUM($Q$2:$Q928)</f>
        <v>135.05500000000001</v>
      </c>
      <c r="R928" t="b">
        <f>AND(ISNUMBER(FIND($E928,Tables!$I$2)), ISNUMBER(FIND($D928,Tables!$J$2)), $E928&lt;&gt;"")</f>
        <v>0</v>
      </c>
    </row>
    <row r="929" spans="1:18" x14ac:dyDescent="0.3">
      <c r="A929">
        <f t="shared" si="71"/>
        <v>912</v>
      </c>
      <c r="B929" s="4"/>
      <c r="I929" s="8"/>
      <c r="J929" s="5" t="str">
        <f t="shared" si="74"/>
        <v/>
      </c>
      <c r="K929" s="3"/>
      <c r="L929" s="3" t="str">
        <f t="shared" si="73"/>
        <v/>
      </c>
      <c r="N929" s="3" t="str">
        <f t="shared" si="72"/>
        <v/>
      </c>
      <c r="O929" s="6" t="str">
        <f t="shared" si="75"/>
        <v/>
      </c>
      <c r="P929" s="7">
        <f ca="1">SUMIFS($N$2:$N929,$B$2:$B929,"&lt;&gt;"&amp;B929)+SUM($Q$2:$Q929)</f>
        <v>135.05500000000001</v>
      </c>
      <c r="R929" t="b">
        <f>AND(ISNUMBER(FIND($E929,Tables!$I$2)), ISNUMBER(FIND($D929,Tables!$J$2)), $E929&lt;&gt;"")</f>
        <v>0</v>
      </c>
    </row>
    <row r="930" spans="1:18" x14ac:dyDescent="0.3">
      <c r="A930">
        <f t="shared" ref="A930:A993" si="76">IF(AND(B930="", D930&lt;&gt;""), A929, A929+1)</f>
        <v>913</v>
      </c>
      <c r="B930" s="4"/>
      <c r="I930" s="8"/>
      <c r="J930" s="5" t="str">
        <f t="shared" si="74"/>
        <v/>
      </c>
      <c r="K930" s="3"/>
      <c r="L930" s="3" t="str">
        <f t="shared" si="73"/>
        <v/>
      </c>
      <c r="N930" s="3" t="str">
        <f t="shared" si="72"/>
        <v/>
      </c>
      <c r="O930" s="6" t="str">
        <f t="shared" si="75"/>
        <v/>
      </c>
      <c r="P930" s="7">
        <f ca="1">SUMIFS($N$2:$N930,$B$2:$B930,"&lt;&gt;"&amp;B930)+SUM($Q$2:$Q930)</f>
        <v>135.05500000000001</v>
      </c>
      <c r="R930" t="b">
        <f>AND(ISNUMBER(FIND($E930,Tables!$I$2)), ISNUMBER(FIND($D930,Tables!$J$2)), $E930&lt;&gt;"")</f>
        <v>0</v>
      </c>
    </row>
    <row r="931" spans="1:18" x14ac:dyDescent="0.3">
      <c r="A931">
        <f t="shared" si="76"/>
        <v>914</v>
      </c>
      <c r="B931" s="4"/>
      <c r="I931" s="8"/>
      <c r="J931" s="5" t="str">
        <f t="shared" si="74"/>
        <v/>
      </c>
      <c r="K931" s="3"/>
      <c r="L931" s="3" t="str">
        <f t="shared" si="73"/>
        <v/>
      </c>
      <c r="N931" s="3" t="str">
        <f t="shared" si="72"/>
        <v/>
      </c>
      <c r="O931" s="6" t="str">
        <f t="shared" si="75"/>
        <v/>
      </c>
      <c r="P931" s="7">
        <f ca="1">SUMIFS($N$2:$N931,$B$2:$B931,"&lt;&gt;"&amp;B931)+SUM($Q$2:$Q931)</f>
        <v>135.05500000000001</v>
      </c>
      <c r="R931" t="b">
        <f>AND(ISNUMBER(FIND($E931,Tables!$I$2)), ISNUMBER(FIND($D931,Tables!$J$2)), $E931&lt;&gt;"")</f>
        <v>0</v>
      </c>
    </row>
    <row r="932" spans="1:18" x14ac:dyDescent="0.3">
      <c r="A932">
        <f t="shared" si="76"/>
        <v>915</v>
      </c>
      <c r="B932" s="4"/>
      <c r="I932" s="8"/>
      <c r="J932" s="5" t="str">
        <f t="shared" si="74"/>
        <v/>
      </c>
      <c r="K932" s="3"/>
      <c r="L932" s="3" t="str">
        <f t="shared" si="73"/>
        <v/>
      </c>
      <c r="N932" s="3" t="str">
        <f t="shared" si="72"/>
        <v/>
      </c>
      <c r="O932" s="6" t="str">
        <f t="shared" si="75"/>
        <v/>
      </c>
      <c r="P932" s="7">
        <f ca="1">SUMIFS($N$2:$N932,$B$2:$B932,"&lt;&gt;"&amp;B932)+SUM($Q$2:$Q932)</f>
        <v>135.05500000000001</v>
      </c>
      <c r="R932" t="b">
        <f>AND(ISNUMBER(FIND($E932,Tables!$I$2)), ISNUMBER(FIND($D932,Tables!$J$2)), $E932&lt;&gt;"")</f>
        <v>0</v>
      </c>
    </row>
    <row r="933" spans="1:18" x14ac:dyDescent="0.3">
      <c r="A933">
        <f t="shared" si="76"/>
        <v>916</v>
      </c>
      <c r="B933" s="4"/>
      <c r="I933" s="8"/>
      <c r="J933" s="5" t="str">
        <f t="shared" si="74"/>
        <v/>
      </c>
      <c r="K933" s="3"/>
      <c r="L933" s="3" t="str">
        <f t="shared" si="73"/>
        <v/>
      </c>
      <c r="N933" s="3" t="str">
        <f t="shared" si="72"/>
        <v/>
      </c>
      <c r="O933" s="6" t="str">
        <f t="shared" si="75"/>
        <v/>
      </c>
      <c r="P933" s="7">
        <f ca="1">SUMIFS($N$2:$N933,$B$2:$B933,"&lt;&gt;"&amp;B933)+SUM($Q$2:$Q933)</f>
        <v>135.05500000000001</v>
      </c>
      <c r="R933" t="b">
        <f>AND(ISNUMBER(FIND($E933,Tables!$I$2)), ISNUMBER(FIND($D933,Tables!$J$2)), $E933&lt;&gt;"")</f>
        <v>0</v>
      </c>
    </row>
    <row r="934" spans="1:18" x14ac:dyDescent="0.3">
      <c r="A934">
        <f t="shared" si="76"/>
        <v>917</v>
      </c>
      <c r="B934" s="4"/>
      <c r="I934" s="8"/>
      <c r="J934" s="5" t="str">
        <f t="shared" si="74"/>
        <v/>
      </c>
      <c r="K934" s="3"/>
      <c r="L934" s="3" t="str">
        <f t="shared" si="73"/>
        <v/>
      </c>
      <c r="N934" s="3" t="str">
        <f t="shared" si="72"/>
        <v/>
      </c>
      <c r="O934" s="6" t="str">
        <f t="shared" si="75"/>
        <v/>
      </c>
      <c r="P934" s="7">
        <f ca="1">SUMIFS($N$2:$N934,$B$2:$B934,"&lt;&gt;"&amp;B934)+SUM($Q$2:$Q934)</f>
        <v>135.05500000000001</v>
      </c>
      <c r="R934" t="b">
        <f>AND(ISNUMBER(FIND($E934,Tables!$I$2)), ISNUMBER(FIND($D934,Tables!$J$2)), $E934&lt;&gt;"")</f>
        <v>0</v>
      </c>
    </row>
    <row r="935" spans="1:18" x14ac:dyDescent="0.3">
      <c r="A935">
        <f t="shared" si="76"/>
        <v>918</v>
      </c>
      <c r="B935" s="4"/>
      <c r="I935" s="8"/>
      <c r="J935" s="5" t="str">
        <f t="shared" si="74"/>
        <v/>
      </c>
      <c r="K935" s="3"/>
      <c r="L935" s="3" t="str">
        <f t="shared" si="73"/>
        <v/>
      </c>
      <c r="N935" s="3" t="str">
        <f t="shared" si="72"/>
        <v/>
      </c>
      <c r="O935" s="6" t="str">
        <f t="shared" si="75"/>
        <v/>
      </c>
      <c r="P935" s="7">
        <f ca="1">SUMIFS($N$2:$N935,$B$2:$B935,"&lt;&gt;"&amp;B935)+SUM($Q$2:$Q935)</f>
        <v>135.05500000000001</v>
      </c>
      <c r="R935" t="b">
        <f>AND(ISNUMBER(FIND($E935,Tables!$I$2)), ISNUMBER(FIND($D935,Tables!$J$2)), $E935&lt;&gt;"")</f>
        <v>0</v>
      </c>
    </row>
    <row r="936" spans="1:18" x14ac:dyDescent="0.3">
      <c r="A936">
        <f t="shared" si="76"/>
        <v>919</v>
      </c>
      <c r="B936" s="4"/>
      <c r="I936" s="8"/>
      <c r="J936" s="5" t="str">
        <f t="shared" si="74"/>
        <v/>
      </c>
      <c r="K936" s="3"/>
      <c r="L936" s="3" t="str">
        <f t="shared" si="73"/>
        <v/>
      </c>
      <c r="N936" s="3" t="str">
        <f t="shared" ref="N936:N999" si="77">IF(L936 = "", "", IF(M936="", "", IF(OR(M936="Draw",M936="NC"), 0, IF(M936="win", L936, -1*K936))))</f>
        <v/>
      </c>
      <c r="O936" s="6" t="str">
        <f t="shared" si="75"/>
        <v/>
      </c>
      <c r="P936" s="7">
        <f ca="1">SUMIFS($N$2:$N936,$B$2:$B936,"&lt;&gt;"&amp;B936)+SUM($Q$2:$Q936)</f>
        <v>135.05500000000001</v>
      </c>
      <c r="R936" t="b">
        <f>AND(ISNUMBER(FIND($E936,Tables!$I$2)), ISNUMBER(FIND($D936,Tables!$J$2)), $E936&lt;&gt;"")</f>
        <v>0</v>
      </c>
    </row>
    <row r="937" spans="1:18" x14ac:dyDescent="0.3">
      <c r="A937">
        <f t="shared" si="76"/>
        <v>920</v>
      </c>
      <c r="B937" s="4"/>
      <c r="I937" s="8"/>
      <c r="J937" s="5" t="str">
        <f t="shared" si="74"/>
        <v/>
      </c>
      <c r="K937" s="3"/>
      <c r="L937" s="3" t="str">
        <f t="shared" si="73"/>
        <v/>
      </c>
      <c r="N937" s="3" t="str">
        <f t="shared" si="77"/>
        <v/>
      </c>
      <c r="O937" s="6" t="str">
        <f t="shared" si="75"/>
        <v/>
      </c>
      <c r="P937" s="7">
        <f ca="1">SUMIFS($N$2:$N937,$B$2:$B937,"&lt;&gt;"&amp;B937)+SUM($Q$2:$Q937)</f>
        <v>135.05500000000001</v>
      </c>
      <c r="R937" t="b">
        <f>AND(ISNUMBER(FIND($E937,Tables!$I$2)), ISNUMBER(FIND($D937,Tables!$J$2)), $E937&lt;&gt;"")</f>
        <v>0</v>
      </c>
    </row>
    <row r="938" spans="1:18" x14ac:dyDescent="0.3">
      <c r="A938">
        <f t="shared" si="76"/>
        <v>921</v>
      </c>
      <c r="B938" s="4"/>
      <c r="I938" s="8"/>
      <c r="J938" s="5" t="str">
        <f t="shared" si="74"/>
        <v/>
      </c>
      <c r="K938" s="3"/>
      <c r="L938" s="3" t="str">
        <f t="shared" si="73"/>
        <v/>
      </c>
      <c r="N938" s="3" t="str">
        <f t="shared" si="77"/>
        <v/>
      </c>
      <c r="O938" s="6" t="str">
        <f t="shared" si="75"/>
        <v/>
      </c>
      <c r="P938" s="7">
        <f ca="1">SUMIFS($N$2:$N938,$B$2:$B938,"&lt;&gt;"&amp;B938)+SUM($Q$2:$Q938)</f>
        <v>135.05500000000001</v>
      </c>
      <c r="R938" t="b">
        <f>AND(ISNUMBER(FIND($E938,Tables!$I$2)), ISNUMBER(FIND($D938,Tables!$J$2)), $E938&lt;&gt;"")</f>
        <v>0</v>
      </c>
    </row>
    <row r="939" spans="1:18" x14ac:dyDescent="0.3">
      <c r="A939">
        <f t="shared" si="76"/>
        <v>922</v>
      </c>
      <c r="B939" s="4"/>
      <c r="I939" s="8"/>
      <c r="J939" s="5" t="str">
        <f t="shared" si="74"/>
        <v/>
      </c>
      <c r="K939" s="3"/>
      <c r="L939" s="3" t="str">
        <f t="shared" si="73"/>
        <v/>
      </c>
      <c r="N939" s="3" t="str">
        <f t="shared" si="77"/>
        <v/>
      </c>
      <c r="O939" s="6" t="str">
        <f t="shared" si="75"/>
        <v/>
      </c>
      <c r="P939" s="7">
        <f ca="1">SUMIFS($N$2:$N939,$B$2:$B939,"&lt;&gt;"&amp;B939)+SUM($Q$2:$Q939)</f>
        <v>135.05500000000001</v>
      </c>
      <c r="R939" t="b">
        <f>AND(ISNUMBER(FIND($E939,Tables!$I$2)), ISNUMBER(FIND($D939,Tables!$J$2)), $E939&lt;&gt;"")</f>
        <v>0</v>
      </c>
    </row>
    <row r="940" spans="1:18" x14ac:dyDescent="0.3">
      <c r="A940">
        <f t="shared" si="76"/>
        <v>923</v>
      </c>
      <c r="B940" s="4"/>
      <c r="I940" s="8"/>
      <c r="J940" s="5" t="str">
        <f t="shared" si="74"/>
        <v/>
      </c>
      <c r="K940" s="3"/>
      <c r="L940" s="3" t="str">
        <f t="shared" si="73"/>
        <v/>
      </c>
      <c r="N940" s="3" t="str">
        <f t="shared" si="77"/>
        <v/>
      </c>
      <c r="O940" s="6" t="str">
        <f t="shared" si="75"/>
        <v/>
      </c>
      <c r="P940" s="7">
        <f ca="1">SUMIFS($N$2:$N940,$B$2:$B940,"&lt;&gt;"&amp;B940)+SUM($Q$2:$Q940)</f>
        <v>135.05500000000001</v>
      </c>
      <c r="R940" t="b">
        <f>AND(ISNUMBER(FIND($E940,Tables!$I$2)), ISNUMBER(FIND($D940,Tables!$J$2)), $E940&lt;&gt;"")</f>
        <v>0</v>
      </c>
    </row>
    <row r="941" spans="1:18" x14ac:dyDescent="0.3">
      <c r="A941">
        <f t="shared" si="76"/>
        <v>924</v>
      </c>
      <c r="B941" s="4"/>
      <c r="I941" s="8"/>
      <c r="J941" s="5" t="str">
        <f t="shared" si="74"/>
        <v/>
      </c>
      <c r="K941" s="3"/>
      <c r="L941" s="3" t="str">
        <f t="shared" si="73"/>
        <v/>
      </c>
      <c r="N941" s="3" t="str">
        <f t="shared" si="77"/>
        <v/>
      </c>
      <c r="O941" s="6" t="str">
        <f t="shared" si="75"/>
        <v/>
      </c>
      <c r="P941" s="7">
        <f ca="1">SUMIFS($N$2:$N941,$B$2:$B941,"&lt;&gt;"&amp;B941)+SUM($Q$2:$Q941)</f>
        <v>135.05500000000001</v>
      </c>
      <c r="R941" t="b">
        <f>AND(ISNUMBER(FIND($E941,Tables!$I$2)), ISNUMBER(FIND($D941,Tables!$J$2)), $E941&lt;&gt;"")</f>
        <v>0</v>
      </c>
    </row>
    <row r="942" spans="1:18" x14ac:dyDescent="0.3">
      <c r="A942">
        <f t="shared" si="76"/>
        <v>925</v>
      </c>
      <c r="B942" s="4"/>
      <c r="I942" s="8"/>
      <c r="J942" s="5" t="str">
        <f t="shared" si="74"/>
        <v/>
      </c>
      <c r="K942" s="3"/>
      <c r="L942" s="3" t="str">
        <f t="shared" si="73"/>
        <v/>
      </c>
      <c r="N942" s="3" t="str">
        <f t="shared" si="77"/>
        <v/>
      </c>
      <c r="O942" s="6" t="str">
        <f t="shared" si="75"/>
        <v/>
      </c>
      <c r="P942" s="7">
        <f ca="1">SUMIFS($N$2:$N942,$B$2:$B942,"&lt;&gt;"&amp;B942)+SUM($Q$2:$Q942)</f>
        <v>135.05500000000001</v>
      </c>
      <c r="R942" t="b">
        <f>AND(ISNUMBER(FIND($E942,Tables!$I$2)), ISNUMBER(FIND($D942,Tables!$J$2)), $E942&lt;&gt;"")</f>
        <v>0</v>
      </c>
    </row>
    <row r="943" spans="1:18" x14ac:dyDescent="0.3">
      <c r="A943">
        <f t="shared" si="76"/>
        <v>926</v>
      </c>
      <c r="B943" s="4"/>
      <c r="I943" s="8"/>
      <c r="J943" s="5" t="str">
        <f t="shared" si="74"/>
        <v/>
      </c>
      <c r="K943" s="3"/>
      <c r="L943" s="3" t="str">
        <f t="shared" si="73"/>
        <v/>
      </c>
      <c r="N943" s="3" t="str">
        <f t="shared" si="77"/>
        <v/>
      </c>
      <c r="O943" s="6" t="str">
        <f t="shared" si="75"/>
        <v/>
      </c>
      <c r="P943" s="7">
        <f ca="1">SUMIFS($N$2:$N943,$B$2:$B943,"&lt;&gt;"&amp;B943)+SUM($Q$2:$Q943)</f>
        <v>135.05500000000001</v>
      </c>
      <c r="R943" t="b">
        <f>AND(ISNUMBER(FIND($E943,Tables!$I$2)), ISNUMBER(FIND($D943,Tables!$J$2)), $E943&lt;&gt;"")</f>
        <v>0</v>
      </c>
    </row>
    <row r="944" spans="1:18" x14ac:dyDescent="0.3">
      <c r="A944">
        <f t="shared" si="76"/>
        <v>927</v>
      </c>
      <c r="B944" s="4"/>
      <c r="I944" s="8"/>
      <c r="J944" s="5" t="str">
        <f t="shared" si="74"/>
        <v/>
      </c>
      <c r="K944" s="3"/>
      <c r="L944" s="3" t="str">
        <f t="shared" si="73"/>
        <v/>
      </c>
      <c r="N944" s="3" t="str">
        <f t="shared" si="77"/>
        <v/>
      </c>
      <c r="O944" s="6" t="str">
        <f t="shared" si="75"/>
        <v/>
      </c>
      <c r="P944" s="7">
        <f ca="1">SUMIFS($N$2:$N944,$B$2:$B944,"&lt;&gt;"&amp;B944)+SUM($Q$2:$Q944)</f>
        <v>135.05500000000001</v>
      </c>
      <c r="R944" t="b">
        <f>AND(ISNUMBER(FIND($E944,Tables!$I$2)), ISNUMBER(FIND($D944,Tables!$J$2)), $E944&lt;&gt;"")</f>
        <v>0</v>
      </c>
    </row>
    <row r="945" spans="1:18" x14ac:dyDescent="0.3">
      <c r="A945">
        <f t="shared" si="76"/>
        <v>928</v>
      </c>
      <c r="B945" s="4"/>
      <c r="I945" s="8"/>
      <c r="J945" s="5" t="str">
        <f t="shared" si="74"/>
        <v/>
      </c>
      <c r="K945" s="3"/>
      <c r="L945" s="3" t="str">
        <f t="shared" si="73"/>
        <v/>
      </c>
      <c r="N945" s="3" t="str">
        <f t="shared" si="77"/>
        <v/>
      </c>
      <c r="O945" s="6" t="str">
        <f t="shared" si="75"/>
        <v/>
      </c>
      <c r="P945" s="7">
        <f ca="1">SUMIFS($N$2:$N945,$B$2:$B945,"&lt;&gt;"&amp;B945)+SUM($Q$2:$Q945)</f>
        <v>135.05500000000001</v>
      </c>
      <c r="R945" t="b">
        <f>AND(ISNUMBER(FIND($E945,Tables!$I$2)), ISNUMBER(FIND($D945,Tables!$J$2)), $E945&lt;&gt;"")</f>
        <v>0</v>
      </c>
    </row>
    <row r="946" spans="1:18" x14ac:dyDescent="0.3">
      <c r="A946">
        <f t="shared" si="76"/>
        <v>929</v>
      </c>
      <c r="B946" s="4"/>
      <c r="I946" s="8"/>
      <c r="J946" s="5" t="str">
        <f t="shared" si="74"/>
        <v/>
      </c>
      <c r="K946" s="3"/>
      <c r="L946" s="3" t="str">
        <f t="shared" ref="L946:L1009" si="78">IFERROR(IF(K946=0, "", IF(I946&gt;0, K946/100*I946,K946/I946*-100)), "")</f>
        <v/>
      </c>
      <c r="N946" s="3" t="str">
        <f t="shared" si="77"/>
        <v/>
      </c>
      <c r="O946" s="6" t="str">
        <f t="shared" si="75"/>
        <v/>
      </c>
      <c r="P946" s="7">
        <f ca="1">SUMIFS($N$2:$N946,$B$2:$B946,"&lt;&gt;"&amp;B946)+SUM($Q$2:$Q946)</f>
        <v>135.05500000000001</v>
      </c>
      <c r="R946" t="b">
        <f>AND(ISNUMBER(FIND($E946,Tables!$I$2)), ISNUMBER(FIND($D946,Tables!$J$2)), $E946&lt;&gt;"")</f>
        <v>0</v>
      </c>
    </row>
    <row r="947" spans="1:18" x14ac:dyDescent="0.3">
      <c r="A947">
        <f t="shared" si="76"/>
        <v>930</v>
      </c>
      <c r="B947" s="4"/>
      <c r="I947" s="8"/>
      <c r="J947" s="5" t="str">
        <f t="shared" si="74"/>
        <v/>
      </c>
      <c r="K947" s="3"/>
      <c r="L947" s="3" t="str">
        <f t="shared" si="78"/>
        <v/>
      </c>
      <c r="N947" s="3" t="str">
        <f t="shared" si="77"/>
        <v/>
      </c>
      <c r="O947" s="6" t="str">
        <f t="shared" si="75"/>
        <v/>
      </c>
      <c r="P947" s="7">
        <f ca="1">SUMIFS($N$2:$N947,$B$2:$B947,"&lt;&gt;"&amp;B947)+SUM($Q$2:$Q947)</f>
        <v>135.05500000000001</v>
      </c>
      <c r="R947" t="b">
        <f>AND(ISNUMBER(FIND($E947,Tables!$I$2)), ISNUMBER(FIND($D947,Tables!$J$2)), $E947&lt;&gt;"")</f>
        <v>0</v>
      </c>
    </row>
    <row r="948" spans="1:18" x14ac:dyDescent="0.3">
      <c r="A948">
        <f t="shared" si="76"/>
        <v>931</v>
      </c>
      <c r="B948" s="4"/>
      <c r="I948" s="8"/>
      <c r="J948" s="5" t="str">
        <f t="shared" si="74"/>
        <v/>
      </c>
      <c r="K948" s="3"/>
      <c r="L948" s="3" t="str">
        <f t="shared" si="78"/>
        <v/>
      </c>
      <c r="N948" s="3" t="str">
        <f t="shared" si="77"/>
        <v/>
      </c>
      <c r="O948" s="6" t="str">
        <f t="shared" si="75"/>
        <v/>
      </c>
      <c r="P948" s="7">
        <f ca="1">SUMIFS($N$2:$N948,$B$2:$B948,"&lt;&gt;"&amp;B948)+SUM($Q$2:$Q948)</f>
        <v>135.05500000000001</v>
      </c>
      <c r="R948" t="b">
        <f>AND(ISNUMBER(FIND($E948,Tables!$I$2)), ISNUMBER(FIND($D948,Tables!$J$2)), $E948&lt;&gt;"")</f>
        <v>0</v>
      </c>
    </row>
    <row r="949" spans="1:18" x14ac:dyDescent="0.3">
      <c r="A949">
        <f t="shared" si="76"/>
        <v>932</v>
      </c>
      <c r="B949" s="4"/>
      <c r="I949" s="8"/>
      <c r="J949" s="5" t="str">
        <f t="shared" si="74"/>
        <v/>
      </c>
      <c r="K949" s="3"/>
      <c r="L949" s="3" t="str">
        <f t="shared" si="78"/>
        <v/>
      </c>
      <c r="N949" s="3" t="str">
        <f t="shared" si="77"/>
        <v/>
      </c>
      <c r="O949" s="6" t="str">
        <f t="shared" si="75"/>
        <v/>
      </c>
      <c r="P949" s="7">
        <f ca="1">SUMIFS($N$2:$N949,$B$2:$B949,"&lt;&gt;"&amp;B949)+SUM($Q$2:$Q949)</f>
        <v>135.05500000000001</v>
      </c>
      <c r="R949" t="b">
        <f>AND(ISNUMBER(FIND($E949,Tables!$I$2)), ISNUMBER(FIND($D949,Tables!$J$2)), $E949&lt;&gt;"")</f>
        <v>0</v>
      </c>
    </row>
    <row r="950" spans="1:18" x14ac:dyDescent="0.3">
      <c r="A950">
        <f t="shared" si="76"/>
        <v>933</v>
      </c>
      <c r="B950" s="4"/>
      <c r="I950" s="8"/>
      <c r="J950" s="5" t="str">
        <f t="shared" si="74"/>
        <v/>
      </c>
      <c r="K950" s="3"/>
      <c r="L950" s="3" t="str">
        <f t="shared" si="78"/>
        <v/>
      </c>
      <c r="N950" s="3" t="str">
        <f t="shared" si="77"/>
        <v/>
      </c>
      <c r="O950" s="6" t="str">
        <f t="shared" si="75"/>
        <v/>
      </c>
      <c r="P950" s="7">
        <f ca="1">SUMIFS($N$2:$N950,$B$2:$B950,"&lt;&gt;"&amp;B950)+SUM($Q$2:$Q950)</f>
        <v>135.05500000000001</v>
      </c>
      <c r="R950" t="b">
        <f>AND(ISNUMBER(FIND($E950,Tables!$I$2)), ISNUMBER(FIND($D950,Tables!$J$2)), $E950&lt;&gt;"")</f>
        <v>0</v>
      </c>
    </row>
    <row r="951" spans="1:18" x14ac:dyDescent="0.3">
      <c r="A951">
        <f t="shared" si="76"/>
        <v>934</v>
      </c>
      <c r="B951" s="4"/>
      <c r="I951" s="8"/>
      <c r="J951" s="5" t="str">
        <f t="shared" si="74"/>
        <v/>
      </c>
      <c r="K951" s="3"/>
      <c r="L951" s="3" t="str">
        <f t="shared" si="78"/>
        <v/>
      </c>
      <c r="N951" s="3" t="str">
        <f t="shared" si="77"/>
        <v/>
      </c>
      <c r="O951" s="6" t="str">
        <f t="shared" si="75"/>
        <v/>
      </c>
      <c r="P951" s="7">
        <f ca="1">SUMIFS($N$2:$N951,$B$2:$B951,"&lt;&gt;"&amp;B951)+SUM($Q$2:$Q951)</f>
        <v>135.05500000000001</v>
      </c>
      <c r="R951" t="b">
        <f>AND(ISNUMBER(FIND($E951,Tables!$I$2)), ISNUMBER(FIND($D951,Tables!$J$2)), $E951&lt;&gt;"")</f>
        <v>0</v>
      </c>
    </row>
    <row r="952" spans="1:18" x14ac:dyDescent="0.3">
      <c r="A952">
        <f t="shared" si="76"/>
        <v>935</v>
      </c>
      <c r="B952" s="4"/>
      <c r="I952" s="8"/>
      <c r="J952" s="5" t="str">
        <f t="shared" si="74"/>
        <v/>
      </c>
      <c r="K952" s="3"/>
      <c r="L952" s="3" t="str">
        <f t="shared" si="78"/>
        <v/>
      </c>
      <c r="N952" s="3" t="str">
        <f t="shared" si="77"/>
        <v/>
      </c>
      <c r="O952" s="6" t="str">
        <f t="shared" si="75"/>
        <v/>
      </c>
      <c r="P952" s="7">
        <f ca="1">SUMIFS($N$2:$N952,$B$2:$B952,"&lt;&gt;"&amp;B952)+SUM($Q$2:$Q952)</f>
        <v>135.05500000000001</v>
      </c>
      <c r="R952" t="b">
        <f>AND(ISNUMBER(FIND($E952,Tables!$I$2)), ISNUMBER(FIND($D952,Tables!$J$2)), $E952&lt;&gt;"")</f>
        <v>0</v>
      </c>
    </row>
    <row r="953" spans="1:18" x14ac:dyDescent="0.3">
      <c r="A953">
        <f t="shared" si="76"/>
        <v>936</v>
      </c>
      <c r="B953" s="4"/>
      <c r="I953" s="8"/>
      <c r="J953" s="5" t="str">
        <f t="shared" si="74"/>
        <v/>
      </c>
      <c r="K953" s="3"/>
      <c r="L953" s="3" t="str">
        <f t="shared" si="78"/>
        <v/>
      </c>
      <c r="N953" s="3" t="str">
        <f t="shared" si="77"/>
        <v/>
      </c>
      <c r="O953" s="6" t="str">
        <f t="shared" si="75"/>
        <v/>
      </c>
      <c r="P953" s="7">
        <f ca="1">SUMIFS($N$2:$N953,$B$2:$B953,"&lt;&gt;"&amp;B953)+SUM($Q$2:$Q953)</f>
        <v>135.05500000000001</v>
      </c>
      <c r="R953" t="b">
        <f>AND(ISNUMBER(FIND($E953,Tables!$I$2)), ISNUMBER(FIND($D953,Tables!$J$2)), $E953&lt;&gt;"")</f>
        <v>0</v>
      </c>
    </row>
    <row r="954" spans="1:18" x14ac:dyDescent="0.3">
      <c r="A954">
        <f t="shared" si="76"/>
        <v>937</v>
      </c>
      <c r="B954" s="4"/>
      <c r="I954" s="8"/>
      <c r="J954" s="5" t="str">
        <f t="shared" si="74"/>
        <v/>
      </c>
      <c r="K954" s="3"/>
      <c r="L954" s="3" t="str">
        <f t="shared" si="78"/>
        <v/>
      </c>
      <c r="N954" s="3" t="str">
        <f t="shared" si="77"/>
        <v/>
      </c>
      <c r="O954" s="6" t="str">
        <f t="shared" si="75"/>
        <v/>
      </c>
      <c r="P954" s="7">
        <f ca="1">SUMIFS($N$2:$N954,$B$2:$B954,"&lt;&gt;"&amp;B954)+SUM($Q$2:$Q954)</f>
        <v>135.05500000000001</v>
      </c>
      <c r="R954" t="b">
        <f>AND(ISNUMBER(FIND($E954,Tables!$I$2)), ISNUMBER(FIND($D954,Tables!$J$2)), $E954&lt;&gt;"")</f>
        <v>0</v>
      </c>
    </row>
    <row r="955" spans="1:18" x14ac:dyDescent="0.3">
      <c r="A955">
        <f t="shared" si="76"/>
        <v>938</v>
      </c>
      <c r="B955" s="4"/>
      <c r="I955" s="8"/>
      <c r="J955" s="5" t="str">
        <f t="shared" si="74"/>
        <v/>
      </c>
      <c r="K955" s="3"/>
      <c r="L955" s="3" t="str">
        <f t="shared" si="78"/>
        <v/>
      </c>
      <c r="N955" s="3" t="str">
        <f t="shared" si="77"/>
        <v/>
      </c>
      <c r="O955" s="6" t="str">
        <f t="shared" si="75"/>
        <v/>
      </c>
      <c r="P955" s="7">
        <f ca="1">SUMIFS($N$2:$N955,$B$2:$B955,"&lt;&gt;"&amp;B955)+SUM($Q$2:$Q955)</f>
        <v>135.05500000000001</v>
      </c>
      <c r="R955" t="b">
        <f>AND(ISNUMBER(FIND($E955,Tables!$I$2)), ISNUMBER(FIND($D955,Tables!$J$2)), $E955&lt;&gt;"")</f>
        <v>0</v>
      </c>
    </row>
    <row r="956" spans="1:18" x14ac:dyDescent="0.3">
      <c r="A956">
        <f t="shared" si="76"/>
        <v>939</v>
      </c>
      <c r="B956" s="4"/>
      <c r="I956" s="8"/>
      <c r="J956" s="5" t="str">
        <f t="shared" si="74"/>
        <v/>
      </c>
      <c r="K956" s="3"/>
      <c r="L956" s="3" t="str">
        <f t="shared" si="78"/>
        <v/>
      </c>
      <c r="N956" s="3" t="str">
        <f t="shared" si="77"/>
        <v/>
      </c>
      <c r="O956" s="6" t="str">
        <f t="shared" si="75"/>
        <v/>
      </c>
      <c r="P956" s="7">
        <f ca="1">SUMIFS($N$2:$N956,$B$2:$B956,"&lt;&gt;"&amp;B956)+SUM($Q$2:$Q956)</f>
        <v>135.05500000000001</v>
      </c>
      <c r="R956" t="b">
        <f>AND(ISNUMBER(FIND($E956,Tables!$I$2)), ISNUMBER(FIND($D956,Tables!$J$2)), $E956&lt;&gt;"")</f>
        <v>0</v>
      </c>
    </row>
    <row r="957" spans="1:18" x14ac:dyDescent="0.3">
      <c r="A957">
        <f t="shared" si="76"/>
        <v>940</v>
      </c>
      <c r="B957" s="4"/>
      <c r="I957" s="8"/>
      <c r="J957" s="5" t="str">
        <f t="shared" si="74"/>
        <v/>
      </c>
      <c r="K957" s="3"/>
      <c r="L957" s="3" t="str">
        <f t="shared" si="78"/>
        <v/>
      </c>
      <c r="N957" s="3" t="str">
        <f t="shared" si="77"/>
        <v/>
      </c>
      <c r="O957" s="6" t="str">
        <f t="shared" si="75"/>
        <v/>
      </c>
      <c r="P957" s="7">
        <f ca="1">SUMIFS($N$2:$N957,$B$2:$B957,"&lt;&gt;"&amp;B957)+SUM($Q$2:$Q957)</f>
        <v>135.05500000000001</v>
      </c>
      <c r="R957" t="b">
        <f>AND(ISNUMBER(FIND($E957,Tables!$I$2)), ISNUMBER(FIND($D957,Tables!$J$2)), $E957&lt;&gt;"")</f>
        <v>0</v>
      </c>
    </row>
    <row r="958" spans="1:18" x14ac:dyDescent="0.3">
      <c r="A958">
        <f t="shared" si="76"/>
        <v>941</v>
      </c>
      <c r="B958" s="4"/>
      <c r="I958" s="8"/>
      <c r="J958" s="5" t="str">
        <f t="shared" si="74"/>
        <v/>
      </c>
      <c r="K958" s="3"/>
      <c r="L958" s="3" t="str">
        <f t="shared" si="78"/>
        <v/>
      </c>
      <c r="N958" s="3" t="str">
        <f t="shared" si="77"/>
        <v/>
      </c>
      <c r="O958" s="6" t="str">
        <f t="shared" si="75"/>
        <v/>
      </c>
      <c r="P958" s="7">
        <f ca="1">SUMIFS($N$2:$N958,$B$2:$B958,"&lt;&gt;"&amp;B958)+SUM($Q$2:$Q958)</f>
        <v>135.05500000000001</v>
      </c>
      <c r="R958" t="b">
        <f>AND(ISNUMBER(FIND($E958,Tables!$I$2)), ISNUMBER(FIND($D958,Tables!$J$2)), $E958&lt;&gt;"")</f>
        <v>0</v>
      </c>
    </row>
    <row r="959" spans="1:18" x14ac:dyDescent="0.3">
      <c r="A959">
        <f t="shared" si="76"/>
        <v>942</v>
      </c>
      <c r="B959" s="4"/>
      <c r="I959" s="8"/>
      <c r="J959" s="5" t="str">
        <f t="shared" si="74"/>
        <v/>
      </c>
      <c r="K959" s="3"/>
      <c r="L959" s="3" t="str">
        <f t="shared" si="78"/>
        <v/>
      </c>
      <c r="N959" s="3" t="str">
        <f t="shared" si="77"/>
        <v/>
      </c>
      <c r="O959" s="6" t="str">
        <f t="shared" si="75"/>
        <v/>
      </c>
      <c r="P959" s="7">
        <f ca="1">SUMIFS($N$2:$N959,$B$2:$B959,"&lt;&gt;"&amp;B959)+SUM($Q$2:$Q959)</f>
        <v>135.05500000000001</v>
      </c>
      <c r="R959" t="b">
        <f>AND(ISNUMBER(FIND($E959,Tables!$I$2)), ISNUMBER(FIND($D959,Tables!$J$2)), $E959&lt;&gt;"")</f>
        <v>0</v>
      </c>
    </row>
    <row r="960" spans="1:18" x14ac:dyDescent="0.3">
      <c r="A960">
        <f t="shared" si="76"/>
        <v>943</v>
      </c>
      <c r="B960" s="4"/>
      <c r="I960" s="8"/>
      <c r="J960" s="5" t="str">
        <f t="shared" si="74"/>
        <v/>
      </c>
      <c r="K960" s="3"/>
      <c r="L960" s="3" t="str">
        <f t="shared" si="78"/>
        <v/>
      </c>
      <c r="N960" s="3" t="str">
        <f t="shared" si="77"/>
        <v/>
      </c>
      <c r="O960" s="6" t="str">
        <f t="shared" si="75"/>
        <v/>
      </c>
      <c r="P960" s="7">
        <f ca="1">SUMIFS($N$2:$N960,$B$2:$B960,"&lt;&gt;"&amp;B960)+SUM($Q$2:$Q960)</f>
        <v>135.05500000000001</v>
      </c>
      <c r="R960" t="b">
        <f>AND(ISNUMBER(FIND($E960,Tables!$I$2)), ISNUMBER(FIND($D960,Tables!$J$2)), $E960&lt;&gt;"")</f>
        <v>0</v>
      </c>
    </row>
    <row r="961" spans="1:18" x14ac:dyDescent="0.3">
      <c r="A961">
        <f t="shared" si="76"/>
        <v>944</v>
      </c>
      <c r="B961" s="4"/>
      <c r="I961" s="8"/>
      <c r="J961" s="5" t="str">
        <f t="shared" si="74"/>
        <v/>
      </c>
      <c r="K961" s="3"/>
      <c r="L961" s="3" t="str">
        <f t="shared" si="78"/>
        <v/>
      </c>
      <c r="N961" s="3" t="str">
        <f t="shared" si="77"/>
        <v/>
      </c>
      <c r="O961" s="6" t="str">
        <f t="shared" si="75"/>
        <v/>
      </c>
      <c r="P961" s="7">
        <f ca="1">SUMIFS($N$2:$N961,$B$2:$B961,"&lt;&gt;"&amp;B961)+SUM($Q$2:$Q961)</f>
        <v>135.05500000000001</v>
      </c>
      <c r="R961" t="b">
        <f>AND(ISNUMBER(FIND($E961,Tables!$I$2)), ISNUMBER(FIND($D961,Tables!$J$2)), $E961&lt;&gt;"")</f>
        <v>0</v>
      </c>
    </row>
    <row r="962" spans="1:18" x14ac:dyDescent="0.3">
      <c r="A962">
        <f t="shared" si="76"/>
        <v>945</v>
      </c>
      <c r="B962" s="4"/>
      <c r="I962" s="8"/>
      <c r="J962" s="5" t="str">
        <f t="shared" ref="J962:J1025" si="79">IF(I962="", "", IF(I962&gt;0, I962/100 +1, -100/I962 +1))</f>
        <v/>
      </c>
      <c r="K962" s="3"/>
      <c r="L962" s="3" t="str">
        <f t="shared" si="78"/>
        <v/>
      </c>
      <c r="N962" s="3" t="str">
        <f t="shared" si="77"/>
        <v/>
      </c>
      <c r="O962" s="6" t="str">
        <f t="shared" ref="O962:O1025" si="80">IFERROR(K962/VLOOKUP(_xlfn.MINIFS(A:A,B:B,B962,C:C,C962),A:P,16),"")</f>
        <v/>
      </c>
      <c r="P962" s="7">
        <f ca="1">SUMIFS($N$2:$N962,$B$2:$B962,"&lt;&gt;"&amp;B962)+SUM($Q$2:$Q962)</f>
        <v>135.05500000000001</v>
      </c>
      <c r="R962" t="b">
        <f>AND(ISNUMBER(FIND($E962,Tables!$I$2)), ISNUMBER(FIND($D962,Tables!$J$2)), $E962&lt;&gt;"")</f>
        <v>0</v>
      </c>
    </row>
    <row r="963" spans="1:18" x14ac:dyDescent="0.3">
      <c r="A963">
        <f t="shared" si="76"/>
        <v>946</v>
      </c>
      <c r="B963" s="4"/>
      <c r="I963" s="8"/>
      <c r="J963" s="5" t="str">
        <f t="shared" si="79"/>
        <v/>
      </c>
      <c r="K963" s="3"/>
      <c r="L963" s="3" t="str">
        <f t="shared" si="78"/>
        <v/>
      </c>
      <c r="N963" s="3" t="str">
        <f t="shared" si="77"/>
        <v/>
      </c>
      <c r="O963" s="6" t="str">
        <f t="shared" si="80"/>
        <v/>
      </c>
      <c r="P963" s="7">
        <f ca="1">SUMIFS($N$2:$N963,$B$2:$B963,"&lt;&gt;"&amp;B963)+SUM($Q$2:$Q963)</f>
        <v>135.05500000000001</v>
      </c>
      <c r="R963" t="b">
        <f>AND(ISNUMBER(FIND($E963,Tables!$I$2)), ISNUMBER(FIND($D963,Tables!$J$2)), $E963&lt;&gt;"")</f>
        <v>0</v>
      </c>
    </row>
    <row r="964" spans="1:18" x14ac:dyDescent="0.3">
      <c r="A964">
        <f t="shared" si="76"/>
        <v>947</v>
      </c>
      <c r="B964" s="4"/>
      <c r="I964" s="8"/>
      <c r="J964" s="5" t="str">
        <f t="shared" si="79"/>
        <v/>
      </c>
      <c r="K964" s="3"/>
      <c r="L964" s="3" t="str">
        <f t="shared" si="78"/>
        <v/>
      </c>
      <c r="N964" s="3" t="str">
        <f t="shared" si="77"/>
        <v/>
      </c>
      <c r="O964" s="6" t="str">
        <f t="shared" si="80"/>
        <v/>
      </c>
      <c r="P964" s="7">
        <f ca="1">SUMIFS($N$2:$N964,$B$2:$B964,"&lt;&gt;"&amp;B964)+SUM($Q$2:$Q964)</f>
        <v>135.05500000000001</v>
      </c>
      <c r="R964" t="b">
        <f>AND(ISNUMBER(FIND($E964,Tables!$I$2)), ISNUMBER(FIND($D964,Tables!$J$2)), $E964&lt;&gt;"")</f>
        <v>0</v>
      </c>
    </row>
    <row r="965" spans="1:18" x14ac:dyDescent="0.3">
      <c r="A965">
        <f t="shared" si="76"/>
        <v>948</v>
      </c>
      <c r="B965" s="4"/>
      <c r="I965" s="8"/>
      <c r="J965" s="5" t="str">
        <f t="shared" si="79"/>
        <v/>
      </c>
      <c r="K965" s="3"/>
      <c r="L965" s="3" t="str">
        <f t="shared" si="78"/>
        <v/>
      </c>
      <c r="N965" s="3" t="str">
        <f t="shared" si="77"/>
        <v/>
      </c>
      <c r="O965" s="6" t="str">
        <f t="shared" si="80"/>
        <v/>
      </c>
      <c r="P965" s="7">
        <f ca="1">SUMIFS($N$2:$N965,$B$2:$B965,"&lt;&gt;"&amp;B965)+SUM($Q$2:$Q965)</f>
        <v>135.05500000000001</v>
      </c>
      <c r="R965" t="b">
        <f>AND(ISNUMBER(FIND($E965,Tables!$I$2)), ISNUMBER(FIND($D965,Tables!$J$2)), $E965&lt;&gt;"")</f>
        <v>0</v>
      </c>
    </row>
    <row r="966" spans="1:18" x14ac:dyDescent="0.3">
      <c r="A966">
        <f t="shared" si="76"/>
        <v>949</v>
      </c>
      <c r="B966" s="4"/>
      <c r="I966" s="8"/>
      <c r="J966" s="5" t="str">
        <f t="shared" si="79"/>
        <v/>
      </c>
      <c r="K966" s="3"/>
      <c r="L966" s="3" t="str">
        <f t="shared" si="78"/>
        <v/>
      </c>
      <c r="N966" s="3" t="str">
        <f t="shared" si="77"/>
        <v/>
      </c>
      <c r="O966" s="6" t="str">
        <f t="shared" si="80"/>
        <v/>
      </c>
      <c r="P966" s="7">
        <f ca="1">SUMIFS($N$2:$N966,$B$2:$B966,"&lt;&gt;"&amp;B966)+SUM($Q$2:$Q966)</f>
        <v>135.05500000000001</v>
      </c>
      <c r="R966" t="b">
        <f>AND(ISNUMBER(FIND($E966,Tables!$I$2)), ISNUMBER(FIND($D966,Tables!$J$2)), $E966&lt;&gt;"")</f>
        <v>0</v>
      </c>
    </row>
    <row r="967" spans="1:18" x14ac:dyDescent="0.3">
      <c r="A967">
        <f t="shared" si="76"/>
        <v>950</v>
      </c>
      <c r="B967" s="4"/>
      <c r="I967" s="8"/>
      <c r="J967" s="5" t="str">
        <f t="shared" si="79"/>
        <v/>
      </c>
      <c r="K967" s="3"/>
      <c r="L967" s="3" t="str">
        <f t="shared" si="78"/>
        <v/>
      </c>
      <c r="N967" s="3" t="str">
        <f t="shared" si="77"/>
        <v/>
      </c>
      <c r="O967" s="6" t="str">
        <f t="shared" si="80"/>
        <v/>
      </c>
      <c r="P967" s="7">
        <f ca="1">SUMIFS($N$2:$N967,$B$2:$B967,"&lt;&gt;"&amp;B967)+SUM($Q$2:$Q967)</f>
        <v>135.05500000000001</v>
      </c>
      <c r="R967" t="b">
        <f>AND(ISNUMBER(FIND($E967,Tables!$I$2)), ISNUMBER(FIND($D967,Tables!$J$2)), $E967&lt;&gt;"")</f>
        <v>0</v>
      </c>
    </row>
    <row r="968" spans="1:18" x14ac:dyDescent="0.3">
      <c r="A968">
        <f t="shared" si="76"/>
        <v>951</v>
      </c>
      <c r="B968" s="4"/>
      <c r="I968" s="8"/>
      <c r="J968" s="5" t="str">
        <f t="shared" si="79"/>
        <v/>
      </c>
      <c r="K968" s="3"/>
      <c r="L968" s="3" t="str">
        <f t="shared" si="78"/>
        <v/>
      </c>
      <c r="N968" s="3" t="str">
        <f t="shared" si="77"/>
        <v/>
      </c>
      <c r="O968" s="6" t="str">
        <f t="shared" si="80"/>
        <v/>
      </c>
      <c r="P968" s="7">
        <f ca="1">SUMIFS($N$2:$N968,$B$2:$B968,"&lt;&gt;"&amp;B968)+SUM($Q$2:$Q968)</f>
        <v>135.05500000000001</v>
      </c>
      <c r="R968" t="b">
        <f>AND(ISNUMBER(FIND($E968,Tables!$I$2)), ISNUMBER(FIND($D968,Tables!$J$2)), $E968&lt;&gt;"")</f>
        <v>0</v>
      </c>
    </row>
    <row r="969" spans="1:18" x14ac:dyDescent="0.3">
      <c r="A969">
        <f t="shared" si="76"/>
        <v>952</v>
      </c>
      <c r="B969" s="4"/>
      <c r="I969" s="8"/>
      <c r="J969" s="5" t="str">
        <f t="shared" si="79"/>
        <v/>
      </c>
      <c r="K969" s="3"/>
      <c r="L969" s="3" t="str">
        <f t="shared" si="78"/>
        <v/>
      </c>
      <c r="N969" s="3" t="str">
        <f t="shared" si="77"/>
        <v/>
      </c>
      <c r="O969" s="6" t="str">
        <f t="shared" si="80"/>
        <v/>
      </c>
      <c r="P969" s="7">
        <f ca="1">SUMIFS($N$2:$N969,$B$2:$B969,"&lt;&gt;"&amp;B969)+SUM($Q$2:$Q969)</f>
        <v>135.05500000000001</v>
      </c>
      <c r="R969" t="b">
        <f>AND(ISNUMBER(FIND($E969,Tables!$I$2)), ISNUMBER(FIND($D969,Tables!$J$2)), $E969&lt;&gt;"")</f>
        <v>0</v>
      </c>
    </row>
    <row r="970" spans="1:18" x14ac:dyDescent="0.3">
      <c r="A970">
        <f t="shared" si="76"/>
        <v>953</v>
      </c>
      <c r="B970" s="4"/>
      <c r="I970" s="8"/>
      <c r="J970" s="5" t="str">
        <f t="shared" si="79"/>
        <v/>
      </c>
      <c r="K970" s="3"/>
      <c r="L970" s="3" t="str">
        <f t="shared" si="78"/>
        <v/>
      </c>
      <c r="N970" s="3" t="str">
        <f t="shared" si="77"/>
        <v/>
      </c>
      <c r="O970" s="6" t="str">
        <f t="shared" si="80"/>
        <v/>
      </c>
      <c r="P970" s="7">
        <f ca="1">SUMIFS($N$2:$N970,$B$2:$B970,"&lt;&gt;"&amp;B970)+SUM($Q$2:$Q970)</f>
        <v>135.05500000000001</v>
      </c>
      <c r="R970" t="b">
        <f>AND(ISNUMBER(FIND($E970,Tables!$I$2)), ISNUMBER(FIND($D970,Tables!$J$2)), $E970&lt;&gt;"")</f>
        <v>0</v>
      </c>
    </row>
    <row r="971" spans="1:18" x14ac:dyDescent="0.3">
      <c r="A971">
        <f t="shared" si="76"/>
        <v>954</v>
      </c>
      <c r="B971" s="4"/>
      <c r="I971" s="8"/>
      <c r="J971" s="5" t="str">
        <f t="shared" si="79"/>
        <v/>
      </c>
      <c r="K971" s="3"/>
      <c r="L971" s="3" t="str">
        <f t="shared" si="78"/>
        <v/>
      </c>
      <c r="N971" s="3" t="str">
        <f t="shared" si="77"/>
        <v/>
      </c>
      <c r="O971" s="6" t="str">
        <f t="shared" si="80"/>
        <v/>
      </c>
      <c r="P971" s="7">
        <f ca="1">SUMIFS($N$2:$N971,$B$2:$B971,"&lt;&gt;"&amp;B971)+SUM($Q$2:$Q971)</f>
        <v>135.05500000000001</v>
      </c>
      <c r="R971" t="b">
        <f>AND(ISNUMBER(FIND($E971,Tables!$I$2)), ISNUMBER(FIND($D971,Tables!$J$2)), $E971&lt;&gt;"")</f>
        <v>0</v>
      </c>
    </row>
    <row r="972" spans="1:18" x14ac:dyDescent="0.3">
      <c r="A972">
        <f t="shared" si="76"/>
        <v>955</v>
      </c>
      <c r="B972" s="4"/>
      <c r="I972" s="8"/>
      <c r="J972" s="5" t="str">
        <f t="shared" si="79"/>
        <v/>
      </c>
      <c r="K972" s="3"/>
      <c r="L972" s="3" t="str">
        <f t="shared" si="78"/>
        <v/>
      </c>
      <c r="N972" s="3" t="str">
        <f t="shared" si="77"/>
        <v/>
      </c>
      <c r="O972" s="6" t="str">
        <f t="shared" si="80"/>
        <v/>
      </c>
      <c r="P972" s="7">
        <f ca="1">SUMIFS($N$2:$N972,$B$2:$B972,"&lt;&gt;"&amp;B972)+SUM($Q$2:$Q972)</f>
        <v>135.05500000000001</v>
      </c>
      <c r="R972" t="b">
        <f>AND(ISNUMBER(FIND($E972,Tables!$I$2)), ISNUMBER(FIND($D972,Tables!$J$2)), $E972&lt;&gt;"")</f>
        <v>0</v>
      </c>
    </row>
    <row r="973" spans="1:18" x14ac:dyDescent="0.3">
      <c r="A973">
        <f t="shared" si="76"/>
        <v>956</v>
      </c>
      <c r="B973" s="4"/>
      <c r="I973" s="8"/>
      <c r="J973" s="5" t="str">
        <f t="shared" si="79"/>
        <v/>
      </c>
      <c r="K973" s="3"/>
      <c r="L973" s="3" t="str">
        <f t="shared" si="78"/>
        <v/>
      </c>
      <c r="N973" s="3" t="str">
        <f t="shared" si="77"/>
        <v/>
      </c>
      <c r="O973" s="6" t="str">
        <f t="shared" si="80"/>
        <v/>
      </c>
      <c r="P973" s="7">
        <f ca="1">SUMIFS($N$2:$N973,$B$2:$B973,"&lt;&gt;"&amp;B973)+SUM($Q$2:$Q973)</f>
        <v>135.05500000000001</v>
      </c>
      <c r="R973" t="b">
        <f>AND(ISNUMBER(FIND($E973,Tables!$I$2)), ISNUMBER(FIND($D973,Tables!$J$2)), $E973&lt;&gt;"")</f>
        <v>0</v>
      </c>
    </row>
    <row r="974" spans="1:18" x14ac:dyDescent="0.3">
      <c r="A974">
        <f t="shared" si="76"/>
        <v>957</v>
      </c>
      <c r="B974" s="4"/>
      <c r="I974" s="8"/>
      <c r="J974" s="5" t="str">
        <f t="shared" si="79"/>
        <v/>
      </c>
      <c r="K974" s="3"/>
      <c r="L974" s="3" t="str">
        <f t="shared" si="78"/>
        <v/>
      </c>
      <c r="N974" s="3" t="str">
        <f t="shared" si="77"/>
        <v/>
      </c>
      <c r="O974" s="6" t="str">
        <f t="shared" si="80"/>
        <v/>
      </c>
      <c r="P974" s="7">
        <f ca="1">SUMIFS($N$2:$N974,$B$2:$B974,"&lt;&gt;"&amp;B974)+SUM($Q$2:$Q974)</f>
        <v>135.05500000000001</v>
      </c>
      <c r="R974" t="b">
        <f>AND(ISNUMBER(FIND($E974,Tables!$I$2)), ISNUMBER(FIND($D974,Tables!$J$2)), $E974&lt;&gt;"")</f>
        <v>0</v>
      </c>
    </row>
    <row r="975" spans="1:18" x14ac:dyDescent="0.3">
      <c r="A975">
        <f t="shared" si="76"/>
        <v>958</v>
      </c>
      <c r="B975" s="4"/>
      <c r="I975" s="8"/>
      <c r="J975" s="5" t="str">
        <f t="shared" si="79"/>
        <v/>
      </c>
      <c r="K975" s="3"/>
      <c r="L975" s="3" t="str">
        <f t="shared" si="78"/>
        <v/>
      </c>
      <c r="N975" s="3" t="str">
        <f t="shared" si="77"/>
        <v/>
      </c>
      <c r="O975" s="6" t="str">
        <f t="shared" si="80"/>
        <v/>
      </c>
      <c r="P975" s="7">
        <f ca="1">SUMIFS($N$2:$N975,$B$2:$B975,"&lt;&gt;"&amp;B975)+SUM($Q$2:$Q975)</f>
        <v>135.05500000000001</v>
      </c>
      <c r="R975" t="b">
        <f>AND(ISNUMBER(FIND($E975,Tables!$I$2)), ISNUMBER(FIND($D975,Tables!$J$2)), $E975&lt;&gt;"")</f>
        <v>0</v>
      </c>
    </row>
    <row r="976" spans="1:18" x14ac:dyDescent="0.3">
      <c r="A976">
        <f t="shared" si="76"/>
        <v>959</v>
      </c>
      <c r="B976" s="4"/>
      <c r="I976" s="8"/>
      <c r="J976" s="5" t="str">
        <f t="shared" si="79"/>
        <v/>
      </c>
      <c r="K976" s="3"/>
      <c r="L976" s="3" t="str">
        <f t="shared" si="78"/>
        <v/>
      </c>
      <c r="N976" s="3" t="str">
        <f t="shared" si="77"/>
        <v/>
      </c>
      <c r="O976" s="6" t="str">
        <f t="shared" si="80"/>
        <v/>
      </c>
      <c r="P976" s="7">
        <f ca="1">SUMIFS($N$2:$N976,$B$2:$B976,"&lt;&gt;"&amp;B976)+SUM($Q$2:$Q976)</f>
        <v>135.05500000000001</v>
      </c>
      <c r="R976" t="b">
        <f>AND(ISNUMBER(FIND($E976,Tables!$I$2)), ISNUMBER(FIND($D976,Tables!$J$2)), $E976&lt;&gt;"")</f>
        <v>0</v>
      </c>
    </row>
    <row r="977" spans="1:18" x14ac:dyDescent="0.3">
      <c r="A977">
        <f t="shared" si="76"/>
        <v>960</v>
      </c>
      <c r="B977" s="4"/>
      <c r="I977" s="8"/>
      <c r="J977" s="5" t="str">
        <f t="shared" si="79"/>
        <v/>
      </c>
      <c r="K977" s="3"/>
      <c r="L977" s="3" t="str">
        <f t="shared" si="78"/>
        <v/>
      </c>
      <c r="N977" s="3" t="str">
        <f t="shared" si="77"/>
        <v/>
      </c>
      <c r="O977" s="6" t="str">
        <f t="shared" si="80"/>
        <v/>
      </c>
      <c r="P977" s="7">
        <f ca="1">SUMIFS($N$2:$N977,$B$2:$B977,"&lt;&gt;"&amp;B977)+SUM($Q$2:$Q977)</f>
        <v>135.05500000000001</v>
      </c>
      <c r="R977" t="b">
        <f>AND(ISNUMBER(FIND($E977,Tables!$I$2)), ISNUMBER(FIND($D977,Tables!$J$2)), $E977&lt;&gt;"")</f>
        <v>0</v>
      </c>
    </row>
    <row r="978" spans="1:18" x14ac:dyDescent="0.3">
      <c r="A978">
        <f t="shared" si="76"/>
        <v>961</v>
      </c>
      <c r="B978" s="4"/>
      <c r="I978" s="8"/>
      <c r="J978" s="5" t="str">
        <f t="shared" si="79"/>
        <v/>
      </c>
      <c r="K978" s="3"/>
      <c r="L978" s="3" t="str">
        <f t="shared" si="78"/>
        <v/>
      </c>
      <c r="N978" s="3" t="str">
        <f t="shared" si="77"/>
        <v/>
      </c>
      <c r="O978" s="6" t="str">
        <f t="shared" si="80"/>
        <v/>
      </c>
      <c r="P978" s="7">
        <f ca="1">SUMIFS($N$2:$N978,$B$2:$B978,"&lt;&gt;"&amp;B978)+SUM($Q$2:$Q978)</f>
        <v>135.05500000000001</v>
      </c>
      <c r="R978" t="b">
        <f>AND(ISNUMBER(FIND($E978,Tables!$I$2)), ISNUMBER(FIND($D978,Tables!$J$2)), $E978&lt;&gt;"")</f>
        <v>0</v>
      </c>
    </row>
    <row r="979" spans="1:18" x14ac:dyDescent="0.3">
      <c r="A979">
        <f t="shared" si="76"/>
        <v>962</v>
      </c>
      <c r="B979" s="4"/>
      <c r="I979" s="8"/>
      <c r="J979" s="5" t="str">
        <f t="shared" si="79"/>
        <v/>
      </c>
      <c r="K979" s="3"/>
      <c r="L979" s="3" t="str">
        <f t="shared" si="78"/>
        <v/>
      </c>
      <c r="N979" s="3" t="str">
        <f t="shared" si="77"/>
        <v/>
      </c>
      <c r="O979" s="6" t="str">
        <f t="shared" si="80"/>
        <v/>
      </c>
      <c r="P979" s="7">
        <f ca="1">SUMIFS($N$2:$N979,$B$2:$B979,"&lt;&gt;"&amp;B979)+SUM($Q$2:$Q979)</f>
        <v>135.05500000000001</v>
      </c>
      <c r="R979" t="b">
        <f>AND(ISNUMBER(FIND($E979,Tables!$I$2)), ISNUMBER(FIND($D979,Tables!$J$2)), $E979&lt;&gt;"")</f>
        <v>0</v>
      </c>
    </row>
    <row r="980" spans="1:18" x14ac:dyDescent="0.3">
      <c r="A980">
        <f t="shared" si="76"/>
        <v>963</v>
      </c>
      <c r="B980" s="4"/>
      <c r="I980" s="8"/>
      <c r="J980" s="5" t="str">
        <f t="shared" si="79"/>
        <v/>
      </c>
      <c r="K980" s="3"/>
      <c r="L980" s="3" t="str">
        <f t="shared" si="78"/>
        <v/>
      </c>
      <c r="N980" s="3" t="str">
        <f t="shared" si="77"/>
        <v/>
      </c>
      <c r="O980" s="6" t="str">
        <f t="shared" si="80"/>
        <v/>
      </c>
      <c r="P980" s="7">
        <f ca="1">SUMIFS($N$2:$N980,$B$2:$B980,"&lt;&gt;"&amp;B980)+SUM($Q$2:$Q980)</f>
        <v>135.05500000000001</v>
      </c>
      <c r="R980" t="b">
        <f>AND(ISNUMBER(FIND($E980,Tables!$I$2)), ISNUMBER(FIND($D980,Tables!$J$2)), $E980&lt;&gt;"")</f>
        <v>0</v>
      </c>
    </row>
    <row r="981" spans="1:18" x14ac:dyDescent="0.3">
      <c r="A981">
        <f t="shared" si="76"/>
        <v>964</v>
      </c>
      <c r="B981" s="4"/>
      <c r="I981" s="8"/>
      <c r="J981" s="5" t="str">
        <f t="shared" si="79"/>
        <v/>
      </c>
      <c r="K981" s="3"/>
      <c r="L981" s="3" t="str">
        <f t="shared" si="78"/>
        <v/>
      </c>
      <c r="N981" s="3" t="str">
        <f t="shared" si="77"/>
        <v/>
      </c>
      <c r="O981" s="6" t="str">
        <f t="shared" si="80"/>
        <v/>
      </c>
      <c r="P981" s="7">
        <f ca="1">SUMIFS($N$2:$N981,$B$2:$B981,"&lt;&gt;"&amp;B981)+SUM($Q$2:$Q981)</f>
        <v>135.05500000000001</v>
      </c>
      <c r="R981" t="b">
        <f>AND(ISNUMBER(FIND($E981,Tables!$I$2)), ISNUMBER(FIND($D981,Tables!$J$2)), $E981&lt;&gt;"")</f>
        <v>0</v>
      </c>
    </row>
    <row r="982" spans="1:18" x14ac:dyDescent="0.3">
      <c r="A982">
        <f t="shared" si="76"/>
        <v>965</v>
      </c>
      <c r="B982" s="4"/>
      <c r="I982" s="8"/>
      <c r="J982" s="5" t="str">
        <f t="shared" si="79"/>
        <v/>
      </c>
      <c r="K982" s="3"/>
      <c r="L982" s="3" t="str">
        <f t="shared" si="78"/>
        <v/>
      </c>
      <c r="N982" s="3" t="str">
        <f t="shared" si="77"/>
        <v/>
      </c>
      <c r="O982" s="6" t="str">
        <f t="shared" si="80"/>
        <v/>
      </c>
      <c r="P982" s="7">
        <f ca="1">SUMIFS($N$2:$N982,$B$2:$B982,"&lt;&gt;"&amp;B982)+SUM($Q$2:$Q982)</f>
        <v>135.05500000000001</v>
      </c>
      <c r="R982" t="b">
        <f>AND(ISNUMBER(FIND($E982,Tables!$I$2)), ISNUMBER(FIND($D982,Tables!$J$2)), $E982&lt;&gt;"")</f>
        <v>0</v>
      </c>
    </row>
    <row r="983" spans="1:18" x14ac:dyDescent="0.3">
      <c r="A983">
        <f t="shared" si="76"/>
        <v>966</v>
      </c>
      <c r="B983" s="4"/>
      <c r="I983" s="8"/>
      <c r="J983" s="5" t="str">
        <f t="shared" si="79"/>
        <v/>
      </c>
      <c r="K983" s="3"/>
      <c r="L983" s="3" t="str">
        <f t="shared" si="78"/>
        <v/>
      </c>
      <c r="N983" s="3" t="str">
        <f t="shared" si="77"/>
        <v/>
      </c>
      <c r="O983" s="6" t="str">
        <f t="shared" si="80"/>
        <v/>
      </c>
      <c r="P983" s="7">
        <f ca="1">SUMIFS($N$2:$N983,$B$2:$B983,"&lt;&gt;"&amp;B983)+SUM($Q$2:$Q983)</f>
        <v>135.05500000000001</v>
      </c>
      <c r="R983" t="b">
        <f>AND(ISNUMBER(FIND($E983,Tables!$I$2)), ISNUMBER(FIND($D983,Tables!$J$2)), $E983&lt;&gt;"")</f>
        <v>0</v>
      </c>
    </row>
    <row r="984" spans="1:18" x14ac:dyDescent="0.3">
      <c r="A984">
        <f t="shared" si="76"/>
        <v>967</v>
      </c>
      <c r="B984" s="4"/>
      <c r="I984" s="8"/>
      <c r="J984" s="5" t="str">
        <f t="shared" si="79"/>
        <v/>
      </c>
      <c r="K984" s="3"/>
      <c r="L984" s="3" t="str">
        <f t="shared" si="78"/>
        <v/>
      </c>
      <c r="N984" s="3" t="str">
        <f t="shared" si="77"/>
        <v/>
      </c>
      <c r="O984" s="6" t="str">
        <f t="shared" si="80"/>
        <v/>
      </c>
      <c r="P984" s="7">
        <f ca="1">SUMIFS($N$2:$N984,$B$2:$B984,"&lt;&gt;"&amp;B984)+SUM($Q$2:$Q984)</f>
        <v>135.05500000000001</v>
      </c>
      <c r="R984" t="b">
        <f>AND(ISNUMBER(FIND($E984,Tables!$I$2)), ISNUMBER(FIND($D984,Tables!$J$2)), $E984&lt;&gt;"")</f>
        <v>0</v>
      </c>
    </row>
    <row r="985" spans="1:18" x14ac:dyDescent="0.3">
      <c r="A985">
        <f t="shared" si="76"/>
        <v>968</v>
      </c>
      <c r="B985" s="4"/>
      <c r="I985" s="8"/>
      <c r="J985" s="5" t="str">
        <f t="shared" si="79"/>
        <v/>
      </c>
      <c r="K985" s="3"/>
      <c r="L985" s="3" t="str">
        <f t="shared" si="78"/>
        <v/>
      </c>
      <c r="N985" s="3" t="str">
        <f t="shared" si="77"/>
        <v/>
      </c>
      <c r="O985" s="6" t="str">
        <f t="shared" si="80"/>
        <v/>
      </c>
      <c r="P985" s="7">
        <f ca="1">SUMIFS($N$2:$N985,$B$2:$B985,"&lt;&gt;"&amp;B985)+SUM($Q$2:$Q985)</f>
        <v>135.05500000000001</v>
      </c>
      <c r="R985" t="b">
        <f>AND(ISNUMBER(FIND($E985,Tables!$I$2)), ISNUMBER(FIND($D985,Tables!$J$2)), $E985&lt;&gt;"")</f>
        <v>0</v>
      </c>
    </row>
    <row r="986" spans="1:18" x14ac:dyDescent="0.3">
      <c r="A986">
        <f t="shared" si="76"/>
        <v>969</v>
      </c>
      <c r="B986" s="4"/>
      <c r="I986" s="8"/>
      <c r="J986" s="5" t="str">
        <f t="shared" si="79"/>
        <v/>
      </c>
      <c r="K986" s="3"/>
      <c r="L986" s="3" t="str">
        <f t="shared" si="78"/>
        <v/>
      </c>
      <c r="N986" s="3" t="str">
        <f t="shared" si="77"/>
        <v/>
      </c>
      <c r="O986" s="6" t="str">
        <f t="shared" si="80"/>
        <v/>
      </c>
      <c r="P986" s="7">
        <f ca="1">SUMIFS($N$2:$N986,$B$2:$B986,"&lt;&gt;"&amp;B986)+SUM($Q$2:$Q986)</f>
        <v>135.05500000000001</v>
      </c>
      <c r="R986" t="b">
        <f>AND(ISNUMBER(FIND($E986,Tables!$I$2)), ISNUMBER(FIND($D986,Tables!$J$2)), $E986&lt;&gt;"")</f>
        <v>0</v>
      </c>
    </row>
    <row r="987" spans="1:18" x14ac:dyDescent="0.3">
      <c r="A987">
        <f t="shared" si="76"/>
        <v>970</v>
      </c>
      <c r="B987" s="4"/>
      <c r="I987" s="8"/>
      <c r="J987" s="5" t="str">
        <f t="shared" si="79"/>
        <v/>
      </c>
      <c r="K987" s="3"/>
      <c r="L987" s="3" t="str">
        <f t="shared" si="78"/>
        <v/>
      </c>
      <c r="N987" s="3" t="str">
        <f t="shared" si="77"/>
        <v/>
      </c>
      <c r="O987" s="6" t="str">
        <f t="shared" si="80"/>
        <v/>
      </c>
      <c r="P987" s="7">
        <f ca="1">SUMIFS($N$2:$N987,$B$2:$B987,"&lt;&gt;"&amp;B987)+SUM($Q$2:$Q987)</f>
        <v>135.05500000000001</v>
      </c>
      <c r="R987" t="b">
        <f>AND(ISNUMBER(FIND($E987,Tables!$I$2)), ISNUMBER(FIND($D987,Tables!$J$2)), $E987&lt;&gt;"")</f>
        <v>0</v>
      </c>
    </row>
    <row r="988" spans="1:18" x14ac:dyDescent="0.3">
      <c r="A988">
        <f t="shared" si="76"/>
        <v>971</v>
      </c>
      <c r="B988" s="4"/>
      <c r="I988" s="8"/>
      <c r="J988" s="5" t="str">
        <f t="shared" si="79"/>
        <v/>
      </c>
      <c r="K988" s="3"/>
      <c r="L988" s="3" t="str">
        <f t="shared" si="78"/>
        <v/>
      </c>
      <c r="N988" s="3" t="str">
        <f t="shared" si="77"/>
        <v/>
      </c>
      <c r="O988" s="6" t="str">
        <f t="shared" si="80"/>
        <v/>
      </c>
      <c r="P988" s="7">
        <f ca="1">SUMIFS($N$2:$N988,$B$2:$B988,"&lt;&gt;"&amp;B988)+SUM($Q$2:$Q988)</f>
        <v>135.05500000000001</v>
      </c>
      <c r="R988" t="b">
        <f>AND(ISNUMBER(FIND($E988,Tables!$I$2)), ISNUMBER(FIND($D988,Tables!$J$2)), $E988&lt;&gt;"")</f>
        <v>0</v>
      </c>
    </row>
    <row r="989" spans="1:18" x14ac:dyDescent="0.3">
      <c r="A989">
        <f t="shared" si="76"/>
        <v>972</v>
      </c>
      <c r="B989" s="4"/>
      <c r="I989" s="8"/>
      <c r="J989" s="5" t="str">
        <f t="shared" si="79"/>
        <v/>
      </c>
      <c r="K989" s="3"/>
      <c r="L989" s="3" t="str">
        <f t="shared" si="78"/>
        <v/>
      </c>
      <c r="N989" s="3" t="str">
        <f t="shared" si="77"/>
        <v/>
      </c>
      <c r="O989" s="6" t="str">
        <f t="shared" si="80"/>
        <v/>
      </c>
      <c r="P989" s="7">
        <f ca="1">SUMIFS($N$2:$N989,$B$2:$B989,"&lt;&gt;"&amp;B989)+SUM($Q$2:$Q989)</f>
        <v>135.05500000000001</v>
      </c>
      <c r="R989" t="b">
        <f>AND(ISNUMBER(FIND($E989,Tables!$I$2)), ISNUMBER(FIND($D989,Tables!$J$2)), $E989&lt;&gt;"")</f>
        <v>0</v>
      </c>
    </row>
    <row r="990" spans="1:18" x14ac:dyDescent="0.3">
      <c r="A990">
        <f t="shared" si="76"/>
        <v>973</v>
      </c>
      <c r="B990" s="4"/>
      <c r="I990" s="8"/>
      <c r="J990" s="5" t="str">
        <f t="shared" si="79"/>
        <v/>
      </c>
      <c r="K990" s="3"/>
      <c r="L990" s="3" t="str">
        <f t="shared" si="78"/>
        <v/>
      </c>
      <c r="N990" s="3" t="str">
        <f t="shared" si="77"/>
        <v/>
      </c>
      <c r="O990" s="6" t="str">
        <f t="shared" si="80"/>
        <v/>
      </c>
      <c r="P990" s="7">
        <f ca="1">SUMIFS($N$2:$N990,$B$2:$B990,"&lt;&gt;"&amp;B990)+SUM($Q$2:$Q990)</f>
        <v>135.05500000000001</v>
      </c>
      <c r="R990" t="b">
        <f>AND(ISNUMBER(FIND($E990,Tables!$I$2)), ISNUMBER(FIND($D990,Tables!$J$2)), $E990&lt;&gt;"")</f>
        <v>0</v>
      </c>
    </row>
    <row r="991" spans="1:18" x14ac:dyDescent="0.3">
      <c r="A991">
        <f t="shared" si="76"/>
        <v>974</v>
      </c>
      <c r="B991" s="4"/>
      <c r="I991" s="8"/>
      <c r="J991" s="5" t="str">
        <f t="shared" si="79"/>
        <v/>
      </c>
      <c r="K991" s="3"/>
      <c r="L991" s="3" t="str">
        <f t="shared" si="78"/>
        <v/>
      </c>
      <c r="N991" s="3" t="str">
        <f t="shared" si="77"/>
        <v/>
      </c>
      <c r="O991" s="6" t="str">
        <f t="shared" si="80"/>
        <v/>
      </c>
      <c r="P991" s="7">
        <f ca="1">SUMIFS($N$2:$N991,$B$2:$B991,"&lt;&gt;"&amp;B991)+SUM($Q$2:$Q991)</f>
        <v>135.05500000000001</v>
      </c>
      <c r="R991" t="b">
        <f>AND(ISNUMBER(FIND($E991,Tables!$I$2)), ISNUMBER(FIND($D991,Tables!$J$2)), $E991&lt;&gt;"")</f>
        <v>0</v>
      </c>
    </row>
    <row r="992" spans="1:18" x14ac:dyDescent="0.3">
      <c r="A992">
        <f t="shared" si="76"/>
        <v>975</v>
      </c>
      <c r="B992" s="4"/>
      <c r="I992" s="8"/>
      <c r="J992" s="5" t="str">
        <f t="shared" si="79"/>
        <v/>
      </c>
      <c r="K992" s="3"/>
      <c r="L992" s="3" t="str">
        <f t="shared" si="78"/>
        <v/>
      </c>
      <c r="N992" s="3" t="str">
        <f t="shared" si="77"/>
        <v/>
      </c>
      <c r="O992" s="6" t="str">
        <f t="shared" si="80"/>
        <v/>
      </c>
      <c r="P992" s="7">
        <f ca="1">SUMIFS($N$2:$N992,$B$2:$B992,"&lt;&gt;"&amp;B992)+SUM($Q$2:$Q992)</f>
        <v>135.05500000000001</v>
      </c>
      <c r="R992" t="b">
        <f>AND(ISNUMBER(FIND($E992,Tables!$I$2)), ISNUMBER(FIND($D992,Tables!$J$2)), $E992&lt;&gt;"")</f>
        <v>0</v>
      </c>
    </row>
    <row r="993" spans="1:18" x14ac:dyDescent="0.3">
      <c r="A993">
        <f t="shared" si="76"/>
        <v>976</v>
      </c>
      <c r="B993" s="4"/>
      <c r="I993" s="8"/>
      <c r="J993" s="5" t="str">
        <f t="shared" si="79"/>
        <v/>
      </c>
      <c r="K993" s="3"/>
      <c r="L993" s="3" t="str">
        <f t="shared" si="78"/>
        <v/>
      </c>
      <c r="N993" s="3" t="str">
        <f t="shared" si="77"/>
        <v/>
      </c>
      <c r="O993" s="6" t="str">
        <f t="shared" si="80"/>
        <v/>
      </c>
      <c r="P993" s="7">
        <f ca="1">SUMIFS($N$2:$N993,$B$2:$B993,"&lt;&gt;"&amp;B993)+SUM($Q$2:$Q993)</f>
        <v>135.05500000000001</v>
      </c>
      <c r="R993" t="b">
        <f>AND(ISNUMBER(FIND($E993,Tables!$I$2)), ISNUMBER(FIND($D993,Tables!$J$2)), $E993&lt;&gt;"")</f>
        <v>0</v>
      </c>
    </row>
    <row r="994" spans="1:18" x14ac:dyDescent="0.3">
      <c r="A994">
        <f t="shared" ref="A994:A1057" si="81">IF(AND(B994="", D994&lt;&gt;""), A993, A993+1)</f>
        <v>977</v>
      </c>
      <c r="B994" s="4"/>
      <c r="I994" s="8"/>
      <c r="J994" s="5" t="str">
        <f t="shared" si="79"/>
        <v/>
      </c>
      <c r="K994" s="3"/>
      <c r="L994" s="3" t="str">
        <f t="shared" si="78"/>
        <v/>
      </c>
      <c r="N994" s="3" t="str">
        <f t="shared" si="77"/>
        <v/>
      </c>
      <c r="O994" s="6" t="str">
        <f t="shared" si="80"/>
        <v/>
      </c>
      <c r="P994" s="7">
        <f ca="1">SUMIFS($N$2:$N994,$B$2:$B994,"&lt;&gt;"&amp;B994)+SUM($Q$2:$Q994)</f>
        <v>135.05500000000001</v>
      </c>
      <c r="R994" t="b">
        <f>AND(ISNUMBER(FIND($E994,Tables!$I$2)), ISNUMBER(FIND($D994,Tables!$J$2)), $E994&lt;&gt;"")</f>
        <v>0</v>
      </c>
    </row>
    <row r="995" spans="1:18" x14ac:dyDescent="0.3">
      <c r="A995">
        <f t="shared" si="81"/>
        <v>978</v>
      </c>
      <c r="B995" s="4"/>
      <c r="I995" s="8"/>
      <c r="J995" s="5" t="str">
        <f t="shared" si="79"/>
        <v/>
      </c>
      <c r="K995" s="3"/>
      <c r="L995" s="3" t="str">
        <f t="shared" si="78"/>
        <v/>
      </c>
      <c r="N995" s="3" t="str">
        <f t="shared" si="77"/>
        <v/>
      </c>
      <c r="O995" s="6" t="str">
        <f t="shared" si="80"/>
        <v/>
      </c>
      <c r="P995" s="7">
        <f ca="1">SUMIFS($N$2:$N995,$B$2:$B995,"&lt;&gt;"&amp;B995)+SUM($Q$2:$Q995)</f>
        <v>135.05500000000001</v>
      </c>
      <c r="R995" t="b">
        <f>AND(ISNUMBER(FIND($E995,Tables!$I$2)), ISNUMBER(FIND($D995,Tables!$J$2)), $E995&lt;&gt;"")</f>
        <v>0</v>
      </c>
    </row>
    <row r="996" spans="1:18" x14ac:dyDescent="0.3">
      <c r="A996">
        <f t="shared" si="81"/>
        <v>979</v>
      </c>
      <c r="B996" s="4"/>
      <c r="I996" s="8"/>
      <c r="J996" s="5" t="str">
        <f t="shared" si="79"/>
        <v/>
      </c>
      <c r="K996" s="3"/>
      <c r="L996" s="3" t="str">
        <f t="shared" si="78"/>
        <v/>
      </c>
      <c r="N996" s="3" t="str">
        <f t="shared" si="77"/>
        <v/>
      </c>
      <c r="O996" s="6" t="str">
        <f t="shared" si="80"/>
        <v/>
      </c>
      <c r="P996" s="7">
        <f ca="1">SUMIFS($N$2:$N996,$B$2:$B996,"&lt;&gt;"&amp;B996)+SUM($Q$2:$Q996)</f>
        <v>135.05500000000001</v>
      </c>
      <c r="R996" t="b">
        <f>AND(ISNUMBER(FIND($E996,Tables!$I$2)), ISNUMBER(FIND($D996,Tables!$J$2)), $E996&lt;&gt;"")</f>
        <v>0</v>
      </c>
    </row>
    <row r="997" spans="1:18" x14ac:dyDescent="0.3">
      <c r="A997">
        <f t="shared" si="81"/>
        <v>980</v>
      </c>
      <c r="B997" s="4"/>
      <c r="I997" s="8"/>
      <c r="J997" s="5" t="str">
        <f t="shared" si="79"/>
        <v/>
      </c>
      <c r="K997" s="3"/>
      <c r="L997" s="3" t="str">
        <f t="shared" si="78"/>
        <v/>
      </c>
      <c r="N997" s="3" t="str">
        <f t="shared" si="77"/>
        <v/>
      </c>
      <c r="O997" s="6" t="str">
        <f t="shared" si="80"/>
        <v/>
      </c>
      <c r="P997" s="7">
        <f ca="1">SUMIFS($N$2:$N997,$B$2:$B997,"&lt;&gt;"&amp;B997)+SUM($Q$2:$Q997)</f>
        <v>135.05500000000001</v>
      </c>
      <c r="R997" t="b">
        <f>AND(ISNUMBER(FIND($E997,Tables!$I$2)), ISNUMBER(FIND($D997,Tables!$J$2)), $E997&lt;&gt;"")</f>
        <v>0</v>
      </c>
    </row>
    <row r="998" spans="1:18" x14ac:dyDescent="0.3">
      <c r="A998">
        <f t="shared" si="81"/>
        <v>981</v>
      </c>
      <c r="B998" s="4"/>
      <c r="I998" s="8"/>
      <c r="J998" s="5" t="str">
        <f t="shared" si="79"/>
        <v/>
      </c>
      <c r="K998" s="3"/>
      <c r="L998" s="3" t="str">
        <f t="shared" si="78"/>
        <v/>
      </c>
      <c r="N998" s="3" t="str">
        <f t="shared" si="77"/>
        <v/>
      </c>
      <c r="O998" s="6" t="str">
        <f t="shared" si="80"/>
        <v/>
      </c>
      <c r="P998" s="7">
        <f ca="1">SUMIFS($N$2:$N998,$B$2:$B998,"&lt;&gt;"&amp;B998)+SUM($Q$2:$Q998)</f>
        <v>135.05500000000001</v>
      </c>
      <c r="R998" t="b">
        <f>AND(ISNUMBER(FIND($E998,Tables!$I$2)), ISNUMBER(FIND($D998,Tables!$J$2)), $E998&lt;&gt;"")</f>
        <v>0</v>
      </c>
    </row>
    <row r="999" spans="1:18" x14ac:dyDescent="0.3">
      <c r="A999">
        <f t="shared" si="81"/>
        <v>982</v>
      </c>
      <c r="B999" s="4"/>
      <c r="I999" s="8"/>
      <c r="J999" s="5" t="str">
        <f t="shared" si="79"/>
        <v/>
      </c>
      <c r="K999" s="3"/>
      <c r="L999" s="3" t="str">
        <f t="shared" si="78"/>
        <v/>
      </c>
      <c r="N999" s="3" t="str">
        <f t="shared" si="77"/>
        <v/>
      </c>
      <c r="O999" s="6" t="str">
        <f t="shared" si="80"/>
        <v/>
      </c>
      <c r="P999" s="7">
        <f ca="1">SUMIFS($N$2:$N999,$B$2:$B999,"&lt;&gt;"&amp;B999)+SUM($Q$2:$Q999)</f>
        <v>135.05500000000001</v>
      </c>
      <c r="R999" t="b">
        <f>AND(ISNUMBER(FIND($E999,Tables!$I$2)), ISNUMBER(FIND($D999,Tables!$J$2)), $E999&lt;&gt;"")</f>
        <v>0</v>
      </c>
    </row>
    <row r="1000" spans="1:18" x14ac:dyDescent="0.3">
      <c r="A1000">
        <f t="shared" si="81"/>
        <v>983</v>
      </c>
      <c r="B1000" s="4"/>
      <c r="I1000" s="8"/>
      <c r="J1000" s="5" t="str">
        <f t="shared" si="79"/>
        <v/>
      </c>
      <c r="K1000" s="3"/>
      <c r="L1000" s="3" t="str">
        <f t="shared" si="78"/>
        <v/>
      </c>
      <c r="N1000" s="3" t="str">
        <f t="shared" ref="N1000:N1063" si="82">IF(L1000 = "", "", IF(M1000="", "", IF(OR(M1000="Draw",M1000="NC"), 0, IF(M1000="win", L1000, -1*K1000))))</f>
        <v/>
      </c>
      <c r="O1000" s="6" t="str">
        <f t="shared" si="80"/>
        <v/>
      </c>
      <c r="P1000" s="7">
        <f ca="1">SUMIFS($N$2:$N1000,$B$2:$B1000,"&lt;&gt;"&amp;B1000)+SUM($Q$2:$Q1000)</f>
        <v>135.05500000000001</v>
      </c>
      <c r="R1000" t="b">
        <f>AND(ISNUMBER(FIND($E1000,Tables!$I$2)), ISNUMBER(FIND($D1000,Tables!$J$2)), $E1000&lt;&gt;"")</f>
        <v>0</v>
      </c>
    </row>
    <row r="1001" spans="1:18" x14ac:dyDescent="0.3">
      <c r="A1001">
        <f t="shared" si="81"/>
        <v>984</v>
      </c>
      <c r="B1001" s="4"/>
      <c r="I1001" s="8"/>
      <c r="J1001" s="5" t="str">
        <f t="shared" si="79"/>
        <v/>
      </c>
      <c r="K1001" s="3"/>
      <c r="L1001" s="3" t="str">
        <f t="shared" si="78"/>
        <v/>
      </c>
      <c r="N1001" s="3" t="str">
        <f t="shared" si="82"/>
        <v/>
      </c>
      <c r="O1001" s="6" t="str">
        <f t="shared" si="80"/>
        <v/>
      </c>
      <c r="P1001" s="7">
        <f ca="1">SUMIFS($N$2:$N1001,$B$2:$B1001,"&lt;&gt;"&amp;B1001)+SUM($Q$2:$Q1001)</f>
        <v>135.05500000000001</v>
      </c>
      <c r="R1001" t="b">
        <f>AND(ISNUMBER(FIND($E1001,Tables!$I$2)), ISNUMBER(FIND($D1001,Tables!$J$2)), $E1001&lt;&gt;"")</f>
        <v>0</v>
      </c>
    </row>
    <row r="1002" spans="1:18" x14ac:dyDescent="0.3">
      <c r="A1002">
        <f t="shared" si="81"/>
        <v>985</v>
      </c>
      <c r="B1002" s="4"/>
      <c r="I1002" s="8"/>
      <c r="J1002" s="5" t="str">
        <f t="shared" si="79"/>
        <v/>
      </c>
      <c r="K1002" s="3"/>
      <c r="L1002" s="3" t="str">
        <f t="shared" si="78"/>
        <v/>
      </c>
      <c r="N1002" s="3" t="str">
        <f t="shared" si="82"/>
        <v/>
      </c>
      <c r="O1002" s="6" t="str">
        <f t="shared" si="80"/>
        <v/>
      </c>
      <c r="P1002" s="7">
        <f ca="1">SUMIFS($N$2:$N1002,$B$2:$B1002,"&lt;&gt;"&amp;B1002)+SUM($Q$2:$Q1002)</f>
        <v>135.05500000000001</v>
      </c>
      <c r="R1002" t="b">
        <f>AND(ISNUMBER(FIND($E1002,Tables!$I$2)), ISNUMBER(FIND($D1002,Tables!$J$2)), $E1002&lt;&gt;"")</f>
        <v>0</v>
      </c>
    </row>
    <row r="1003" spans="1:18" x14ac:dyDescent="0.3">
      <c r="A1003">
        <f t="shared" si="81"/>
        <v>986</v>
      </c>
      <c r="B1003" s="4"/>
      <c r="I1003" s="8"/>
      <c r="J1003" s="5" t="str">
        <f t="shared" si="79"/>
        <v/>
      </c>
      <c r="K1003" s="3"/>
      <c r="L1003" s="3" t="str">
        <f t="shared" si="78"/>
        <v/>
      </c>
      <c r="N1003" s="3" t="str">
        <f t="shared" si="82"/>
        <v/>
      </c>
      <c r="O1003" s="6" t="str">
        <f t="shared" si="80"/>
        <v/>
      </c>
      <c r="P1003" s="7">
        <f ca="1">SUMIFS($N$2:$N1003,$B$2:$B1003,"&lt;&gt;"&amp;B1003)+SUM($Q$2:$Q1003)</f>
        <v>135.05500000000001</v>
      </c>
      <c r="R1003" t="b">
        <f>AND(ISNUMBER(FIND($E1003,Tables!$I$2)), ISNUMBER(FIND($D1003,Tables!$J$2)), $E1003&lt;&gt;"")</f>
        <v>0</v>
      </c>
    </row>
    <row r="1004" spans="1:18" x14ac:dyDescent="0.3">
      <c r="A1004">
        <f t="shared" si="81"/>
        <v>987</v>
      </c>
      <c r="B1004" s="4"/>
      <c r="I1004" s="8"/>
      <c r="J1004" s="5" t="str">
        <f t="shared" si="79"/>
        <v/>
      </c>
      <c r="K1004" s="3"/>
      <c r="L1004" s="3" t="str">
        <f t="shared" si="78"/>
        <v/>
      </c>
      <c r="N1004" s="3" t="str">
        <f t="shared" si="82"/>
        <v/>
      </c>
      <c r="O1004" s="6" t="str">
        <f t="shared" si="80"/>
        <v/>
      </c>
      <c r="P1004" s="7">
        <f ca="1">SUMIFS($N$2:$N1004,$B$2:$B1004,"&lt;&gt;"&amp;B1004)+SUM($Q$2:$Q1004)</f>
        <v>135.05500000000001</v>
      </c>
      <c r="R1004" t="b">
        <f>AND(ISNUMBER(FIND($E1004,Tables!$I$2)), ISNUMBER(FIND($D1004,Tables!$J$2)), $E1004&lt;&gt;"")</f>
        <v>0</v>
      </c>
    </row>
    <row r="1005" spans="1:18" x14ac:dyDescent="0.3">
      <c r="A1005">
        <f t="shared" si="81"/>
        <v>988</v>
      </c>
      <c r="B1005" s="4"/>
      <c r="I1005" s="8"/>
      <c r="J1005" s="5" t="str">
        <f t="shared" si="79"/>
        <v/>
      </c>
      <c r="K1005" s="3"/>
      <c r="L1005" s="3" t="str">
        <f t="shared" si="78"/>
        <v/>
      </c>
      <c r="N1005" s="3" t="str">
        <f t="shared" si="82"/>
        <v/>
      </c>
      <c r="O1005" s="6" t="str">
        <f t="shared" si="80"/>
        <v/>
      </c>
      <c r="P1005" s="7">
        <f ca="1">SUMIFS($N$2:$N1005,$B$2:$B1005,"&lt;&gt;"&amp;B1005)+SUM($Q$2:$Q1005)</f>
        <v>135.05500000000001</v>
      </c>
      <c r="R1005" t="b">
        <f>AND(ISNUMBER(FIND($E1005,Tables!$I$2)), ISNUMBER(FIND($D1005,Tables!$J$2)), $E1005&lt;&gt;"")</f>
        <v>0</v>
      </c>
    </row>
    <row r="1006" spans="1:18" x14ac:dyDescent="0.3">
      <c r="A1006">
        <f t="shared" si="81"/>
        <v>989</v>
      </c>
      <c r="B1006" s="4"/>
      <c r="I1006" s="8"/>
      <c r="J1006" s="5" t="str">
        <f t="shared" si="79"/>
        <v/>
      </c>
      <c r="K1006" s="3"/>
      <c r="L1006" s="3" t="str">
        <f t="shared" si="78"/>
        <v/>
      </c>
      <c r="N1006" s="3" t="str">
        <f t="shared" si="82"/>
        <v/>
      </c>
      <c r="O1006" s="6" t="str">
        <f t="shared" si="80"/>
        <v/>
      </c>
      <c r="P1006" s="7">
        <f ca="1">SUMIFS($N$2:$N1006,$B$2:$B1006,"&lt;&gt;"&amp;B1006)+SUM($Q$2:$Q1006)</f>
        <v>135.05500000000001</v>
      </c>
      <c r="R1006" t="b">
        <f>AND(ISNUMBER(FIND($E1006,Tables!$I$2)), ISNUMBER(FIND($D1006,Tables!$J$2)), $E1006&lt;&gt;"")</f>
        <v>0</v>
      </c>
    </row>
    <row r="1007" spans="1:18" x14ac:dyDescent="0.3">
      <c r="A1007">
        <f t="shared" si="81"/>
        <v>990</v>
      </c>
      <c r="B1007" s="4"/>
      <c r="I1007" s="8"/>
      <c r="J1007" s="5" t="str">
        <f t="shared" si="79"/>
        <v/>
      </c>
      <c r="K1007" s="3"/>
      <c r="L1007" s="3" t="str">
        <f t="shared" si="78"/>
        <v/>
      </c>
      <c r="N1007" s="3" t="str">
        <f t="shared" si="82"/>
        <v/>
      </c>
      <c r="O1007" s="6" t="str">
        <f t="shared" si="80"/>
        <v/>
      </c>
      <c r="P1007" s="7">
        <f ca="1">SUMIFS($N$2:$N1007,$B$2:$B1007,"&lt;&gt;"&amp;B1007)+SUM($Q$2:$Q1007)</f>
        <v>135.05500000000001</v>
      </c>
      <c r="R1007" t="b">
        <f>AND(ISNUMBER(FIND($E1007,Tables!$I$2)), ISNUMBER(FIND($D1007,Tables!$J$2)), $E1007&lt;&gt;"")</f>
        <v>0</v>
      </c>
    </row>
    <row r="1008" spans="1:18" x14ac:dyDescent="0.3">
      <c r="A1008">
        <f t="shared" si="81"/>
        <v>991</v>
      </c>
      <c r="B1008" s="4"/>
      <c r="I1008" s="8"/>
      <c r="J1008" s="5" t="str">
        <f t="shared" si="79"/>
        <v/>
      </c>
      <c r="K1008" s="3"/>
      <c r="L1008" s="3" t="str">
        <f t="shared" si="78"/>
        <v/>
      </c>
      <c r="N1008" s="3" t="str">
        <f t="shared" si="82"/>
        <v/>
      </c>
      <c r="O1008" s="6" t="str">
        <f t="shared" si="80"/>
        <v/>
      </c>
      <c r="P1008" s="7">
        <f ca="1">SUMIFS($N$2:$N1008,$B$2:$B1008,"&lt;&gt;"&amp;B1008)+SUM($Q$2:$Q1008)</f>
        <v>135.05500000000001</v>
      </c>
      <c r="R1008" t="b">
        <f>AND(ISNUMBER(FIND($E1008,Tables!$I$2)), ISNUMBER(FIND($D1008,Tables!$J$2)), $E1008&lt;&gt;"")</f>
        <v>0</v>
      </c>
    </row>
    <row r="1009" spans="1:18" x14ac:dyDescent="0.3">
      <c r="A1009">
        <f t="shared" si="81"/>
        <v>992</v>
      </c>
      <c r="B1009" s="4"/>
      <c r="I1009" s="8"/>
      <c r="J1009" s="5" t="str">
        <f t="shared" si="79"/>
        <v/>
      </c>
      <c r="K1009" s="3"/>
      <c r="L1009" s="3" t="str">
        <f t="shared" si="78"/>
        <v/>
      </c>
      <c r="N1009" s="3" t="str">
        <f t="shared" si="82"/>
        <v/>
      </c>
      <c r="O1009" s="6" t="str">
        <f t="shared" si="80"/>
        <v/>
      </c>
      <c r="P1009" s="7">
        <f ca="1">SUMIFS($N$2:$N1009,$B$2:$B1009,"&lt;&gt;"&amp;B1009)+SUM($Q$2:$Q1009)</f>
        <v>135.05500000000001</v>
      </c>
      <c r="R1009" t="b">
        <f>AND(ISNUMBER(FIND($E1009,Tables!$I$2)), ISNUMBER(FIND($D1009,Tables!$J$2)), $E1009&lt;&gt;"")</f>
        <v>0</v>
      </c>
    </row>
    <row r="1010" spans="1:18" x14ac:dyDescent="0.3">
      <c r="A1010">
        <f t="shared" si="81"/>
        <v>993</v>
      </c>
      <c r="B1010" s="4"/>
      <c r="I1010" s="8"/>
      <c r="J1010" s="5" t="str">
        <f t="shared" si="79"/>
        <v/>
      </c>
      <c r="K1010" s="3"/>
      <c r="L1010" s="3" t="str">
        <f t="shared" ref="L1010:L1073" si="83">IFERROR(IF(K1010=0, "", IF(I1010&gt;0, K1010/100*I1010,K1010/I1010*-100)), "")</f>
        <v/>
      </c>
      <c r="N1010" s="3" t="str">
        <f t="shared" si="82"/>
        <v/>
      </c>
      <c r="O1010" s="6" t="str">
        <f t="shared" si="80"/>
        <v/>
      </c>
      <c r="P1010" s="7">
        <f ca="1">SUMIFS($N$2:$N1010,$B$2:$B1010,"&lt;&gt;"&amp;B1010)+SUM($Q$2:$Q1010)</f>
        <v>135.05500000000001</v>
      </c>
      <c r="R1010" t="b">
        <f>AND(ISNUMBER(FIND($E1010,Tables!$I$2)), ISNUMBER(FIND($D1010,Tables!$J$2)), $E1010&lt;&gt;"")</f>
        <v>0</v>
      </c>
    </row>
    <row r="1011" spans="1:18" x14ac:dyDescent="0.3">
      <c r="A1011">
        <f t="shared" si="81"/>
        <v>994</v>
      </c>
      <c r="B1011" s="4"/>
      <c r="I1011" s="8"/>
      <c r="J1011" s="5" t="str">
        <f t="shared" si="79"/>
        <v/>
      </c>
      <c r="K1011" s="3"/>
      <c r="L1011" s="3" t="str">
        <f t="shared" si="83"/>
        <v/>
      </c>
      <c r="N1011" s="3" t="str">
        <f t="shared" si="82"/>
        <v/>
      </c>
      <c r="O1011" s="6" t="str">
        <f t="shared" si="80"/>
        <v/>
      </c>
      <c r="P1011" s="7">
        <f ca="1">SUMIFS($N$2:$N1011,$B$2:$B1011,"&lt;&gt;"&amp;B1011)+SUM($Q$2:$Q1011)</f>
        <v>135.05500000000001</v>
      </c>
      <c r="R1011" t="b">
        <f>AND(ISNUMBER(FIND($E1011,Tables!$I$2)), ISNUMBER(FIND($D1011,Tables!$J$2)), $E1011&lt;&gt;"")</f>
        <v>0</v>
      </c>
    </row>
    <row r="1012" spans="1:18" x14ac:dyDescent="0.3">
      <c r="A1012">
        <f t="shared" si="81"/>
        <v>995</v>
      </c>
      <c r="B1012" s="4"/>
      <c r="I1012" s="8"/>
      <c r="J1012" s="5" t="str">
        <f t="shared" si="79"/>
        <v/>
      </c>
      <c r="K1012" s="3"/>
      <c r="L1012" s="3" t="str">
        <f t="shared" si="83"/>
        <v/>
      </c>
      <c r="N1012" s="3" t="str">
        <f t="shared" si="82"/>
        <v/>
      </c>
      <c r="O1012" s="6" t="str">
        <f t="shared" si="80"/>
        <v/>
      </c>
      <c r="P1012" s="7">
        <f ca="1">SUMIFS($N$2:$N1012,$B$2:$B1012,"&lt;&gt;"&amp;B1012)+SUM($Q$2:$Q1012)</f>
        <v>135.05500000000001</v>
      </c>
      <c r="R1012" t="b">
        <f>AND(ISNUMBER(FIND($E1012,Tables!$I$2)), ISNUMBER(FIND($D1012,Tables!$J$2)), $E1012&lt;&gt;"")</f>
        <v>0</v>
      </c>
    </row>
    <row r="1013" spans="1:18" x14ac:dyDescent="0.3">
      <c r="A1013">
        <f t="shared" si="81"/>
        <v>996</v>
      </c>
      <c r="B1013" s="4"/>
      <c r="I1013" s="8"/>
      <c r="J1013" s="5" t="str">
        <f t="shared" si="79"/>
        <v/>
      </c>
      <c r="K1013" s="3"/>
      <c r="L1013" s="3" t="str">
        <f t="shared" si="83"/>
        <v/>
      </c>
      <c r="N1013" s="3" t="str">
        <f t="shared" si="82"/>
        <v/>
      </c>
      <c r="O1013" s="6" t="str">
        <f t="shared" si="80"/>
        <v/>
      </c>
      <c r="P1013" s="7">
        <f ca="1">SUMIFS($N$2:$N1013,$B$2:$B1013,"&lt;&gt;"&amp;B1013)+SUM($Q$2:$Q1013)</f>
        <v>135.05500000000001</v>
      </c>
      <c r="R1013" t="b">
        <f>AND(ISNUMBER(FIND($E1013,Tables!$I$2)), ISNUMBER(FIND($D1013,Tables!$J$2)), $E1013&lt;&gt;"")</f>
        <v>0</v>
      </c>
    </row>
    <row r="1014" spans="1:18" x14ac:dyDescent="0.3">
      <c r="A1014">
        <f t="shared" si="81"/>
        <v>997</v>
      </c>
      <c r="B1014" s="4"/>
      <c r="I1014" s="8"/>
      <c r="J1014" s="5" t="str">
        <f t="shared" si="79"/>
        <v/>
      </c>
      <c r="K1014" s="3"/>
      <c r="L1014" s="3" t="str">
        <f t="shared" si="83"/>
        <v/>
      </c>
      <c r="N1014" s="3" t="str">
        <f t="shared" si="82"/>
        <v/>
      </c>
      <c r="O1014" s="6" t="str">
        <f t="shared" si="80"/>
        <v/>
      </c>
      <c r="P1014" s="7">
        <f ca="1">SUMIFS($N$2:$N1014,$B$2:$B1014,"&lt;&gt;"&amp;B1014)+SUM($Q$2:$Q1014)</f>
        <v>135.05500000000001</v>
      </c>
      <c r="R1014" t="b">
        <f>AND(ISNUMBER(FIND($E1014,Tables!$I$2)), ISNUMBER(FIND($D1014,Tables!$J$2)), $E1014&lt;&gt;"")</f>
        <v>0</v>
      </c>
    </row>
    <row r="1015" spans="1:18" x14ac:dyDescent="0.3">
      <c r="A1015">
        <f t="shared" si="81"/>
        <v>998</v>
      </c>
      <c r="B1015" s="4"/>
      <c r="I1015" s="8"/>
      <c r="J1015" s="5" t="str">
        <f t="shared" si="79"/>
        <v/>
      </c>
      <c r="K1015" s="3"/>
      <c r="L1015" s="3" t="str">
        <f t="shared" si="83"/>
        <v/>
      </c>
      <c r="N1015" s="3" t="str">
        <f t="shared" si="82"/>
        <v/>
      </c>
      <c r="O1015" s="6" t="str">
        <f t="shared" si="80"/>
        <v/>
      </c>
      <c r="P1015" s="7">
        <f ca="1">SUMIFS($N$2:$N1015,$B$2:$B1015,"&lt;&gt;"&amp;B1015)+SUM($Q$2:$Q1015)</f>
        <v>135.05500000000001</v>
      </c>
      <c r="R1015" t="b">
        <f>AND(ISNUMBER(FIND($E1015,Tables!$I$2)), ISNUMBER(FIND($D1015,Tables!$J$2)), $E1015&lt;&gt;"")</f>
        <v>0</v>
      </c>
    </row>
    <row r="1016" spans="1:18" x14ac:dyDescent="0.3">
      <c r="A1016">
        <f t="shared" si="81"/>
        <v>999</v>
      </c>
      <c r="B1016" s="4"/>
      <c r="I1016" s="8"/>
      <c r="J1016" s="5" t="str">
        <f t="shared" si="79"/>
        <v/>
      </c>
      <c r="K1016" s="3"/>
      <c r="L1016" s="3" t="str">
        <f t="shared" si="83"/>
        <v/>
      </c>
      <c r="N1016" s="3" t="str">
        <f t="shared" si="82"/>
        <v/>
      </c>
      <c r="O1016" s="6" t="str">
        <f t="shared" si="80"/>
        <v/>
      </c>
      <c r="P1016" s="7">
        <f ca="1">SUMIFS($N$2:$N1016,$B$2:$B1016,"&lt;&gt;"&amp;B1016)+SUM($Q$2:$Q1016)</f>
        <v>135.05500000000001</v>
      </c>
      <c r="R1016" t="b">
        <f>AND(ISNUMBER(FIND($E1016,Tables!$I$2)), ISNUMBER(FIND($D1016,Tables!$J$2)), $E1016&lt;&gt;"")</f>
        <v>0</v>
      </c>
    </row>
    <row r="1017" spans="1:18" x14ac:dyDescent="0.3">
      <c r="A1017">
        <f t="shared" si="81"/>
        <v>1000</v>
      </c>
      <c r="B1017" s="4"/>
      <c r="I1017" s="8"/>
      <c r="J1017" s="5" t="str">
        <f t="shared" si="79"/>
        <v/>
      </c>
      <c r="K1017" s="3"/>
      <c r="L1017" s="3" t="str">
        <f t="shared" si="83"/>
        <v/>
      </c>
      <c r="N1017" s="3" t="str">
        <f t="shared" si="82"/>
        <v/>
      </c>
      <c r="O1017" s="6" t="str">
        <f t="shared" si="80"/>
        <v/>
      </c>
      <c r="P1017" s="7">
        <f ca="1">SUMIFS($N$2:$N1017,$B$2:$B1017,"&lt;&gt;"&amp;B1017)+SUM($Q$2:$Q1017)</f>
        <v>135.05500000000001</v>
      </c>
      <c r="R1017" t="b">
        <f>AND(ISNUMBER(FIND($E1017,Tables!$I$2)), ISNUMBER(FIND($D1017,Tables!$J$2)), $E1017&lt;&gt;"")</f>
        <v>0</v>
      </c>
    </row>
    <row r="1018" spans="1:18" x14ac:dyDescent="0.3">
      <c r="A1018">
        <f t="shared" si="81"/>
        <v>1001</v>
      </c>
      <c r="B1018" s="4"/>
      <c r="I1018" s="8"/>
      <c r="J1018" s="5" t="str">
        <f t="shared" si="79"/>
        <v/>
      </c>
      <c r="K1018" s="3"/>
      <c r="L1018" s="3" t="str">
        <f t="shared" si="83"/>
        <v/>
      </c>
      <c r="N1018" s="3" t="str">
        <f t="shared" si="82"/>
        <v/>
      </c>
      <c r="O1018" s="6" t="str">
        <f t="shared" si="80"/>
        <v/>
      </c>
      <c r="P1018" s="7">
        <f ca="1">SUMIFS($N$2:$N1018,$B$2:$B1018,"&lt;&gt;"&amp;B1018)+SUM($Q$2:$Q1018)</f>
        <v>135.05500000000001</v>
      </c>
      <c r="R1018" t="b">
        <f>AND(ISNUMBER(FIND($E1018,Tables!$I$2)), ISNUMBER(FIND($D1018,Tables!$J$2)), $E1018&lt;&gt;"")</f>
        <v>0</v>
      </c>
    </row>
    <row r="1019" spans="1:18" x14ac:dyDescent="0.3">
      <c r="A1019">
        <f t="shared" si="81"/>
        <v>1002</v>
      </c>
      <c r="B1019" s="4"/>
      <c r="I1019" s="8"/>
      <c r="J1019" s="5" t="str">
        <f t="shared" si="79"/>
        <v/>
      </c>
      <c r="K1019" s="3"/>
      <c r="L1019" s="3" t="str">
        <f t="shared" si="83"/>
        <v/>
      </c>
      <c r="N1019" s="3" t="str">
        <f t="shared" si="82"/>
        <v/>
      </c>
      <c r="O1019" s="6" t="str">
        <f t="shared" si="80"/>
        <v/>
      </c>
      <c r="P1019" s="7">
        <f ca="1">SUMIFS($N$2:$N1019,$B$2:$B1019,"&lt;&gt;"&amp;B1019)+SUM($Q$2:$Q1019)</f>
        <v>135.05500000000001</v>
      </c>
      <c r="R1019" t="b">
        <f>AND(ISNUMBER(FIND($E1019,Tables!$I$2)), ISNUMBER(FIND($D1019,Tables!$J$2)), $E1019&lt;&gt;"")</f>
        <v>0</v>
      </c>
    </row>
    <row r="1020" spans="1:18" x14ac:dyDescent="0.3">
      <c r="A1020">
        <f t="shared" si="81"/>
        <v>1003</v>
      </c>
      <c r="B1020" s="4"/>
      <c r="I1020" s="8"/>
      <c r="J1020" s="5" t="str">
        <f t="shared" si="79"/>
        <v/>
      </c>
      <c r="K1020" s="3"/>
      <c r="L1020" s="3" t="str">
        <f t="shared" si="83"/>
        <v/>
      </c>
      <c r="N1020" s="3" t="str">
        <f t="shared" si="82"/>
        <v/>
      </c>
      <c r="O1020" s="6" t="str">
        <f t="shared" si="80"/>
        <v/>
      </c>
      <c r="P1020" s="7">
        <f ca="1">SUMIFS($N$2:$N1020,$B$2:$B1020,"&lt;&gt;"&amp;B1020)+SUM($Q$2:$Q1020)</f>
        <v>135.05500000000001</v>
      </c>
      <c r="R1020" t="b">
        <f>AND(ISNUMBER(FIND($E1020,Tables!$I$2)), ISNUMBER(FIND($D1020,Tables!$J$2)), $E1020&lt;&gt;"")</f>
        <v>0</v>
      </c>
    </row>
    <row r="1021" spans="1:18" x14ac:dyDescent="0.3">
      <c r="A1021">
        <f t="shared" si="81"/>
        <v>1004</v>
      </c>
      <c r="B1021" s="4"/>
      <c r="I1021" s="8"/>
      <c r="J1021" s="5" t="str">
        <f t="shared" si="79"/>
        <v/>
      </c>
      <c r="K1021" s="3"/>
      <c r="L1021" s="3" t="str">
        <f t="shared" si="83"/>
        <v/>
      </c>
      <c r="N1021" s="3" t="str">
        <f t="shared" si="82"/>
        <v/>
      </c>
      <c r="O1021" s="6" t="str">
        <f t="shared" si="80"/>
        <v/>
      </c>
      <c r="P1021" s="7">
        <f ca="1">SUMIFS($N$2:$N1021,$B$2:$B1021,"&lt;&gt;"&amp;B1021)+SUM($Q$2:$Q1021)</f>
        <v>135.05500000000001</v>
      </c>
      <c r="R1021" t="b">
        <f>AND(ISNUMBER(FIND($E1021,Tables!$I$2)), ISNUMBER(FIND($D1021,Tables!$J$2)), $E1021&lt;&gt;"")</f>
        <v>0</v>
      </c>
    </row>
    <row r="1022" spans="1:18" x14ac:dyDescent="0.3">
      <c r="A1022">
        <f t="shared" si="81"/>
        <v>1005</v>
      </c>
      <c r="B1022" s="4"/>
      <c r="I1022" s="8"/>
      <c r="J1022" s="5" t="str">
        <f t="shared" si="79"/>
        <v/>
      </c>
      <c r="K1022" s="3"/>
      <c r="L1022" s="3" t="str">
        <f t="shared" si="83"/>
        <v/>
      </c>
      <c r="N1022" s="3" t="str">
        <f t="shared" si="82"/>
        <v/>
      </c>
      <c r="O1022" s="6" t="str">
        <f t="shared" si="80"/>
        <v/>
      </c>
      <c r="P1022" s="7">
        <f ca="1">SUMIFS($N$2:$N1022,$B$2:$B1022,"&lt;&gt;"&amp;B1022)+SUM($Q$2:$Q1022)</f>
        <v>135.05500000000001</v>
      </c>
      <c r="R1022" t="b">
        <f>AND(ISNUMBER(FIND($E1022,Tables!$I$2)), ISNUMBER(FIND($D1022,Tables!$J$2)), $E1022&lt;&gt;"")</f>
        <v>0</v>
      </c>
    </row>
    <row r="1023" spans="1:18" x14ac:dyDescent="0.3">
      <c r="A1023">
        <f t="shared" si="81"/>
        <v>1006</v>
      </c>
      <c r="B1023" s="4"/>
      <c r="I1023" s="8"/>
      <c r="J1023" s="5" t="str">
        <f t="shared" si="79"/>
        <v/>
      </c>
      <c r="K1023" s="3"/>
      <c r="L1023" s="3" t="str">
        <f t="shared" si="83"/>
        <v/>
      </c>
      <c r="N1023" s="3" t="str">
        <f t="shared" si="82"/>
        <v/>
      </c>
      <c r="O1023" s="6" t="str">
        <f t="shared" si="80"/>
        <v/>
      </c>
      <c r="P1023" s="7">
        <f ca="1">SUMIFS($N$2:$N1023,$B$2:$B1023,"&lt;&gt;"&amp;B1023)+SUM($Q$2:$Q1023)</f>
        <v>135.05500000000001</v>
      </c>
      <c r="R1023" t="b">
        <f>AND(ISNUMBER(FIND($E1023,Tables!$I$2)), ISNUMBER(FIND($D1023,Tables!$J$2)), $E1023&lt;&gt;"")</f>
        <v>0</v>
      </c>
    </row>
    <row r="1024" spans="1:18" x14ac:dyDescent="0.3">
      <c r="A1024">
        <f t="shared" si="81"/>
        <v>1007</v>
      </c>
      <c r="B1024" s="4"/>
      <c r="I1024" s="8"/>
      <c r="J1024" s="5" t="str">
        <f t="shared" si="79"/>
        <v/>
      </c>
      <c r="K1024" s="3"/>
      <c r="L1024" s="3" t="str">
        <f t="shared" si="83"/>
        <v/>
      </c>
      <c r="N1024" s="3" t="str">
        <f t="shared" si="82"/>
        <v/>
      </c>
      <c r="O1024" s="6" t="str">
        <f t="shared" si="80"/>
        <v/>
      </c>
      <c r="P1024" s="7">
        <f ca="1">SUMIFS($N$2:$N1024,$B$2:$B1024,"&lt;&gt;"&amp;B1024)+SUM($Q$2:$Q1024)</f>
        <v>135.05500000000001</v>
      </c>
      <c r="R1024" t="b">
        <f>AND(ISNUMBER(FIND($E1024,Tables!$I$2)), ISNUMBER(FIND($D1024,Tables!$J$2)), $E1024&lt;&gt;"")</f>
        <v>0</v>
      </c>
    </row>
    <row r="1025" spans="1:18" x14ac:dyDescent="0.3">
      <c r="A1025">
        <f t="shared" si="81"/>
        <v>1008</v>
      </c>
      <c r="B1025" s="4"/>
      <c r="I1025" s="8"/>
      <c r="J1025" s="5" t="str">
        <f t="shared" si="79"/>
        <v/>
      </c>
      <c r="K1025" s="3"/>
      <c r="L1025" s="3" t="str">
        <f t="shared" si="83"/>
        <v/>
      </c>
      <c r="N1025" s="3" t="str">
        <f t="shared" si="82"/>
        <v/>
      </c>
      <c r="O1025" s="6" t="str">
        <f t="shared" si="80"/>
        <v/>
      </c>
      <c r="P1025" s="7">
        <f ca="1">SUMIFS($N$2:$N1025,$B$2:$B1025,"&lt;&gt;"&amp;B1025)+SUM($Q$2:$Q1025)</f>
        <v>135.05500000000001</v>
      </c>
      <c r="R1025" t="b">
        <f>AND(ISNUMBER(FIND($E1025,Tables!$I$2)), ISNUMBER(FIND($D1025,Tables!$J$2)), $E1025&lt;&gt;"")</f>
        <v>0</v>
      </c>
    </row>
    <row r="1026" spans="1:18" x14ac:dyDescent="0.3">
      <c r="A1026">
        <f t="shared" si="81"/>
        <v>1009</v>
      </c>
      <c r="B1026" s="4"/>
      <c r="I1026" s="8"/>
      <c r="J1026" s="5" t="str">
        <f t="shared" ref="J1026:J1089" si="84">IF(I1026="", "", IF(I1026&gt;0, I1026/100 +1, -100/I1026 +1))</f>
        <v/>
      </c>
      <c r="K1026" s="3"/>
      <c r="L1026" s="3" t="str">
        <f t="shared" si="83"/>
        <v/>
      </c>
      <c r="N1026" s="3" t="str">
        <f t="shared" si="82"/>
        <v/>
      </c>
      <c r="O1026" s="6" t="str">
        <f t="shared" ref="O1026:O1089" si="85">IFERROR(K1026/VLOOKUP(_xlfn.MINIFS(A:A,B:B,B1026,C:C,C1026),A:P,16),"")</f>
        <v/>
      </c>
      <c r="P1026" s="7">
        <f ca="1">SUMIFS($N$2:$N1026,$B$2:$B1026,"&lt;&gt;"&amp;B1026)+SUM($Q$2:$Q1026)</f>
        <v>135.05500000000001</v>
      </c>
      <c r="R1026" t="b">
        <f>AND(ISNUMBER(FIND($E1026,Tables!$I$2)), ISNUMBER(FIND($D1026,Tables!$J$2)), $E1026&lt;&gt;"")</f>
        <v>0</v>
      </c>
    </row>
    <row r="1027" spans="1:18" x14ac:dyDescent="0.3">
      <c r="A1027">
        <f t="shared" si="81"/>
        <v>1010</v>
      </c>
      <c r="B1027" s="4"/>
      <c r="I1027" s="8"/>
      <c r="J1027" s="5" t="str">
        <f t="shared" si="84"/>
        <v/>
      </c>
      <c r="K1027" s="3"/>
      <c r="L1027" s="3" t="str">
        <f t="shared" si="83"/>
        <v/>
      </c>
      <c r="N1027" s="3" t="str">
        <f t="shared" si="82"/>
        <v/>
      </c>
      <c r="O1027" s="6" t="str">
        <f t="shared" si="85"/>
        <v/>
      </c>
      <c r="P1027" s="7">
        <f ca="1">SUMIFS($N$2:$N1027,$B$2:$B1027,"&lt;&gt;"&amp;B1027)+SUM($Q$2:$Q1027)</f>
        <v>135.05500000000001</v>
      </c>
      <c r="R1027" t="b">
        <f>AND(ISNUMBER(FIND($E1027,Tables!$I$2)), ISNUMBER(FIND($D1027,Tables!$J$2)), $E1027&lt;&gt;"")</f>
        <v>0</v>
      </c>
    </row>
    <row r="1028" spans="1:18" x14ac:dyDescent="0.3">
      <c r="A1028">
        <f t="shared" si="81"/>
        <v>1011</v>
      </c>
      <c r="B1028" s="4"/>
      <c r="I1028" s="8"/>
      <c r="J1028" s="5" t="str">
        <f t="shared" si="84"/>
        <v/>
      </c>
      <c r="K1028" s="3"/>
      <c r="L1028" s="3" t="str">
        <f t="shared" si="83"/>
        <v/>
      </c>
      <c r="N1028" s="3" t="str">
        <f t="shared" si="82"/>
        <v/>
      </c>
      <c r="O1028" s="6" t="str">
        <f t="shared" si="85"/>
        <v/>
      </c>
      <c r="P1028" s="7">
        <f ca="1">SUMIFS($N$2:$N1028,$B$2:$B1028,"&lt;&gt;"&amp;B1028)+SUM($Q$2:$Q1028)</f>
        <v>135.05500000000001</v>
      </c>
      <c r="R1028" t="b">
        <f>AND(ISNUMBER(FIND($E1028,Tables!$I$2)), ISNUMBER(FIND($D1028,Tables!$J$2)), $E1028&lt;&gt;"")</f>
        <v>0</v>
      </c>
    </row>
    <row r="1029" spans="1:18" x14ac:dyDescent="0.3">
      <c r="A1029">
        <f t="shared" si="81"/>
        <v>1012</v>
      </c>
      <c r="B1029" s="4"/>
      <c r="I1029" s="8"/>
      <c r="J1029" s="5" t="str">
        <f t="shared" si="84"/>
        <v/>
      </c>
      <c r="K1029" s="3"/>
      <c r="L1029" s="3" t="str">
        <f t="shared" si="83"/>
        <v/>
      </c>
      <c r="N1029" s="3" t="str">
        <f t="shared" si="82"/>
        <v/>
      </c>
      <c r="O1029" s="6" t="str">
        <f t="shared" si="85"/>
        <v/>
      </c>
      <c r="P1029" s="7">
        <f ca="1">SUMIFS($N$2:$N1029,$B$2:$B1029,"&lt;&gt;"&amp;B1029)+SUM($Q$2:$Q1029)</f>
        <v>135.05500000000001</v>
      </c>
      <c r="R1029" t="b">
        <f>AND(ISNUMBER(FIND($E1029,Tables!$I$2)), ISNUMBER(FIND($D1029,Tables!$J$2)), $E1029&lt;&gt;"")</f>
        <v>0</v>
      </c>
    </row>
    <row r="1030" spans="1:18" x14ac:dyDescent="0.3">
      <c r="A1030">
        <f t="shared" si="81"/>
        <v>1013</v>
      </c>
      <c r="B1030" s="4"/>
      <c r="I1030" s="8"/>
      <c r="J1030" s="5" t="str">
        <f t="shared" si="84"/>
        <v/>
      </c>
      <c r="K1030" s="3"/>
      <c r="L1030" s="3" t="str">
        <f t="shared" si="83"/>
        <v/>
      </c>
      <c r="N1030" s="3" t="str">
        <f t="shared" si="82"/>
        <v/>
      </c>
      <c r="O1030" s="6" t="str">
        <f t="shared" si="85"/>
        <v/>
      </c>
      <c r="P1030" s="7">
        <f ca="1">SUMIFS($N$2:$N1030,$B$2:$B1030,"&lt;&gt;"&amp;B1030)+SUM($Q$2:$Q1030)</f>
        <v>135.05500000000001</v>
      </c>
      <c r="R1030" t="b">
        <f>AND(ISNUMBER(FIND($E1030,Tables!$I$2)), ISNUMBER(FIND($D1030,Tables!$J$2)), $E1030&lt;&gt;"")</f>
        <v>0</v>
      </c>
    </row>
    <row r="1031" spans="1:18" x14ac:dyDescent="0.3">
      <c r="A1031">
        <f t="shared" si="81"/>
        <v>1014</v>
      </c>
      <c r="B1031" s="4"/>
      <c r="I1031" s="8"/>
      <c r="J1031" s="5" t="str">
        <f t="shared" si="84"/>
        <v/>
      </c>
      <c r="K1031" s="3"/>
      <c r="L1031" s="3" t="str">
        <f t="shared" si="83"/>
        <v/>
      </c>
      <c r="N1031" s="3" t="str">
        <f t="shared" si="82"/>
        <v/>
      </c>
      <c r="O1031" s="6" t="str">
        <f t="shared" si="85"/>
        <v/>
      </c>
      <c r="P1031" s="7">
        <f ca="1">SUMIFS($N$2:$N1031,$B$2:$B1031,"&lt;&gt;"&amp;B1031)+SUM($Q$2:$Q1031)</f>
        <v>135.05500000000001</v>
      </c>
      <c r="R1031" t="b">
        <f>AND(ISNUMBER(FIND($E1031,Tables!$I$2)), ISNUMBER(FIND($D1031,Tables!$J$2)), $E1031&lt;&gt;"")</f>
        <v>0</v>
      </c>
    </row>
    <row r="1032" spans="1:18" x14ac:dyDescent="0.3">
      <c r="A1032">
        <f t="shared" si="81"/>
        <v>1015</v>
      </c>
      <c r="B1032" s="4"/>
      <c r="I1032" s="8"/>
      <c r="J1032" s="5" t="str">
        <f t="shared" si="84"/>
        <v/>
      </c>
      <c r="K1032" s="3"/>
      <c r="L1032" s="3" t="str">
        <f t="shared" si="83"/>
        <v/>
      </c>
      <c r="N1032" s="3" t="str">
        <f t="shared" si="82"/>
        <v/>
      </c>
      <c r="O1032" s="6" t="str">
        <f t="shared" si="85"/>
        <v/>
      </c>
      <c r="P1032" s="7">
        <f ca="1">SUMIFS($N$2:$N1032,$B$2:$B1032,"&lt;&gt;"&amp;B1032)+SUM($Q$2:$Q1032)</f>
        <v>135.05500000000001</v>
      </c>
      <c r="R1032" t="b">
        <f>AND(ISNUMBER(FIND($E1032,Tables!$I$2)), ISNUMBER(FIND($D1032,Tables!$J$2)), $E1032&lt;&gt;"")</f>
        <v>0</v>
      </c>
    </row>
    <row r="1033" spans="1:18" x14ac:dyDescent="0.3">
      <c r="A1033">
        <f t="shared" si="81"/>
        <v>1016</v>
      </c>
      <c r="B1033" s="4"/>
      <c r="I1033" s="8"/>
      <c r="J1033" s="5" t="str">
        <f t="shared" si="84"/>
        <v/>
      </c>
      <c r="K1033" s="3"/>
      <c r="L1033" s="3" t="str">
        <f t="shared" si="83"/>
        <v/>
      </c>
      <c r="N1033" s="3" t="str">
        <f t="shared" si="82"/>
        <v/>
      </c>
      <c r="O1033" s="6" t="str">
        <f t="shared" si="85"/>
        <v/>
      </c>
      <c r="P1033" s="7">
        <f ca="1">SUMIFS($N$2:$N1033,$B$2:$B1033,"&lt;&gt;"&amp;B1033)+SUM($Q$2:$Q1033)</f>
        <v>135.05500000000001</v>
      </c>
      <c r="R1033" t="b">
        <f>AND(ISNUMBER(FIND($E1033,Tables!$I$2)), ISNUMBER(FIND($D1033,Tables!$J$2)), $E1033&lt;&gt;"")</f>
        <v>0</v>
      </c>
    </row>
    <row r="1034" spans="1:18" x14ac:dyDescent="0.3">
      <c r="A1034">
        <f t="shared" si="81"/>
        <v>1017</v>
      </c>
      <c r="B1034" s="4"/>
      <c r="I1034" s="8"/>
      <c r="J1034" s="5" t="str">
        <f t="shared" si="84"/>
        <v/>
      </c>
      <c r="K1034" s="3"/>
      <c r="L1034" s="3" t="str">
        <f t="shared" si="83"/>
        <v/>
      </c>
      <c r="N1034" s="3" t="str">
        <f t="shared" si="82"/>
        <v/>
      </c>
      <c r="O1034" s="6" t="str">
        <f t="shared" si="85"/>
        <v/>
      </c>
      <c r="P1034" s="7">
        <f ca="1">SUMIFS($N$2:$N1034,$B$2:$B1034,"&lt;&gt;"&amp;B1034)+SUM($Q$2:$Q1034)</f>
        <v>135.05500000000001</v>
      </c>
      <c r="R1034" t="b">
        <f>AND(ISNUMBER(FIND($E1034,Tables!$I$2)), ISNUMBER(FIND($D1034,Tables!$J$2)), $E1034&lt;&gt;"")</f>
        <v>0</v>
      </c>
    </row>
    <row r="1035" spans="1:18" x14ac:dyDescent="0.3">
      <c r="A1035">
        <f t="shared" si="81"/>
        <v>1018</v>
      </c>
      <c r="B1035" s="4"/>
      <c r="I1035" s="8"/>
      <c r="J1035" s="5" t="str">
        <f t="shared" si="84"/>
        <v/>
      </c>
      <c r="K1035" s="3"/>
      <c r="L1035" s="3" t="str">
        <f t="shared" si="83"/>
        <v/>
      </c>
      <c r="N1035" s="3" t="str">
        <f t="shared" si="82"/>
        <v/>
      </c>
      <c r="O1035" s="6" t="str">
        <f t="shared" si="85"/>
        <v/>
      </c>
      <c r="P1035" s="7">
        <f ca="1">SUMIFS($N$2:$N1035,$B$2:$B1035,"&lt;&gt;"&amp;B1035)+SUM($Q$2:$Q1035)</f>
        <v>135.05500000000001</v>
      </c>
      <c r="R1035" t="b">
        <f>AND(ISNUMBER(FIND($E1035,Tables!$I$2)), ISNUMBER(FIND($D1035,Tables!$J$2)), $E1035&lt;&gt;"")</f>
        <v>0</v>
      </c>
    </row>
    <row r="1036" spans="1:18" x14ac:dyDescent="0.3">
      <c r="A1036">
        <f t="shared" si="81"/>
        <v>1019</v>
      </c>
      <c r="B1036" s="4"/>
      <c r="I1036" s="8"/>
      <c r="J1036" s="5" t="str">
        <f t="shared" si="84"/>
        <v/>
      </c>
      <c r="K1036" s="3"/>
      <c r="L1036" s="3" t="str">
        <f t="shared" si="83"/>
        <v/>
      </c>
      <c r="N1036" s="3" t="str">
        <f t="shared" si="82"/>
        <v/>
      </c>
      <c r="O1036" s="6" t="str">
        <f t="shared" si="85"/>
        <v/>
      </c>
      <c r="P1036" s="7">
        <f ca="1">SUMIFS($N$2:$N1036,$B$2:$B1036,"&lt;&gt;"&amp;B1036)+SUM($Q$2:$Q1036)</f>
        <v>135.05500000000001</v>
      </c>
      <c r="R1036" t="b">
        <f>AND(ISNUMBER(FIND($E1036,Tables!$I$2)), ISNUMBER(FIND($D1036,Tables!$J$2)), $E1036&lt;&gt;"")</f>
        <v>0</v>
      </c>
    </row>
    <row r="1037" spans="1:18" x14ac:dyDescent="0.3">
      <c r="A1037">
        <f t="shared" si="81"/>
        <v>1020</v>
      </c>
      <c r="B1037" s="4"/>
      <c r="I1037" s="8"/>
      <c r="J1037" s="5" t="str">
        <f t="shared" si="84"/>
        <v/>
      </c>
      <c r="K1037" s="3"/>
      <c r="L1037" s="3" t="str">
        <f t="shared" si="83"/>
        <v/>
      </c>
      <c r="N1037" s="3" t="str">
        <f t="shared" si="82"/>
        <v/>
      </c>
      <c r="O1037" s="6" t="str">
        <f t="shared" si="85"/>
        <v/>
      </c>
      <c r="P1037" s="7">
        <f ca="1">SUMIFS($N$2:$N1037,$B$2:$B1037,"&lt;&gt;"&amp;B1037)+SUM($Q$2:$Q1037)</f>
        <v>135.05500000000001</v>
      </c>
      <c r="R1037" t="b">
        <f>AND(ISNUMBER(FIND($E1037,Tables!$I$2)), ISNUMBER(FIND($D1037,Tables!$J$2)), $E1037&lt;&gt;"")</f>
        <v>0</v>
      </c>
    </row>
    <row r="1038" spans="1:18" x14ac:dyDescent="0.3">
      <c r="A1038">
        <f t="shared" si="81"/>
        <v>1021</v>
      </c>
      <c r="B1038" s="4"/>
      <c r="I1038" s="8"/>
      <c r="J1038" s="5" t="str">
        <f t="shared" si="84"/>
        <v/>
      </c>
      <c r="K1038" s="3"/>
      <c r="L1038" s="3" t="str">
        <f t="shared" si="83"/>
        <v/>
      </c>
      <c r="N1038" s="3" t="str">
        <f t="shared" si="82"/>
        <v/>
      </c>
      <c r="O1038" s="6" t="str">
        <f t="shared" si="85"/>
        <v/>
      </c>
      <c r="P1038" s="7">
        <f ca="1">SUMIFS($N$2:$N1038,$B$2:$B1038,"&lt;&gt;"&amp;B1038)+SUM($Q$2:$Q1038)</f>
        <v>135.05500000000001</v>
      </c>
      <c r="R1038" t="b">
        <f>AND(ISNUMBER(FIND($E1038,Tables!$I$2)), ISNUMBER(FIND($D1038,Tables!$J$2)), $E1038&lt;&gt;"")</f>
        <v>0</v>
      </c>
    </row>
    <row r="1039" spans="1:18" x14ac:dyDescent="0.3">
      <c r="A1039">
        <f t="shared" si="81"/>
        <v>1022</v>
      </c>
      <c r="B1039" s="4"/>
      <c r="I1039" s="8"/>
      <c r="J1039" s="5" t="str">
        <f t="shared" si="84"/>
        <v/>
      </c>
      <c r="K1039" s="3"/>
      <c r="L1039" s="3" t="str">
        <f t="shared" si="83"/>
        <v/>
      </c>
      <c r="N1039" s="3" t="str">
        <f t="shared" si="82"/>
        <v/>
      </c>
      <c r="O1039" s="6" t="str">
        <f t="shared" si="85"/>
        <v/>
      </c>
      <c r="P1039" s="7">
        <f ca="1">SUMIFS($N$2:$N1039,$B$2:$B1039,"&lt;&gt;"&amp;B1039)+SUM($Q$2:$Q1039)</f>
        <v>135.05500000000001</v>
      </c>
      <c r="R1039" t="b">
        <f>AND(ISNUMBER(FIND($E1039,Tables!$I$2)), ISNUMBER(FIND($D1039,Tables!$J$2)), $E1039&lt;&gt;"")</f>
        <v>0</v>
      </c>
    </row>
    <row r="1040" spans="1:18" x14ac:dyDescent="0.3">
      <c r="A1040">
        <f t="shared" si="81"/>
        <v>1023</v>
      </c>
      <c r="B1040" s="4"/>
      <c r="I1040" s="8"/>
      <c r="J1040" s="5" t="str">
        <f t="shared" si="84"/>
        <v/>
      </c>
      <c r="K1040" s="3"/>
      <c r="L1040" s="3" t="str">
        <f t="shared" si="83"/>
        <v/>
      </c>
      <c r="N1040" s="3" t="str">
        <f t="shared" si="82"/>
        <v/>
      </c>
      <c r="O1040" s="6" t="str">
        <f t="shared" si="85"/>
        <v/>
      </c>
      <c r="P1040" s="7">
        <f ca="1">SUMIFS($N$2:$N1040,$B$2:$B1040,"&lt;&gt;"&amp;B1040)+SUM($Q$2:$Q1040)</f>
        <v>135.05500000000001</v>
      </c>
      <c r="R1040" t="b">
        <f>AND(ISNUMBER(FIND($E1040,Tables!$I$2)), ISNUMBER(FIND($D1040,Tables!$J$2)), $E1040&lt;&gt;"")</f>
        <v>0</v>
      </c>
    </row>
    <row r="1041" spans="1:18" x14ac:dyDescent="0.3">
      <c r="A1041">
        <f t="shared" si="81"/>
        <v>1024</v>
      </c>
      <c r="B1041" s="4"/>
      <c r="I1041" s="8"/>
      <c r="J1041" s="5" t="str">
        <f t="shared" si="84"/>
        <v/>
      </c>
      <c r="K1041" s="3"/>
      <c r="L1041" s="3" t="str">
        <f t="shared" si="83"/>
        <v/>
      </c>
      <c r="N1041" s="3" t="str">
        <f t="shared" si="82"/>
        <v/>
      </c>
      <c r="O1041" s="6" t="str">
        <f t="shared" si="85"/>
        <v/>
      </c>
      <c r="P1041" s="7">
        <f ca="1">SUMIFS($N$2:$N1041,$B$2:$B1041,"&lt;&gt;"&amp;B1041)+SUM($Q$2:$Q1041)</f>
        <v>135.05500000000001</v>
      </c>
      <c r="R1041" t="b">
        <f>AND(ISNUMBER(FIND($E1041,Tables!$I$2)), ISNUMBER(FIND($D1041,Tables!$J$2)), $E1041&lt;&gt;"")</f>
        <v>0</v>
      </c>
    </row>
    <row r="1042" spans="1:18" x14ac:dyDescent="0.3">
      <c r="A1042">
        <f t="shared" si="81"/>
        <v>1025</v>
      </c>
      <c r="B1042" s="4"/>
      <c r="I1042" s="8"/>
      <c r="J1042" s="5" t="str">
        <f t="shared" si="84"/>
        <v/>
      </c>
      <c r="K1042" s="3"/>
      <c r="L1042" s="3" t="str">
        <f t="shared" si="83"/>
        <v/>
      </c>
      <c r="N1042" s="3" t="str">
        <f t="shared" si="82"/>
        <v/>
      </c>
      <c r="O1042" s="6" t="str">
        <f t="shared" si="85"/>
        <v/>
      </c>
      <c r="P1042" s="7">
        <f ca="1">SUMIFS($N$2:$N1042,$B$2:$B1042,"&lt;&gt;"&amp;B1042)+SUM($Q$2:$Q1042)</f>
        <v>135.05500000000001</v>
      </c>
      <c r="R1042" t="b">
        <f>AND(ISNUMBER(FIND($E1042,Tables!$I$2)), ISNUMBER(FIND($D1042,Tables!$J$2)), $E1042&lt;&gt;"")</f>
        <v>0</v>
      </c>
    </row>
    <row r="1043" spans="1:18" x14ac:dyDescent="0.3">
      <c r="A1043">
        <f t="shared" si="81"/>
        <v>1026</v>
      </c>
      <c r="B1043" s="4"/>
      <c r="I1043" s="8"/>
      <c r="J1043" s="5" t="str">
        <f t="shared" si="84"/>
        <v/>
      </c>
      <c r="K1043" s="3"/>
      <c r="L1043" s="3" t="str">
        <f t="shared" si="83"/>
        <v/>
      </c>
      <c r="N1043" s="3" t="str">
        <f t="shared" si="82"/>
        <v/>
      </c>
      <c r="O1043" s="6" t="str">
        <f t="shared" si="85"/>
        <v/>
      </c>
      <c r="P1043" s="7">
        <f ca="1">SUMIFS($N$2:$N1043,$B$2:$B1043,"&lt;&gt;"&amp;B1043)+SUM($Q$2:$Q1043)</f>
        <v>135.05500000000001</v>
      </c>
      <c r="R1043" t="b">
        <f>AND(ISNUMBER(FIND($E1043,Tables!$I$2)), ISNUMBER(FIND($D1043,Tables!$J$2)), $E1043&lt;&gt;"")</f>
        <v>0</v>
      </c>
    </row>
    <row r="1044" spans="1:18" x14ac:dyDescent="0.3">
      <c r="A1044">
        <f t="shared" si="81"/>
        <v>1027</v>
      </c>
      <c r="B1044" s="4"/>
      <c r="I1044" s="8"/>
      <c r="J1044" s="5" t="str">
        <f t="shared" si="84"/>
        <v/>
      </c>
      <c r="K1044" s="3"/>
      <c r="L1044" s="3" t="str">
        <f t="shared" si="83"/>
        <v/>
      </c>
      <c r="N1044" s="3" t="str">
        <f t="shared" si="82"/>
        <v/>
      </c>
      <c r="O1044" s="6" t="str">
        <f t="shared" si="85"/>
        <v/>
      </c>
      <c r="P1044" s="7">
        <f ca="1">SUMIFS($N$2:$N1044,$B$2:$B1044,"&lt;&gt;"&amp;B1044)+SUM($Q$2:$Q1044)</f>
        <v>135.05500000000001</v>
      </c>
      <c r="R1044" t="b">
        <f>AND(ISNUMBER(FIND($E1044,Tables!$I$2)), ISNUMBER(FIND($D1044,Tables!$J$2)), $E1044&lt;&gt;"")</f>
        <v>0</v>
      </c>
    </row>
    <row r="1045" spans="1:18" x14ac:dyDescent="0.3">
      <c r="A1045">
        <f t="shared" si="81"/>
        <v>1028</v>
      </c>
      <c r="B1045" s="4"/>
      <c r="I1045" s="8"/>
      <c r="J1045" s="5" t="str">
        <f t="shared" si="84"/>
        <v/>
      </c>
      <c r="K1045" s="3"/>
      <c r="L1045" s="3" t="str">
        <f t="shared" si="83"/>
        <v/>
      </c>
      <c r="N1045" s="3" t="str">
        <f t="shared" si="82"/>
        <v/>
      </c>
      <c r="O1045" s="6" t="str">
        <f t="shared" si="85"/>
        <v/>
      </c>
      <c r="P1045" s="7">
        <f ca="1">SUMIFS($N$2:$N1045,$B$2:$B1045,"&lt;&gt;"&amp;B1045)+SUM($Q$2:$Q1045)</f>
        <v>135.05500000000001</v>
      </c>
      <c r="R1045" t="b">
        <f>AND(ISNUMBER(FIND($E1045,Tables!$I$2)), ISNUMBER(FIND($D1045,Tables!$J$2)), $E1045&lt;&gt;"")</f>
        <v>0</v>
      </c>
    </row>
    <row r="1046" spans="1:18" x14ac:dyDescent="0.3">
      <c r="A1046">
        <f t="shared" si="81"/>
        <v>1029</v>
      </c>
      <c r="B1046" s="4"/>
      <c r="I1046" s="8"/>
      <c r="J1046" s="5" t="str">
        <f t="shared" si="84"/>
        <v/>
      </c>
      <c r="K1046" s="3"/>
      <c r="L1046" s="3" t="str">
        <f t="shared" si="83"/>
        <v/>
      </c>
      <c r="N1046" s="3" t="str">
        <f t="shared" si="82"/>
        <v/>
      </c>
      <c r="O1046" s="6" t="str">
        <f t="shared" si="85"/>
        <v/>
      </c>
      <c r="P1046" s="7">
        <f ca="1">SUMIFS($N$2:$N1046,$B$2:$B1046,"&lt;&gt;"&amp;B1046)+SUM($Q$2:$Q1046)</f>
        <v>135.05500000000001</v>
      </c>
      <c r="R1046" t="b">
        <f>AND(ISNUMBER(FIND($E1046,Tables!$I$2)), ISNUMBER(FIND($D1046,Tables!$J$2)), $E1046&lt;&gt;"")</f>
        <v>0</v>
      </c>
    </row>
    <row r="1047" spans="1:18" x14ac:dyDescent="0.3">
      <c r="A1047">
        <f t="shared" si="81"/>
        <v>1030</v>
      </c>
      <c r="B1047" s="4"/>
      <c r="I1047" s="8"/>
      <c r="J1047" s="5" t="str">
        <f t="shared" si="84"/>
        <v/>
      </c>
      <c r="K1047" s="3"/>
      <c r="L1047" s="3" t="str">
        <f t="shared" si="83"/>
        <v/>
      </c>
      <c r="N1047" s="3" t="str">
        <f t="shared" si="82"/>
        <v/>
      </c>
      <c r="O1047" s="6" t="str">
        <f t="shared" si="85"/>
        <v/>
      </c>
      <c r="P1047" s="7">
        <f ca="1">SUMIFS($N$2:$N1047,$B$2:$B1047,"&lt;&gt;"&amp;B1047)+SUM($Q$2:$Q1047)</f>
        <v>135.05500000000001</v>
      </c>
      <c r="R1047" t="b">
        <f>AND(ISNUMBER(FIND($E1047,Tables!$I$2)), ISNUMBER(FIND($D1047,Tables!$J$2)), $E1047&lt;&gt;"")</f>
        <v>0</v>
      </c>
    </row>
    <row r="1048" spans="1:18" x14ac:dyDescent="0.3">
      <c r="A1048">
        <f t="shared" si="81"/>
        <v>1031</v>
      </c>
      <c r="B1048" s="4"/>
      <c r="I1048" s="8"/>
      <c r="J1048" s="5" t="str">
        <f t="shared" si="84"/>
        <v/>
      </c>
      <c r="K1048" s="3"/>
      <c r="L1048" s="3" t="str">
        <f t="shared" si="83"/>
        <v/>
      </c>
      <c r="N1048" s="3" t="str">
        <f t="shared" si="82"/>
        <v/>
      </c>
      <c r="O1048" s="6" t="str">
        <f t="shared" si="85"/>
        <v/>
      </c>
      <c r="P1048" s="7">
        <f ca="1">SUMIFS($N$2:$N1048,$B$2:$B1048,"&lt;&gt;"&amp;B1048)+SUM($Q$2:$Q1048)</f>
        <v>135.05500000000001</v>
      </c>
      <c r="R1048" t="b">
        <f>AND(ISNUMBER(FIND($E1048,Tables!$I$2)), ISNUMBER(FIND($D1048,Tables!$J$2)), $E1048&lt;&gt;"")</f>
        <v>0</v>
      </c>
    </row>
    <row r="1049" spans="1:18" x14ac:dyDescent="0.3">
      <c r="A1049">
        <f t="shared" si="81"/>
        <v>1032</v>
      </c>
      <c r="B1049" s="4"/>
      <c r="I1049" s="8"/>
      <c r="J1049" s="5" t="str">
        <f t="shared" si="84"/>
        <v/>
      </c>
      <c r="K1049" s="3"/>
      <c r="L1049" s="3" t="str">
        <f t="shared" si="83"/>
        <v/>
      </c>
      <c r="N1049" s="3" t="str">
        <f t="shared" si="82"/>
        <v/>
      </c>
      <c r="O1049" s="6" t="str">
        <f t="shared" si="85"/>
        <v/>
      </c>
      <c r="P1049" s="7">
        <f ca="1">SUMIFS($N$2:$N1049,$B$2:$B1049,"&lt;&gt;"&amp;B1049)+SUM($Q$2:$Q1049)</f>
        <v>135.05500000000001</v>
      </c>
      <c r="R1049" t="b">
        <f>AND(ISNUMBER(FIND($E1049,Tables!$I$2)), ISNUMBER(FIND($D1049,Tables!$J$2)), $E1049&lt;&gt;"")</f>
        <v>0</v>
      </c>
    </row>
    <row r="1050" spans="1:18" x14ac:dyDescent="0.3">
      <c r="A1050">
        <f t="shared" si="81"/>
        <v>1033</v>
      </c>
      <c r="B1050" s="4"/>
      <c r="I1050" s="8"/>
      <c r="J1050" s="5" t="str">
        <f t="shared" si="84"/>
        <v/>
      </c>
      <c r="K1050" s="3"/>
      <c r="L1050" s="3" t="str">
        <f t="shared" si="83"/>
        <v/>
      </c>
      <c r="N1050" s="3" t="str">
        <f t="shared" si="82"/>
        <v/>
      </c>
      <c r="O1050" s="6" t="str">
        <f t="shared" si="85"/>
        <v/>
      </c>
      <c r="P1050" s="7">
        <f ca="1">SUMIFS($N$2:$N1050,$B$2:$B1050,"&lt;&gt;"&amp;B1050)+SUM($Q$2:$Q1050)</f>
        <v>135.05500000000001</v>
      </c>
      <c r="R1050" t="b">
        <f>AND(ISNUMBER(FIND($E1050,Tables!$I$2)), ISNUMBER(FIND($D1050,Tables!$J$2)), $E1050&lt;&gt;"")</f>
        <v>0</v>
      </c>
    </row>
    <row r="1051" spans="1:18" x14ac:dyDescent="0.3">
      <c r="A1051">
        <f t="shared" si="81"/>
        <v>1034</v>
      </c>
      <c r="B1051" s="4"/>
      <c r="I1051" s="8"/>
      <c r="J1051" s="5" t="str">
        <f t="shared" si="84"/>
        <v/>
      </c>
      <c r="K1051" s="3"/>
      <c r="L1051" s="3" t="str">
        <f t="shared" si="83"/>
        <v/>
      </c>
      <c r="N1051" s="3" t="str">
        <f t="shared" si="82"/>
        <v/>
      </c>
      <c r="O1051" s="6" t="str">
        <f t="shared" si="85"/>
        <v/>
      </c>
      <c r="P1051" s="7">
        <f ca="1">SUMIFS($N$2:$N1051,$B$2:$B1051,"&lt;&gt;"&amp;B1051)+SUM($Q$2:$Q1051)</f>
        <v>135.05500000000001</v>
      </c>
      <c r="R1051" t="b">
        <f>AND(ISNUMBER(FIND($E1051,Tables!$I$2)), ISNUMBER(FIND($D1051,Tables!$J$2)), $E1051&lt;&gt;"")</f>
        <v>0</v>
      </c>
    </row>
    <row r="1052" spans="1:18" x14ac:dyDescent="0.3">
      <c r="A1052">
        <f t="shared" si="81"/>
        <v>1035</v>
      </c>
      <c r="B1052" s="4"/>
      <c r="I1052" s="8"/>
      <c r="J1052" s="5" t="str">
        <f t="shared" si="84"/>
        <v/>
      </c>
      <c r="K1052" s="3"/>
      <c r="L1052" s="3" t="str">
        <f t="shared" si="83"/>
        <v/>
      </c>
      <c r="N1052" s="3" t="str">
        <f t="shared" si="82"/>
        <v/>
      </c>
      <c r="O1052" s="6" t="str">
        <f t="shared" si="85"/>
        <v/>
      </c>
      <c r="P1052" s="7">
        <f ca="1">SUMIFS($N$2:$N1052,$B$2:$B1052,"&lt;&gt;"&amp;B1052)+SUM($Q$2:$Q1052)</f>
        <v>135.05500000000001</v>
      </c>
      <c r="R1052" t="b">
        <f>AND(ISNUMBER(FIND($E1052,Tables!$I$2)), ISNUMBER(FIND($D1052,Tables!$J$2)), $E1052&lt;&gt;"")</f>
        <v>0</v>
      </c>
    </row>
    <row r="1053" spans="1:18" x14ac:dyDescent="0.3">
      <c r="A1053">
        <f t="shared" si="81"/>
        <v>1036</v>
      </c>
      <c r="B1053" s="4"/>
      <c r="I1053" s="8"/>
      <c r="J1053" s="5" t="str">
        <f t="shared" si="84"/>
        <v/>
      </c>
      <c r="K1053" s="3"/>
      <c r="L1053" s="3" t="str">
        <f t="shared" si="83"/>
        <v/>
      </c>
      <c r="N1053" s="3" t="str">
        <f t="shared" si="82"/>
        <v/>
      </c>
      <c r="O1053" s="6" t="str">
        <f t="shared" si="85"/>
        <v/>
      </c>
      <c r="P1053" s="7">
        <f ca="1">SUMIFS($N$2:$N1053,$B$2:$B1053,"&lt;&gt;"&amp;B1053)+SUM($Q$2:$Q1053)</f>
        <v>135.05500000000001</v>
      </c>
      <c r="R1053" t="b">
        <f>AND(ISNUMBER(FIND($E1053,Tables!$I$2)), ISNUMBER(FIND($D1053,Tables!$J$2)), $E1053&lt;&gt;"")</f>
        <v>0</v>
      </c>
    </row>
    <row r="1054" spans="1:18" x14ac:dyDescent="0.3">
      <c r="A1054">
        <f t="shared" si="81"/>
        <v>1037</v>
      </c>
      <c r="B1054" s="4"/>
      <c r="I1054" s="8"/>
      <c r="J1054" s="5" t="str">
        <f t="shared" si="84"/>
        <v/>
      </c>
      <c r="K1054" s="3"/>
      <c r="L1054" s="3" t="str">
        <f t="shared" si="83"/>
        <v/>
      </c>
      <c r="N1054" s="3" t="str">
        <f t="shared" si="82"/>
        <v/>
      </c>
      <c r="O1054" s="6" t="str">
        <f t="shared" si="85"/>
        <v/>
      </c>
      <c r="P1054" s="7">
        <f ca="1">SUMIFS($N$2:$N1054,$B$2:$B1054,"&lt;&gt;"&amp;B1054)+SUM($Q$2:$Q1054)</f>
        <v>135.05500000000001</v>
      </c>
      <c r="R1054" t="b">
        <f>AND(ISNUMBER(FIND($E1054,Tables!$I$2)), ISNUMBER(FIND($D1054,Tables!$J$2)), $E1054&lt;&gt;"")</f>
        <v>0</v>
      </c>
    </row>
    <row r="1055" spans="1:18" x14ac:dyDescent="0.3">
      <c r="A1055">
        <f t="shared" si="81"/>
        <v>1038</v>
      </c>
      <c r="B1055" s="4"/>
      <c r="I1055" s="8"/>
      <c r="J1055" s="5" t="str">
        <f t="shared" si="84"/>
        <v/>
      </c>
      <c r="K1055" s="3"/>
      <c r="L1055" s="3" t="str">
        <f t="shared" si="83"/>
        <v/>
      </c>
      <c r="N1055" s="3" t="str">
        <f t="shared" si="82"/>
        <v/>
      </c>
      <c r="O1055" s="6" t="str">
        <f t="shared" si="85"/>
        <v/>
      </c>
      <c r="P1055" s="7">
        <f ca="1">SUMIFS($N$2:$N1055,$B$2:$B1055,"&lt;&gt;"&amp;B1055)+SUM($Q$2:$Q1055)</f>
        <v>135.05500000000001</v>
      </c>
      <c r="R1055" t="b">
        <f>AND(ISNUMBER(FIND($E1055,Tables!$I$2)), ISNUMBER(FIND($D1055,Tables!$J$2)), $E1055&lt;&gt;"")</f>
        <v>0</v>
      </c>
    </row>
    <row r="1056" spans="1:18" x14ac:dyDescent="0.3">
      <c r="A1056">
        <f t="shared" si="81"/>
        <v>1039</v>
      </c>
      <c r="B1056" s="4"/>
      <c r="I1056" s="8"/>
      <c r="J1056" s="5" t="str">
        <f t="shared" si="84"/>
        <v/>
      </c>
      <c r="K1056" s="3"/>
      <c r="L1056" s="3" t="str">
        <f t="shared" si="83"/>
        <v/>
      </c>
      <c r="N1056" s="3" t="str">
        <f t="shared" si="82"/>
        <v/>
      </c>
      <c r="O1056" s="6" t="str">
        <f t="shared" si="85"/>
        <v/>
      </c>
      <c r="P1056" s="7">
        <f ca="1">SUMIFS($N$2:$N1056,$B$2:$B1056,"&lt;&gt;"&amp;B1056)+SUM($Q$2:$Q1056)</f>
        <v>135.05500000000001</v>
      </c>
      <c r="R1056" t="b">
        <f>AND(ISNUMBER(FIND($E1056,Tables!$I$2)), ISNUMBER(FIND($D1056,Tables!$J$2)), $E1056&lt;&gt;"")</f>
        <v>0</v>
      </c>
    </row>
    <row r="1057" spans="1:18" x14ac:dyDescent="0.3">
      <c r="A1057">
        <f t="shared" si="81"/>
        <v>1040</v>
      </c>
      <c r="B1057" s="4"/>
      <c r="I1057" s="8"/>
      <c r="J1057" s="5" t="str">
        <f t="shared" si="84"/>
        <v/>
      </c>
      <c r="K1057" s="3"/>
      <c r="L1057" s="3" t="str">
        <f t="shared" si="83"/>
        <v/>
      </c>
      <c r="N1057" s="3" t="str">
        <f t="shared" si="82"/>
        <v/>
      </c>
      <c r="O1057" s="6" t="str">
        <f t="shared" si="85"/>
        <v/>
      </c>
      <c r="P1057" s="7">
        <f ca="1">SUMIFS($N$2:$N1057,$B$2:$B1057,"&lt;&gt;"&amp;B1057)+SUM($Q$2:$Q1057)</f>
        <v>135.05500000000001</v>
      </c>
      <c r="R1057" t="b">
        <f>AND(ISNUMBER(FIND($E1057,Tables!$I$2)), ISNUMBER(FIND($D1057,Tables!$J$2)), $E1057&lt;&gt;"")</f>
        <v>0</v>
      </c>
    </row>
    <row r="1058" spans="1:18" x14ac:dyDescent="0.3">
      <c r="A1058">
        <f t="shared" ref="A1058:A1121" si="86">IF(AND(B1058="", D1058&lt;&gt;""), A1057, A1057+1)</f>
        <v>1041</v>
      </c>
      <c r="B1058" s="4"/>
      <c r="I1058" s="8"/>
      <c r="J1058" s="5" t="str">
        <f t="shared" si="84"/>
        <v/>
      </c>
      <c r="K1058" s="3"/>
      <c r="L1058" s="3" t="str">
        <f t="shared" si="83"/>
        <v/>
      </c>
      <c r="N1058" s="3" t="str">
        <f t="shared" si="82"/>
        <v/>
      </c>
      <c r="O1058" s="6" t="str">
        <f t="shared" si="85"/>
        <v/>
      </c>
      <c r="P1058" s="7">
        <f ca="1">SUMIFS($N$2:$N1058,$B$2:$B1058,"&lt;&gt;"&amp;B1058)+SUM($Q$2:$Q1058)</f>
        <v>135.05500000000001</v>
      </c>
      <c r="R1058" t="b">
        <f>AND(ISNUMBER(FIND($E1058,Tables!$I$2)), ISNUMBER(FIND($D1058,Tables!$J$2)), $E1058&lt;&gt;"")</f>
        <v>0</v>
      </c>
    </row>
    <row r="1059" spans="1:18" x14ac:dyDescent="0.3">
      <c r="A1059">
        <f t="shared" si="86"/>
        <v>1042</v>
      </c>
      <c r="B1059" s="4"/>
      <c r="I1059" s="8"/>
      <c r="J1059" s="5" t="str">
        <f t="shared" si="84"/>
        <v/>
      </c>
      <c r="K1059" s="3"/>
      <c r="L1059" s="3" t="str">
        <f t="shared" si="83"/>
        <v/>
      </c>
      <c r="N1059" s="3" t="str">
        <f t="shared" si="82"/>
        <v/>
      </c>
      <c r="O1059" s="6" t="str">
        <f t="shared" si="85"/>
        <v/>
      </c>
      <c r="P1059" s="7">
        <f ca="1">SUMIFS($N$2:$N1059,$B$2:$B1059,"&lt;&gt;"&amp;B1059)+SUM($Q$2:$Q1059)</f>
        <v>135.05500000000001</v>
      </c>
      <c r="R1059" t="b">
        <f>AND(ISNUMBER(FIND($E1059,Tables!$I$2)), ISNUMBER(FIND($D1059,Tables!$J$2)), $E1059&lt;&gt;"")</f>
        <v>0</v>
      </c>
    </row>
    <row r="1060" spans="1:18" x14ac:dyDescent="0.3">
      <c r="A1060">
        <f t="shared" si="86"/>
        <v>1043</v>
      </c>
      <c r="B1060" s="4"/>
      <c r="I1060" s="8"/>
      <c r="J1060" s="5" t="str">
        <f t="shared" si="84"/>
        <v/>
      </c>
      <c r="K1060" s="3"/>
      <c r="L1060" s="3" t="str">
        <f t="shared" si="83"/>
        <v/>
      </c>
      <c r="N1060" s="3" t="str">
        <f t="shared" si="82"/>
        <v/>
      </c>
      <c r="O1060" s="6" t="str">
        <f t="shared" si="85"/>
        <v/>
      </c>
      <c r="P1060" s="7">
        <f ca="1">SUMIFS($N$2:$N1060,$B$2:$B1060,"&lt;&gt;"&amp;B1060)+SUM($Q$2:$Q1060)</f>
        <v>135.05500000000001</v>
      </c>
      <c r="R1060" t="b">
        <f>AND(ISNUMBER(FIND($E1060,Tables!$I$2)), ISNUMBER(FIND($D1060,Tables!$J$2)), $E1060&lt;&gt;"")</f>
        <v>0</v>
      </c>
    </row>
    <row r="1061" spans="1:18" x14ac:dyDescent="0.3">
      <c r="A1061">
        <f t="shared" si="86"/>
        <v>1044</v>
      </c>
      <c r="B1061" s="4"/>
      <c r="I1061" s="8"/>
      <c r="J1061" s="5" t="str">
        <f t="shared" si="84"/>
        <v/>
      </c>
      <c r="K1061" s="3"/>
      <c r="L1061" s="3" t="str">
        <f t="shared" si="83"/>
        <v/>
      </c>
      <c r="N1061" s="3" t="str">
        <f t="shared" si="82"/>
        <v/>
      </c>
      <c r="O1061" s="6" t="str">
        <f t="shared" si="85"/>
        <v/>
      </c>
      <c r="P1061" s="7">
        <f ca="1">SUMIFS($N$2:$N1061,$B$2:$B1061,"&lt;&gt;"&amp;B1061)+SUM($Q$2:$Q1061)</f>
        <v>135.05500000000001</v>
      </c>
      <c r="R1061" t="b">
        <f>AND(ISNUMBER(FIND($E1061,Tables!$I$2)), ISNUMBER(FIND($D1061,Tables!$J$2)), $E1061&lt;&gt;"")</f>
        <v>0</v>
      </c>
    </row>
    <row r="1062" spans="1:18" x14ac:dyDescent="0.3">
      <c r="A1062">
        <f t="shared" si="86"/>
        <v>1045</v>
      </c>
      <c r="B1062" s="4"/>
      <c r="I1062" s="8"/>
      <c r="J1062" s="5" t="str">
        <f t="shared" si="84"/>
        <v/>
      </c>
      <c r="K1062" s="3"/>
      <c r="L1062" s="3" t="str">
        <f t="shared" si="83"/>
        <v/>
      </c>
      <c r="N1062" s="3" t="str">
        <f t="shared" si="82"/>
        <v/>
      </c>
      <c r="O1062" s="6" t="str">
        <f t="shared" si="85"/>
        <v/>
      </c>
      <c r="P1062" s="7">
        <f ca="1">SUMIFS($N$2:$N1062,$B$2:$B1062,"&lt;&gt;"&amp;B1062)+SUM($Q$2:$Q1062)</f>
        <v>135.05500000000001</v>
      </c>
      <c r="R1062" t="b">
        <f>AND(ISNUMBER(FIND($E1062,Tables!$I$2)), ISNUMBER(FIND($D1062,Tables!$J$2)), $E1062&lt;&gt;"")</f>
        <v>0</v>
      </c>
    </row>
    <row r="1063" spans="1:18" x14ac:dyDescent="0.3">
      <c r="A1063">
        <f t="shared" si="86"/>
        <v>1046</v>
      </c>
      <c r="B1063" s="4"/>
      <c r="I1063" s="8"/>
      <c r="J1063" s="5" t="str">
        <f t="shared" si="84"/>
        <v/>
      </c>
      <c r="K1063" s="3"/>
      <c r="L1063" s="3" t="str">
        <f t="shared" si="83"/>
        <v/>
      </c>
      <c r="N1063" s="3" t="str">
        <f t="shared" si="82"/>
        <v/>
      </c>
      <c r="O1063" s="6" t="str">
        <f t="shared" si="85"/>
        <v/>
      </c>
      <c r="P1063" s="7">
        <f ca="1">SUMIFS($N$2:$N1063,$B$2:$B1063,"&lt;&gt;"&amp;B1063)+SUM($Q$2:$Q1063)</f>
        <v>135.05500000000001</v>
      </c>
      <c r="R1063" t="b">
        <f>AND(ISNUMBER(FIND($E1063,Tables!$I$2)), ISNUMBER(FIND($D1063,Tables!$J$2)), $E1063&lt;&gt;"")</f>
        <v>0</v>
      </c>
    </row>
    <row r="1064" spans="1:18" x14ac:dyDescent="0.3">
      <c r="A1064">
        <f t="shared" si="86"/>
        <v>1047</v>
      </c>
      <c r="B1064" s="4"/>
      <c r="I1064" s="8"/>
      <c r="J1064" s="5" t="str">
        <f t="shared" si="84"/>
        <v/>
      </c>
      <c r="K1064" s="3"/>
      <c r="L1064" s="3" t="str">
        <f t="shared" si="83"/>
        <v/>
      </c>
      <c r="N1064" s="3" t="str">
        <f t="shared" ref="N1064:N1127" si="87">IF(L1064 = "", "", IF(M1064="", "", IF(OR(M1064="Draw",M1064="NC"), 0, IF(M1064="win", L1064, -1*K1064))))</f>
        <v/>
      </c>
      <c r="O1064" s="6" t="str">
        <f t="shared" si="85"/>
        <v/>
      </c>
      <c r="P1064" s="7">
        <f ca="1">SUMIFS($N$2:$N1064,$B$2:$B1064,"&lt;&gt;"&amp;B1064)+SUM($Q$2:$Q1064)</f>
        <v>135.05500000000001</v>
      </c>
      <c r="R1064" t="b">
        <f>AND(ISNUMBER(FIND($E1064,Tables!$I$2)), ISNUMBER(FIND($D1064,Tables!$J$2)), $E1064&lt;&gt;"")</f>
        <v>0</v>
      </c>
    </row>
    <row r="1065" spans="1:18" x14ac:dyDescent="0.3">
      <c r="A1065">
        <f t="shared" si="86"/>
        <v>1048</v>
      </c>
      <c r="B1065" s="4"/>
      <c r="I1065" s="8"/>
      <c r="J1065" s="5" t="str">
        <f t="shared" si="84"/>
        <v/>
      </c>
      <c r="K1065" s="3"/>
      <c r="L1065" s="3" t="str">
        <f t="shared" si="83"/>
        <v/>
      </c>
      <c r="N1065" s="3" t="str">
        <f t="shared" si="87"/>
        <v/>
      </c>
      <c r="O1065" s="6" t="str">
        <f t="shared" si="85"/>
        <v/>
      </c>
      <c r="P1065" s="7">
        <f ca="1">SUMIFS($N$2:$N1065,$B$2:$B1065,"&lt;&gt;"&amp;B1065)+SUM($Q$2:$Q1065)</f>
        <v>135.05500000000001</v>
      </c>
      <c r="R1065" t="b">
        <f>AND(ISNUMBER(FIND($E1065,Tables!$I$2)), ISNUMBER(FIND($D1065,Tables!$J$2)), $E1065&lt;&gt;"")</f>
        <v>0</v>
      </c>
    </row>
    <row r="1066" spans="1:18" x14ac:dyDescent="0.3">
      <c r="A1066">
        <f t="shared" si="86"/>
        <v>1049</v>
      </c>
      <c r="B1066" s="4"/>
      <c r="I1066" s="8"/>
      <c r="J1066" s="5" t="str">
        <f t="shared" si="84"/>
        <v/>
      </c>
      <c r="K1066" s="3"/>
      <c r="L1066" s="3" t="str">
        <f t="shared" si="83"/>
        <v/>
      </c>
      <c r="N1066" s="3" t="str">
        <f t="shared" si="87"/>
        <v/>
      </c>
      <c r="O1066" s="6" t="str">
        <f t="shared" si="85"/>
        <v/>
      </c>
      <c r="P1066" s="7">
        <f ca="1">SUMIFS($N$2:$N1066,$B$2:$B1066,"&lt;&gt;"&amp;B1066)+SUM($Q$2:$Q1066)</f>
        <v>135.05500000000001</v>
      </c>
      <c r="R1066" t="b">
        <f>AND(ISNUMBER(FIND($E1066,Tables!$I$2)), ISNUMBER(FIND($D1066,Tables!$J$2)), $E1066&lt;&gt;"")</f>
        <v>0</v>
      </c>
    </row>
    <row r="1067" spans="1:18" x14ac:dyDescent="0.3">
      <c r="A1067">
        <f t="shared" si="86"/>
        <v>1050</v>
      </c>
      <c r="B1067" s="4"/>
      <c r="I1067" s="8"/>
      <c r="J1067" s="5" t="str">
        <f t="shared" si="84"/>
        <v/>
      </c>
      <c r="K1067" s="3"/>
      <c r="L1067" s="3" t="str">
        <f t="shared" si="83"/>
        <v/>
      </c>
      <c r="N1067" s="3" t="str">
        <f t="shared" si="87"/>
        <v/>
      </c>
      <c r="O1067" s="6" t="str">
        <f t="shared" si="85"/>
        <v/>
      </c>
      <c r="P1067" s="7">
        <f ca="1">SUMIFS($N$2:$N1067,$B$2:$B1067,"&lt;&gt;"&amp;B1067)+SUM($Q$2:$Q1067)</f>
        <v>135.05500000000001</v>
      </c>
      <c r="R1067" t="b">
        <f>AND(ISNUMBER(FIND($E1067,Tables!$I$2)), ISNUMBER(FIND($D1067,Tables!$J$2)), $E1067&lt;&gt;"")</f>
        <v>0</v>
      </c>
    </row>
    <row r="1068" spans="1:18" x14ac:dyDescent="0.3">
      <c r="A1068">
        <f t="shared" si="86"/>
        <v>1051</v>
      </c>
      <c r="B1068" s="4"/>
      <c r="I1068" s="8"/>
      <c r="J1068" s="5" t="str">
        <f t="shared" si="84"/>
        <v/>
      </c>
      <c r="K1068" s="3"/>
      <c r="L1068" s="3" t="str">
        <f t="shared" si="83"/>
        <v/>
      </c>
      <c r="N1068" s="3" t="str">
        <f t="shared" si="87"/>
        <v/>
      </c>
      <c r="O1068" s="6" t="str">
        <f t="shared" si="85"/>
        <v/>
      </c>
      <c r="P1068" s="7">
        <f ca="1">SUMIFS($N$2:$N1068,$B$2:$B1068,"&lt;&gt;"&amp;B1068)+SUM($Q$2:$Q1068)</f>
        <v>135.05500000000001</v>
      </c>
      <c r="R1068" t="b">
        <f>AND(ISNUMBER(FIND($E1068,Tables!$I$2)), ISNUMBER(FIND($D1068,Tables!$J$2)), $E1068&lt;&gt;"")</f>
        <v>0</v>
      </c>
    </row>
    <row r="1069" spans="1:18" x14ac:dyDescent="0.3">
      <c r="A1069">
        <f t="shared" si="86"/>
        <v>1052</v>
      </c>
      <c r="B1069" s="4"/>
      <c r="I1069" s="8"/>
      <c r="J1069" s="5" t="str">
        <f t="shared" si="84"/>
        <v/>
      </c>
      <c r="K1069" s="3"/>
      <c r="L1069" s="3" t="str">
        <f t="shared" si="83"/>
        <v/>
      </c>
      <c r="N1069" s="3" t="str">
        <f t="shared" si="87"/>
        <v/>
      </c>
      <c r="O1069" s="6" t="str">
        <f t="shared" si="85"/>
        <v/>
      </c>
      <c r="P1069" s="7">
        <f ca="1">SUMIFS($N$2:$N1069,$B$2:$B1069,"&lt;&gt;"&amp;B1069)+SUM($Q$2:$Q1069)</f>
        <v>135.05500000000001</v>
      </c>
      <c r="R1069" t="b">
        <f>AND(ISNUMBER(FIND($E1069,Tables!$I$2)), ISNUMBER(FIND($D1069,Tables!$J$2)), $E1069&lt;&gt;"")</f>
        <v>0</v>
      </c>
    </row>
    <row r="1070" spans="1:18" x14ac:dyDescent="0.3">
      <c r="A1070">
        <f t="shared" si="86"/>
        <v>1053</v>
      </c>
      <c r="B1070" s="4"/>
      <c r="I1070" s="8"/>
      <c r="J1070" s="5" t="str">
        <f t="shared" si="84"/>
        <v/>
      </c>
      <c r="K1070" s="3"/>
      <c r="L1070" s="3" t="str">
        <f t="shared" si="83"/>
        <v/>
      </c>
      <c r="N1070" s="3" t="str">
        <f t="shared" si="87"/>
        <v/>
      </c>
      <c r="O1070" s="6" t="str">
        <f t="shared" si="85"/>
        <v/>
      </c>
      <c r="P1070" s="7">
        <f ca="1">SUMIFS($N$2:$N1070,$B$2:$B1070,"&lt;&gt;"&amp;B1070)+SUM($Q$2:$Q1070)</f>
        <v>135.05500000000001</v>
      </c>
      <c r="R1070" t="b">
        <f>AND(ISNUMBER(FIND($E1070,Tables!$I$2)), ISNUMBER(FIND($D1070,Tables!$J$2)), $E1070&lt;&gt;"")</f>
        <v>0</v>
      </c>
    </row>
    <row r="1071" spans="1:18" x14ac:dyDescent="0.3">
      <c r="A1071">
        <f t="shared" si="86"/>
        <v>1054</v>
      </c>
      <c r="B1071" s="4"/>
      <c r="I1071" s="8"/>
      <c r="J1071" s="5" t="str">
        <f t="shared" si="84"/>
        <v/>
      </c>
      <c r="K1071" s="3"/>
      <c r="L1071" s="3" t="str">
        <f t="shared" si="83"/>
        <v/>
      </c>
      <c r="N1071" s="3" t="str">
        <f t="shared" si="87"/>
        <v/>
      </c>
      <c r="O1071" s="6" t="str">
        <f t="shared" si="85"/>
        <v/>
      </c>
      <c r="P1071" s="7">
        <f ca="1">SUMIFS($N$2:$N1071,$B$2:$B1071,"&lt;&gt;"&amp;B1071)+SUM($Q$2:$Q1071)</f>
        <v>135.05500000000001</v>
      </c>
      <c r="R1071" t="b">
        <f>AND(ISNUMBER(FIND($E1071,Tables!$I$2)), ISNUMBER(FIND($D1071,Tables!$J$2)), $E1071&lt;&gt;"")</f>
        <v>0</v>
      </c>
    </row>
    <row r="1072" spans="1:18" x14ac:dyDescent="0.3">
      <c r="A1072">
        <f t="shared" si="86"/>
        <v>1055</v>
      </c>
      <c r="B1072" s="4"/>
      <c r="I1072" s="8"/>
      <c r="J1072" s="5" t="str">
        <f t="shared" si="84"/>
        <v/>
      </c>
      <c r="K1072" s="3"/>
      <c r="L1072" s="3" t="str">
        <f t="shared" si="83"/>
        <v/>
      </c>
      <c r="N1072" s="3" t="str">
        <f t="shared" si="87"/>
        <v/>
      </c>
      <c r="O1072" s="6" t="str">
        <f t="shared" si="85"/>
        <v/>
      </c>
      <c r="P1072" s="7">
        <f ca="1">SUMIFS($N$2:$N1072,$B$2:$B1072,"&lt;&gt;"&amp;B1072)+SUM($Q$2:$Q1072)</f>
        <v>135.05500000000001</v>
      </c>
      <c r="R1072" t="b">
        <f>AND(ISNUMBER(FIND($E1072,Tables!$I$2)), ISNUMBER(FIND($D1072,Tables!$J$2)), $E1072&lt;&gt;"")</f>
        <v>0</v>
      </c>
    </row>
    <row r="1073" spans="1:18" x14ac:dyDescent="0.3">
      <c r="A1073">
        <f t="shared" si="86"/>
        <v>1056</v>
      </c>
      <c r="B1073" s="4"/>
      <c r="I1073" s="8"/>
      <c r="J1073" s="5" t="str">
        <f t="shared" si="84"/>
        <v/>
      </c>
      <c r="K1073" s="3"/>
      <c r="L1073" s="3" t="str">
        <f t="shared" si="83"/>
        <v/>
      </c>
      <c r="N1073" s="3" t="str">
        <f t="shared" si="87"/>
        <v/>
      </c>
      <c r="O1073" s="6" t="str">
        <f t="shared" si="85"/>
        <v/>
      </c>
      <c r="P1073" s="7">
        <f ca="1">SUMIFS($N$2:$N1073,$B$2:$B1073,"&lt;&gt;"&amp;B1073)+SUM($Q$2:$Q1073)</f>
        <v>135.05500000000001</v>
      </c>
      <c r="R1073" t="b">
        <f>AND(ISNUMBER(FIND($E1073,Tables!$I$2)), ISNUMBER(FIND($D1073,Tables!$J$2)), $E1073&lt;&gt;"")</f>
        <v>0</v>
      </c>
    </row>
    <row r="1074" spans="1:18" x14ac:dyDescent="0.3">
      <c r="A1074">
        <f t="shared" si="86"/>
        <v>1057</v>
      </c>
      <c r="B1074" s="4"/>
      <c r="I1074" s="8"/>
      <c r="J1074" s="5" t="str">
        <f t="shared" si="84"/>
        <v/>
      </c>
      <c r="K1074" s="3"/>
      <c r="L1074" s="3" t="str">
        <f t="shared" ref="L1074:L1137" si="88">IFERROR(IF(K1074=0, "", IF(I1074&gt;0, K1074/100*I1074,K1074/I1074*-100)), "")</f>
        <v/>
      </c>
      <c r="N1074" s="3" t="str">
        <f t="shared" si="87"/>
        <v/>
      </c>
      <c r="O1074" s="6" t="str">
        <f t="shared" si="85"/>
        <v/>
      </c>
      <c r="P1074" s="7">
        <f ca="1">SUMIFS($N$2:$N1074,$B$2:$B1074,"&lt;&gt;"&amp;B1074)+SUM($Q$2:$Q1074)</f>
        <v>135.05500000000001</v>
      </c>
      <c r="R1074" t="b">
        <f>AND(ISNUMBER(FIND($E1074,Tables!$I$2)), ISNUMBER(FIND($D1074,Tables!$J$2)), $E1074&lt;&gt;"")</f>
        <v>0</v>
      </c>
    </row>
    <row r="1075" spans="1:18" x14ac:dyDescent="0.3">
      <c r="A1075">
        <f t="shared" si="86"/>
        <v>1058</v>
      </c>
      <c r="B1075" s="4"/>
      <c r="I1075" s="8"/>
      <c r="J1075" s="5" t="str">
        <f t="shared" si="84"/>
        <v/>
      </c>
      <c r="K1075" s="3"/>
      <c r="L1075" s="3" t="str">
        <f t="shared" si="88"/>
        <v/>
      </c>
      <c r="N1075" s="3" t="str">
        <f t="shared" si="87"/>
        <v/>
      </c>
      <c r="O1075" s="6" t="str">
        <f t="shared" si="85"/>
        <v/>
      </c>
      <c r="P1075" s="7">
        <f ca="1">SUMIFS($N$2:$N1075,$B$2:$B1075,"&lt;&gt;"&amp;B1075)+SUM($Q$2:$Q1075)</f>
        <v>135.05500000000001</v>
      </c>
      <c r="R1075" t="b">
        <f>AND(ISNUMBER(FIND($E1075,Tables!$I$2)), ISNUMBER(FIND($D1075,Tables!$J$2)), $E1075&lt;&gt;"")</f>
        <v>0</v>
      </c>
    </row>
    <row r="1076" spans="1:18" x14ac:dyDescent="0.3">
      <c r="A1076">
        <f t="shared" si="86"/>
        <v>1059</v>
      </c>
      <c r="B1076" s="4"/>
      <c r="I1076" s="8"/>
      <c r="J1076" s="5" t="str">
        <f t="shared" si="84"/>
        <v/>
      </c>
      <c r="K1076" s="3"/>
      <c r="L1076" s="3" t="str">
        <f t="shared" si="88"/>
        <v/>
      </c>
      <c r="N1076" s="3" t="str">
        <f t="shared" si="87"/>
        <v/>
      </c>
      <c r="O1076" s="6" t="str">
        <f t="shared" si="85"/>
        <v/>
      </c>
      <c r="P1076" s="7">
        <f ca="1">SUMIFS($N$2:$N1076,$B$2:$B1076,"&lt;&gt;"&amp;B1076)+SUM($Q$2:$Q1076)</f>
        <v>135.05500000000001</v>
      </c>
      <c r="R1076" t="b">
        <f>AND(ISNUMBER(FIND($E1076,Tables!$I$2)), ISNUMBER(FIND($D1076,Tables!$J$2)), $E1076&lt;&gt;"")</f>
        <v>0</v>
      </c>
    </row>
    <row r="1077" spans="1:18" x14ac:dyDescent="0.3">
      <c r="A1077">
        <f t="shared" si="86"/>
        <v>1060</v>
      </c>
      <c r="B1077" s="4"/>
      <c r="I1077" s="8"/>
      <c r="J1077" s="5" t="str">
        <f t="shared" si="84"/>
        <v/>
      </c>
      <c r="K1077" s="3"/>
      <c r="L1077" s="3" t="str">
        <f t="shared" si="88"/>
        <v/>
      </c>
      <c r="N1077" s="3" t="str">
        <f t="shared" si="87"/>
        <v/>
      </c>
      <c r="O1077" s="6" t="str">
        <f t="shared" si="85"/>
        <v/>
      </c>
      <c r="P1077" s="7">
        <f ca="1">SUMIFS($N$2:$N1077,$B$2:$B1077,"&lt;&gt;"&amp;B1077)+SUM($Q$2:$Q1077)</f>
        <v>135.05500000000001</v>
      </c>
      <c r="R1077" t="b">
        <f>AND(ISNUMBER(FIND($E1077,Tables!$I$2)), ISNUMBER(FIND($D1077,Tables!$J$2)), $E1077&lt;&gt;"")</f>
        <v>0</v>
      </c>
    </row>
    <row r="1078" spans="1:18" x14ac:dyDescent="0.3">
      <c r="A1078">
        <f t="shared" si="86"/>
        <v>1061</v>
      </c>
      <c r="B1078" s="4"/>
      <c r="I1078" s="8"/>
      <c r="J1078" s="5" t="str">
        <f t="shared" si="84"/>
        <v/>
      </c>
      <c r="K1078" s="3"/>
      <c r="L1078" s="3" t="str">
        <f t="shared" si="88"/>
        <v/>
      </c>
      <c r="N1078" s="3" t="str">
        <f t="shared" si="87"/>
        <v/>
      </c>
      <c r="O1078" s="6" t="str">
        <f t="shared" si="85"/>
        <v/>
      </c>
      <c r="P1078" s="7">
        <f ca="1">SUMIFS($N$2:$N1078,$B$2:$B1078,"&lt;&gt;"&amp;B1078)+SUM($Q$2:$Q1078)</f>
        <v>135.05500000000001</v>
      </c>
      <c r="R1078" t="b">
        <f>AND(ISNUMBER(FIND($E1078,Tables!$I$2)), ISNUMBER(FIND($D1078,Tables!$J$2)), $E1078&lt;&gt;"")</f>
        <v>0</v>
      </c>
    </row>
    <row r="1079" spans="1:18" x14ac:dyDescent="0.3">
      <c r="A1079">
        <f t="shared" si="86"/>
        <v>1062</v>
      </c>
      <c r="B1079" s="4"/>
      <c r="I1079" s="8"/>
      <c r="J1079" s="5" t="str">
        <f t="shared" si="84"/>
        <v/>
      </c>
      <c r="K1079" s="3"/>
      <c r="L1079" s="3" t="str">
        <f t="shared" si="88"/>
        <v/>
      </c>
      <c r="N1079" s="3" t="str">
        <f t="shared" si="87"/>
        <v/>
      </c>
      <c r="O1079" s="6" t="str">
        <f t="shared" si="85"/>
        <v/>
      </c>
      <c r="P1079" s="7">
        <f ca="1">SUMIFS($N$2:$N1079,$B$2:$B1079,"&lt;&gt;"&amp;B1079)+SUM($Q$2:$Q1079)</f>
        <v>135.05500000000001</v>
      </c>
      <c r="R1079" t="b">
        <f>AND(ISNUMBER(FIND($E1079,Tables!$I$2)), ISNUMBER(FIND($D1079,Tables!$J$2)), $E1079&lt;&gt;"")</f>
        <v>0</v>
      </c>
    </row>
    <row r="1080" spans="1:18" x14ac:dyDescent="0.3">
      <c r="A1080">
        <f t="shared" si="86"/>
        <v>1063</v>
      </c>
      <c r="B1080" s="4"/>
      <c r="I1080" s="8"/>
      <c r="J1080" s="5" t="str">
        <f t="shared" si="84"/>
        <v/>
      </c>
      <c r="K1080" s="3"/>
      <c r="L1080" s="3" t="str">
        <f t="shared" si="88"/>
        <v/>
      </c>
      <c r="N1080" s="3" t="str">
        <f t="shared" si="87"/>
        <v/>
      </c>
      <c r="O1080" s="6" t="str">
        <f t="shared" si="85"/>
        <v/>
      </c>
      <c r="P1080" s="7">
        <f ca="1">SUMIFS($N$2:$N1080,$B$2:$B1080,"&lt;&gt;"&amp;B1080)+SUM($Q$2:$Q1080)</f>
        <v>135.05500000000001</v>
      </c>
      <c r="R1080" t="b">
        <f>AND(ISNUMBER(FIND($E1080,Tables!$I$2)), ISNUMBER(FIND($D1080,Tables!$J$2)), $E1080&lt;&gt;"")</f>
        <v>0</v>
      </c>
    </row>
    <row r="1081" spans="1:18" x14ac:dyDescent="0.3">
      <c r="A1081">
        <f t="shared" si="86"/>
        <v>1064</v>
      </c>
      <c r="B1081" s="4"/>
      <c r="I1081" s="8"/>
      <c r="J1081" s="5" t="str">
        <f t="shared" si="84"/>
        <v/>
      </c>
      <c r="K1081" s="3"/>
      <c r="L1081" s="3" t="str">
        <f t="shared" si="88"/>
        <v/>
      </c>
      <c r="N1081" s="3" t="str">
        <f t="shared" si="87"/>
        <v/>
      </c>
      <c r="O1081" s="6" t="str">
        <f t="shared" si="85"/>
        <v/>
      </c>
      <c r="P1081" s="7">
        <f ca="1">SUMIFS($N$2:$N1081,$B$2:$B1081,"&lt;&gt;"&amp;B1081)+SUM($Q$2:$Q1081)</f>
        <v>135.05500000000001</v>
      </c>
      <c r="R1081" t="b">
        <f>AND(ISNUMBER(FIND($E1081,Tables!$I$2)), ISNUMBER(FIND($D1081,Tables!$J$2)), $E1081&lt;&gt;"")</f>
        <v>0</v>
      </c>
    </row>
    <row r="1082" spans="1:18" x14ac:dyDescent="0.3">
      <c r="A1082">
        <f t="shared" si="86"/>
        <v>1065</v>
      </c>
      <c r="B1082" s="4"/>
      <c r="I1082" s="8"/>
      <c r="J1082" s="5" t="str">
        <f t="shared" si="84"/>
        <v/>
      </c>
      <c r="K1082" s="3"/>
      <c r="L1082" s="3" t="str">
        <f t="shared" si="88"/>
        <v/>
      </c>
      <c r="N1082" s="3" t="str">
        <f t="shared" si="87"/>
        <v/>
      </c>
      <c r="O1082" s="6" t="str">
        <f t="shared" si="85"/>
        <v/>
      </c>
      <c r="P1082" s="7">
        <f ca="1">SUMIFS($N$2:$N1082,$B$2:$B1082,"&lt;&gt;"&amp;B1082)+SUM($Q$2:$Q1082)</f>
        <v>135.05500000000001</v>
      </c>
      <c r="R1082" t="b">
        <f>AND(ISNUMBER(FIND($E1082,Tables!$I$2)), ISNUMBER(FIND($D1082,Tables!$J$2)), $E1082&lt;&gt;"")</f>
        <v>0</v>
      </c>
    </row>
    <row r="1083" spans="1:18" x14ac:dyDescent="0.3">
      <c r="A1083">
        <f t="shared" si="86"/>
        <v>1066</v>
      </c>
      <c r="B1083" s="4"/>
      <c r="I1083" s="8"/>
      <c r="J1083" s="5" t="str">
        <f t="shared" si="84"/>
        <v/>
      </c>
      <c r="K1083" s="3"/>
      <c r="L1083" s="3" t="str">
        <f t="shared" si="88"/>
        <v/>
      </c>
      <c r="N1083" s="3" t="str">
        <f t="shared" si="87"/>
        <v/>
      </c>
      <c r="O1083" s="6" t="str">
        <f t="shared" si="85"/>
        <v/>
      </c>
      <c r="P1083" s="7">
        <f ca="1">SUMIFS($N$2:$N1083,$B$2:$B1083,"&lt;&gt;"&amp;B1083)+SUM($Q$2:$Q1083)</f>
        <v>135.05500000000001</v>
      </c>
      <c r="R1083" t="b">
        <f>AND(ISNUMBER(FIND($E1083,Tables!$I$2)), ISNUMBER(FIND($D1083,Tables!$J$2)), $E1083&lt;&gt;"")</f>
        <v>0</v>
      </c>
    </row>
    <row r="1084" spans="1:18" x14ac:dyDescent="0.3">
      <c r="A1084">
        <f t="shared" si="86"/>
        <v>1067</v>
      </c>
      <c r="B1084" s="4"/>
      <c r="I1084" s="8"/>
      <c r="J1084" s="5" t="str">
        <f t="shared" si="84"/>
        <v/>
      </c>
      <c r="K1084" s="3"/>
      <c r="L1084" s="3" t="str">
        <f t="shared" si="88"/>
        <v/>
      </c>
      <c r="N1084" s="3" t="str">
        <f t="shared" si="87"/>
        <v/>
      </c>
      <c r="O1084" s="6" t="str">
        <f t="shared" si="85"/>
        <v/>
      </c>
      <c r="P1084" s="7">
        <f ca="1">SUMIFS($N$2:$N1084,$B$2:$B1084,"&lt;&gt;"&amp;B1084)+SUM($Q$2:$Q1084)</f>
        <v>135.05500000000001</v>
      </c>
      <c r="R1084" t="b">
        <f>AND(ISNUMBER(FIND($E1084,Tables!$I$2)), ISNUMBER(FIND($D1084,Tables!$J$2)), $E1084&lt;&gt;"")</f>
        <v>0</v>
      </c>
    </row>
    <row r="1085" spans="1:18" x14ac:dyDescent="0.3">
      <c r="A1085">
        <f t="shared" si="86"/>
        <v>1068</v>
      </c>
      <c r="B1085" s="4"/>
      <c r="I1085" s="8"/>
      <c r="J1085" s="5" t="str">
        <f t="shared" si="84"/>
        <v/>
      </c>
      <c r="K1085" s="3"/>
      <c r="L1085" s="3" t="str">
        <f t="shared" si="88"/>
        <v/>
      </c>
      <c r="N1085" s="3" t="str">
        <f t="shared" si="87"/>
        <v/>
      </c>
      <c r="O1085" s="6" t="str">
        <f t="shared" si="85"/>
        <v/>
      </c>
      <c r="P1085" s="7">
        <f ca="1">SUMIFS($N$2:$N1085,$B$2:$B1085,"&lt;&gt;"&amp;B1085)+SUM($Q$2:$Q1085)</f>
        <v>135.05500000000001</v>
      </c>
      <c r="R1085" t="b">
        <f>AND(ISNUMBER(FIND($E1085,Tables!$I$2)), ISNUMBER(FIND($D1085,Tables!$J$2)), $E1085&lt;&gt;"")</f>
        <v>0</v>
      </c>
    </row>
    <row r="1086" spans="1:18" x14ac:dyDescent="0.3">
      <c r="A1086">
        <f t="shared" si="86"/>
        <v>1069</v>
      </c>
      <c r="B1086" s="4"/>
      <c r="I1086" s="8"/>
      <c r="J1086" s="5" t="str">
        <f t="shared" si="84"/>
        <v/>
      </c>
      <c r="K1086" s="3"/>
      <c r="L1086" s="3" t="str">
        <f t="shared" si="88"/>
        <v/>
      </c>
      <c r="N1086" s="3" t="str">
        <f t="shared" si="87"/>
        <v/>
      </c>
      <c r="O1086" s="6" t="str">
        <f t="shared" si="85"/>
        <v/>
      </c>
      <c r="P1086" s="7">
        <f ca="1">SUMIFS($N$2:$N1086,$B$2:$B1086,"&lt;&gt;"&amp;B1086)+SUM($Q$2:$Q1086)</f>
        <v>135.05500000000001</v>
      </c>
      <c r="R1086" t="b">
        <f>AND(ISNUMBER(FIND($E1086,Tables!$I$2)), ISNUMBER(FIND($D1086,Tables!$J$2)), $E1086&lt;&gt;"")</f>
        <v>0</v>
      </c>
    </row>
    <row r="1087" spans="1:18" x14ac:dyDescent="0.3">
      <c r="A1087">
        <f t="shared" si="86"/>
        <v>1070</v>
      </c>
      <c r="B1087" s="4"/>
      <c r="I1087" s="8"/>
      <c r="J1087" s="5" t="str">
        <f t="shared" si="84"/>
        <v/>
      </c>
      <c r="K1087" s="3"/>
      <c r="L1087" s="3" t="str">
        <f t="shared" si="88"/>
        <v/>
      </c>
      <c r="N1087" s="3" t="str">
        <f t="shared" si="87"/>
        <v/>
      </c>
      <c r="O1087" s="6" t="str">
        <f t="shared" si="85"/>
        <v/>
      </c>
      <c r="P1087" s="7">
        <f ca="1">SUMIFS($N$2:$N1087,$B$2:$B1087,"&lt;&gt;"&amp;B1087)+SUM($Q$2:$Q1087)</f>
        <v>135.05500000000001</v>
      </c>
      <c r="R1087" t="b">
        <f>AND(ISNUMBER(FIND($E1087,Tables!$I$2)), ISNUMBER(FIND($D1087,Tables!$J$2)), $E1087&lt;&gt;"")</f>
        <v>0</v>
      </c>
    </row>
    <row r="1088" spans="1:18" x14ac:dyDescent="0.3">
      <c r="A1088">
        <f t="shared" si="86"/>
        <v>1071</v>
      </c>
      <c r="B1088" s="4"/>
      <c r="I1088" s="8"/>
      <c r="J1088" s="5" t="str">
        <f t="shared" si="84"/>
        <v/>
      </c>
      <c r="K1088" s="3"/>
      <c r="L1088" s="3" t="str">
        <f t="shared" si="88"/>
        <v/>
      </c>
      <c r="N1088" s="3" t="str">
        <f t="shared" si="87"/>
        <v/>
      </c>
      <c r="O1088" s="6" t="str">
        <f t="shared" si="85"/>
        <v/>
      </c>
      <c r="P1088" s="7">
        <f ca="1">SUMIFS($N$2:$N1088,$B$2:$B1088,"&lt;&gt;"&amp;B1088)+SUM($Q$2:$Q1088)</f>
        <v>135.05500000000001</v>
      </c>
      <c r="R1088" t="b">
        <f>AND(ISNUMBER(FIND($E1088,Tables!$I$2)), ISNUMBER(FIND($D1088,Tables!$J$2)), $E1088&lt;&gt;"")</f>
        <v>0</v>
      </c>
    </row>
    <row r="1089" spans="1:18" x14ac:dyDescent="0.3">
      <c r="A1089">
        <f t="shared" si="86"/>
        <v>1072</v>
      </c>
      <c r="B1089" s="4"/>
      <c r="I1089" s="8"/>
      <c r="J1089" s="5" t="str">
        <f t="shared" si="84"/>
        <v/>
      </c>
      <c r="K1089" s="3"/>
      <c r="L1089" s="3" t="str">
        <f t="shared" si="88"/>
        <v/>
      </c>
      <c r="N1089" s="3" t="str">
        <f t="shared" si="87"/>
        <v/>
      </c>
      <c r="O1089" s="6" t="str">
        <f t="shared" si="85"/>
        <v/>
      </c>
      <c r="P1089" s="7">
        <f ca="1">SUMIFS($N$2:$N1089,$B$2:$B1089,"&lt;&gt;"&amp;B1089)+SUM($Q$2:$Q1089)</f>
        <v>135.05500000000001</v>
      </c>
      <c r="R1089" t="b">
        <f>AND(ISNUMBER(FIND($E1089,Tables!$I$2)), ISNUMBER(FIND($D1089,Tables!$J$2)), $E1089&lt;&gt;"")</f>
        <v>0</v>
      </c>
    </row>
    <row r="1090" spans="1:18" x14ac:dyDescent="0.3">
      <c r="A1090">
        <f t="shared" si="86"/>
        <v>1073</v>
      </c>
      <c r="B1090" s="4"/>
      <c r="I1090" s="8"/>
      <c r="J1090" s="5" t="str">
        <f t="shared" ref="J1090:J1153" si="89">IF(I1090="", "", IF(I1090&gt;0, I1090/100 +1, -100/I1090 +1))</f>
        <v/>
      </c>
      <c r="K1090" s="3"/>
      <c r="L1090" s="3" t="str">
        <f t="shared" si="88"/>
        <v/>
      </c>
      <c r="N1090" s="3" t="str">
        <f t="shared" si="87"/>
        <v/>
      </c>
      <c r="O1090" s="6" t="str">
        <f t="shared" ref="O1090:O1153" si="90">IFERROR(K1090/VLOOKUP(_xlfn.MINIFS(A:A,B:B,B1090,C:C,C1090),A:P,16),"")</f>
        <v/>
      </c>
      <c r="P1090" s="7">
        <f ca="1">SUMIFS($N$2:$N1090,$B$2:$B1090,"&lt;&gt;"&amp;B1090)+SUM($Q$2:$Q1090)</f>
        <v>135.05500000000001</v>
      </c>
      <c r="R1090" t="b">
        <f>AND(ISNUMBER(FIND($E1090,Tables!$I$2)), ISNUMBER(FIND($D1090,Tables!$J$2)), $E1090&lt;&gt;"")</f>
        <v>0</v>
      </c>
    </row>
    <row r="1091" spans="1:18" x14ac:dyDescent="0.3">
      <c r="A1091">
        <f t="shared" si="86"/>
        <v>1074</v>
      </c>
      <c r="B1091" s="4"/>
      <c r="I1091" s="8"/>
      <c r="J1091" s="5" t="str">
        <f t="shared" si="89"/>
        <v/>
      </c>
      <c r="K1091" s="3"/>
      <c r="L1091" s="3" t="str">
        <f t="shared" si="88"/>
        <v/>
      </c>
      <c r="N1091" s="3" t="str">
        <f t="shared" si="87"/>
        <v/>
      </c>
      <c r="O1091" s="6" t="str">
        <f t="shared" si="90"/>
        <v/>
      </c>
      <c r="P1091" s="7">
        <f ca="1">SUMIFS($N$2:$N1091,$B$2:$B1091,"&lt;&gt;"&amp;B1091)+SUM($Q$2:$Q1091)</f>
        <v>135.05500000000001</v>
      </c>
      <c r="R1091" t="b">
        <f>AND(ISNUMBER(FIND($E1091,Tables!$I$2)), ISNUMBER(FIND($D1091,Tables!$J$2)), $E1091&lt;&gt;"")</f>
        <v>0</v>
      </c>
    </row>
    <row r="1092" spans="1:18" x14ac:dyDescent="0.3">
      <c r="A1092">
        <f t="shared" si="86"/>
        <v>1075</v>
      </c>
      <c r="B1092" s="4"/>
      <c r="I1092" s="8"/>
      <c r="J1092" s="5" t="str">
        <f t="shared" si="89"/>
        <v/>
      </c>
      <c r="K1092" s="3"/>
      <c r="L1092" s="3" t="str">
        <f t="shared" si="88"/>
        <v/>
      </c>
      <c r="N1092" s="3" t="str">
        <f t="shared" si="87"/>
        <v/>
      </c>
      <c r="O1092" s="6" t="str">
        <f t="shared" si="90"/>
        <v/>
      </c>
      <c r="P1092" s="7">
        <f ca="1">SUMIFS($N$2:$N1092,$B$2:$B1092,"&lt;&gt;"&amp;B1092)+SUM($Q$2:$Q1092)</f>
        <v>135.05500000000001</v>
      </c>
      <c r="R1092" t="b">
        <f>AND(ISNUMBER(FIND($E1092,Tables!$I$2)), ISNUMBER(FIND($D1092,Tables!$J$2)), $E1092&lt;&gt;"")</f>
        <v>0</v>
      </c>
    </row>
    <row r="1093" spans="1:18" x14ac:dyDescent="0.3">
      <c r="A1093">
        <f t="shared" si="86"/>
        <v>1076</v>
      </c>
      <c r="B1093" s="4"/>
      <c r="I1093" s="8"/>
      <c r="J1093" s="5" t="str">
        <f t="shared" si="89"/>
        <v/>
      </c>
      <c r="K1093" s="3"/>
      <c r="L1093" s="3" t="str">
        <f t="shared" si="88"/>
        <v/>
      </c>
      <c r="N1093" s="3" t="str">
        <f t="shared" si="87"/>
        <v/>
      </c>
      <c r="O1093" s="6" t="str">
        <f t="shared" si="90"/>
        <v/>
      </c>
      <c r="P1093" s="7">
        <f ca="1">SUMIFS($N$2:$N1093,$B$2:$B1093,"&lt;&gt;"&amp;B1093)+SUM($Q$2:$Q1093)</f>
        <v>135.05500000000001</v>
      </c>
      <c r="R1093" t="b">
        <f>AND(ISNUMBER(FIND($E1093,Tables!$I$2)), ISNUMBER(FIND($D1093,Tables!$J$2)), $E1093&lt;&gt;"")</f>
        <v>0</v>
      </c>
    </row>
    <row r="1094" spans="1:18" x14ac:dyDescent="0.3">
      <c r="A1094">
        <f t="shared" si="86"/>
        <v>1077</v>
      </c>
      <c r="B1094" s="4"/>
      <c r="I1094" s="8"/>
      <c r="J1094" s="5" t="str">
        <f t="shared" si="89"/>
        <v/>
      </c>
      <c r="K1094" s="3"/>
      <c r="L1094" s="3" t="str">
        <f t="shared" si="88"/>
        <v/>
      </c>
      <c r="N1094" s="3" t="str">
        <f t="shared" si="87"/>
        <v/>
      </c>
      <c r="O1094" s="6" t="str">
        <f t="shared" si="90"/>
        <v/>
      </c>
      <c r="P1094" s="7">
        <f ca="1">SUMIFS($N$2:$N1094,$B$2:$B1094,"&lt;&gt;"&amp;B1094)+SUM($Q$2:$Q1094)</f>
        <v>135.05500000000001</v>
      </c>
      <c r="R1094" t="b">
        <f>AND(ISNUMBER(FIND($E1094,Tables!$I$2)), ISNUMBER(FIND($D1094,Tables!$J$2)), $E1094&lt;&gt;"")</f>
        <v>0</v>
      </c>
    </row>
    <row r="1095" spans="1:18" x14ac:dyDescent="0.3">
      <c r="A1095">
        <f t="shared" si="86"/>
        <v>1078</v>
      </c>
      <c r="B1095" s="4"/>
      <c r="I1095" s="8"/>
      <c r="J1095" s="5" t="str">
        <f t="shared" si="89"/>
        <v/>
      </c>
      <c r="K1095" s="3"/>
      <c r="L1095" s="3" t="str">
        <f t="shared" si="88"/>
        <v/>
      </c>
      <c r="N1095" s="3" t="str">
        <f t="shared" si="87"/>
        <v/>
      </c>
      <c r="O1095" s="6" t="str">
        <f t="shared" si="90"/>
        <v/>
      </c>
      <c r="P1095" s="7">
        <f ca="1">SUMIFS($N$2:$N1095,$B$2:$B1095,"&lt;&gt;"&amp;B1095)+SUM($Q$2:$Q1095)</f>
        <v>135.05500000000001</v>
      </c>
      <c r="R1095" t="b">
        <f>AND(ISNUMBER(FIND($E1095,Tables!$I$2)), ISNUMBER(FIND($D1095,Tables!$J$2)), $E1095&lt;&gt;"")</f>
        <v>0</v>
      </c>
    </row>
    <row r="1096" spans="1:18" x14ac:dyDescent="0.3">
      <c r="A1096">
        <f t="shared" si="86"/>
        <v>1079</v>
      </c>
      <c r="B1096" s="4"/>
      <c r="I1096" s="8"/>
      <c r="J1096" s="5" t="str">
        <f t="shared" si="89"/>
        <v/>
      </c>
      <c r="K1096" s="3"/>
      <c r="L1096" s="3" t="str">
        <f t="shared" si="88"/>
        <v/>
      </c>
      <c r="N1096" s="3" t="str">
        <f t="shared" si="87"/>
        <v/>
      </c>
      <c r="O1096" s="6" t="str">
        <f t="shared" si="90"/>
        <v/>
      </c>
      <c r="P1096" s="7">
        <f ca="1">SUMIFS($N$2:$N1096,$B$2:$B1096,"&lt;&gt;"&amp;B1096)+SUM($Q$2:$Q1096)</f>
        <v>135.05500000000001</v>
      </c>
      <c r="R1096" t="b">
        <f>AND(ISNUMBER(FIND($E1096,Tables!$I$2)), ISNUMBER(FIND($D1096,Tables!$J$2)), $E1096&lt;&gt;"")</f>
        <v>0</v>
      </c>
    </row>
    <row r="1097" spans="1:18" x14ac:dyDescent="0.3">
      <c r="A1097">
        <f t="shared" si="86"/>
        <v>1080</v>
      </c>
      <c r="B1097" s="4"/>
      <c r="I1097" s="8"/>
      <c r="J1097" s="5" t="str">
        <f t="shared" si="89"/>
        <v/>
      </c>
      <c r="K1097" s="3"/>
      <c r="L1097" s="3" t="str">
        <f t="shared" si="88"/>
        <v/>
      </c>
      <c r="N1097" s="3" t="str">
        <f t="shared" si="87"/>
        <v/>
      </c>
      <c r="O1097" s="6" t="str">
        <f t="shared" si="90"/>
        <v/>
      </c>
      <c r="P1097" s="7">
        <f ca="1">SUMIFS($N$2:$N1097,$B$2:$B1097,"&lt;&gt;"&amp;B1097)+SUM($Q$2:$Q1097)</f>
        <v>135.05500000000001</v>
      </c>
      <c r="R1097" t="b">
        <f>AND(ISNUMBER(FIND($E1097,Tables!$I$2)), ISNUMBER(FIND($D1097,Tables!$J$2)), $E1097&lt;&gt;"")</f>
        <v>0</v>
      </c>
    </row>
    <row r="1098" spans="1:18" x14ac:dyDescent="0.3">
      <c r="A1098">
        <f t="shared" si="86"/>
        <v>1081</v>
      </c>
      <c r="B1098" s="4"/>
      <c r="I1098" s="8"/>
      <c r="J1098" s="5" t="str">
        <f t="shared" si="89"/>
        <v/>
      </c>
      <c r="K1098" s="3"/>
      <c r="L1098" s="3" t="str">
        <f t="shared" si="88"/>
        <v/>
      </c>
      <c r="N1098" s="3" t="str">
        <f t="shared" si="87"/>
        <v/>
      </c>
      <c r="O1098" s="6" t="str">
        <f t="shared" si="90"/>
        <v/>
      </c>
      <c r="P1098" s="7">
        <f ca="1">SUMIFS($N$2:$N1098,$B$2:$B1098,"&lt;&gt;"&amp;B1098)+SUM($Q$2:$Q1098)</f>
        <v>135.05500000000001</v>
      </c>
      <c r="R1098" t="b">
        <f>AND(ISNUMBER(FIND($E1098,Tables!$I$2)), ISNUMBER(FIND($D1098,Tables!$J$2)), $E1098&lt;&gt;"")</f>
        <v>0</v>
      </c>
    </row>
    <row r="1099" spans="1:18" x14ac:dyDescent="0.3">
      <c r="A1099">
        <f t="shared" si="86"/>
        <v>1082</v>
      </c>
      <c r="B1099" s="4"/>
      <c r="I1099" s="8"/>
      <c r="J1099" s="5" t="str">
        <f t="shared" si="89"/>
        <v/>
      </c>
      <c r="K1099" s="3"/>
      <c r="L1099" s="3" t="str">
        <f t="shared" si="88"/>
        <v/>
      </c>
      <c r="N1099" s="3" t="str">
        <f t="shared" si="87"/>
        <v/>
      </c>
      <c r="O1099" s="6" t="str">
        <f t="shared" si="90"/>
        <v/>
      </c>
      <c r="P1099" s="7">
        <f ca="1">SUMIFS($N$2:$N1099,$B$2:$B1099,"&lt;&gt;"&amp;B1099)+SUM($Q$2:$Q1099)</f>
        <v>135.05500000000001</v>
      </c>
      <c r="R1099" t="b">
        <f>AND(ISNUMBER(FIND($E1099,Tables!$I$2)), ISNUMBER(FIND($D1099,Tables!$J$2)), $E1099&lt;&gt;"")</f>
        <v>0</v>
      </c>
    </row>
    <row r="1100" spans="1:18" x14ac:dyDescent="0.3">
      <c r="A1100">
        <f t="shared" si="86"/>
        <v>1083</v>
      </c>
      <c r="B1100" s="4"/>
      <c r="I1100" s="8"/>
      <c r="J1100" s="5" t="str">
        <f t="shared" si="89"/>
        <v/>
      </c>
      <c r="K1100" s="3"/>
      <c r="L1100" s="3" t="str">
        <f t="shared" si="88"/>
        <v/>
      </c>
      <c r="N1100" s="3" t="str">
        <f t="shared" si="87"/>
        <v/>
      </c>
      <c r="O1100" s="6" t="str">
        <f t="shared" si="90"/>
        <v/>
      </c>
      <c r="P1100" s="7">
        <f ca="1">SUMIFS($N$2:$N1100,$B$2:$B1100,"&lt;&gt;"&amp;B1100)+SUM($Q$2:$Q1100)</f>
        <v>135.05500000000001</v>
      </c>
      <c r="R1100" t="b">
        <f>AND(ISNUMBER(FIND($E1100,Tables!$I$2)), ISNUMBER(FIND($D1100,Tables!$J$2)), $E1100&lt;&gt;"")</f>
        <v>0</v>
      </c>
    </row>
    <row r="1101" spans="1:18" x14ac:dyDescent="0.3">
      <c r="A1101">
        <f t="shared" si="86"/>
        <v>1084</v>
      </c>
      <c r="B1101" s="4"/>
      <c r="I1101" s="8"/>
      <c r="J1101" s="5" t="str">
        <f t="shared" si="89"/>
        <v/>
      </c>
      <c r="K1101" s="3"/>
      <c r="L1101" s="3" t="str">
        <f t="shared" si="88"/>
        <v/>
      </c>
      <c r="N1101" s="3" t="str">
        <f t="shared" si="87"/>
        <v/>
      </c>
      <c r="O1101" s="6" t="str">
        <f t="shared" si="90"/>
        <v/>
      </c>
      <c r="P1101" s="7">
        <f ca="1">SUMIFS($N$2:$N1101,$B$2:$B1101,"&lt;&gt;"&amp;B1101)+SUM($Q$2:$Q1101)</f>
        <v>135.05500000000001</v>
      </c>
      <c r="R1101" t="b">
        <f>AND(ISNUMBER(FIND($E1101,Tables!$I$2)), ISNUMBER(FIND($D1101,Tables!$J$2)), $E1101&lt;&gt;"")</f>
        <v>0</v>
      </c>
    </row>
    <row r="1102" spans="1:18" x14ac:dyDescent="0.3">
      <c r="A1102">
        <f t="shared" si="86"/>
        <v>1085</v>
      </c>
      <c r="B1102" s="4"/>
      <c r="I1102" s="8"/>
      <c r="J1102" s="5" t="str">
        <f t="shared" si="89"/>
        <v/>
      </c>
      <c r="K1102" s="3"/>
      <c r="L1102" s="3" t="str">
        <f t="shared" si="88"/>
        <v/>
      </c>
      <c r="N1102" s="3" t="str">
        <f t="shared" si="87"/>
        <v/>
      </c>
      <c r="O1102" s="6" t="str">
        <f t="shared" si="90"/>
        <v/>
      </c>
      <c r="P1102" s="7">
        <f ca="1">SUMIFS($N$2:$N1102,$B$2:$B1102,"&lt;&gt;"&amp;B1102)+SUM($Q$2:$Q1102)</f>
        <v>135.05500000000001</v>
      </c>
      <c r="R1102" t="b">
        <f>AND(ISNUMBER(FIND($E1102,Tables!$I$2)), ISNUMBER(FIND($D1102,Tables!$J$2)), $E1102&lt;&gt;"")</f>
        <v>0</v>
      </c>
    </row>
    <row r="1103" spans="1:18" x14ac:dyDescent="0.3">
      <c r="A1103">
        <f t="shared" si="86"/>
        <v>1086</v>
      </c>
      <c r="B1103" s="4"/>
      <c r="I1103" s="8"/>
      <c r="J1103" s="5" t="str">
        <f t="shared" si="89"/>
        <v/>
      </c>
      <c r="K1103" s="3"/>
      <c r="L1103" s="3" t="str">
        <f t="shared" si="88"/>
        <v/>
      </c>
      <c r="N1103" s="3" t="str">
        <f t="shared" si="87"/>
        <v/>
      </c>
      <c r="O1103" s="6" t="str">
        <f t="shared" si="90"/>
        <v/>
      </c>
      <c r="P1103" s="7">
        <f ca="1">SUMIFS($N$2:$N1103,$B$2:$B1103,"&lt;&gt;"&amp;B1103)+SUM($Q$2:$Q1103)</f>
        <v>135.05500000000001</v>
      </c>
      <c r="R1103" t="b">
        <f>AND(ISNUMBER(FIND($E1103,Tables!$I$2)), ISNUMBER(FIND($D1103,Tables!$J$2)), $E1103&lt;&gt;"")</f>
        <v>0</v>
      </c>
    </row>
    <row r="1104" spans="1:18" x14ac:dyDescent="0.3">
      <c r="A1104">
        <f t="shared" si="86"/>
        <v>1087</v>
      </c>
      <c r="B1104" s="4"/>
      <c r="I1104" s="8"/>
      <c r="J1104" s="5" t="str">
        <f t="shared" si="89"/>
        <v/>
      </c>
      <c r="K1104" s="3"/>
      <c r="L1104" s="3" t="str">
        <f t="shared" si="88"/>
        <v/>
      </c>
      <c r="N1104" s="3" t="str">
        <f t="shared" si="87"/>
        <v/>
      </c>
      <c r="O1104" s="6" t="str">
        <f t="shared" si="90"/>
        <v/>
      </c>
      <c r="P1104" s="7">
        <f ca="1">SUMIFS($N$2:$N1104,$B$2:$B1104,"&lt;&gt;"&amp;B1104)+SUM($Q$2:$Q1104)</f>
        <v>135.05500000000001</v>
      </c>
      <c r="R1104" t="b">
        <f>AND(ISNUMBER(FIND($E1104,Tables!$I$2)), ISNUMBER(FIND($D1104,Tables!$J$2)), $E1104&lt;&gt;"")</f>
        <v>0</v>
      </c>
    </row>
    <row r="1105" spans="1:18" x14ac:dyDescent="0.3">
      <c r="A1105">
        <f t="shared" si="86"/>
        <v>1088</v>
      </c>
      <c r="B1105" s="4"/>
      <c r="I1105" s="8"/>
      <c r="J1105" s="5" t="str">
        <f t="shared" si="89"/>
        <v/>
      </c>
      <c r="K1105" s="3"/>
      <c r="L1105" s="3" t="str">
        <f t="shared" si="88"/>
        <v/>
      </c>
      <c r="N1105" s="3" t="str">
        <f t="shared" si="87"/>
        <v/>
      </c>
      <c r="O1105" s="6" t="str">
        <f t="shared" si="90"/>
        <v/>
      </c>
      <c r="P1105" s="7">
        <f ca="1">SUMIFS($N$2:$N1105,$B$2:$B1105,"&lt;&gt;"&amp;B1105)+SUM($Q$2:$Q1105)</f>
        <v>135.05500000000001</v>
      </c>
      <c r="R1105" t="b">
        <f>AND(ISNUMBER(FIND($E1105,Tables!$I$2)), ISNUMBER(FIND($D1105,Tables!$J$2)), $E1105&lt;&gt;"")</f>
        <v>0</v>
      </c>
    </row>
    <row r="1106" spans="1:18" x14ac:dyDescent="0.3">
      <c r="A1106">
        <f t="shared" si="86"/>
        <v>1089</v>
      </c>
      <c r="B1106" s="4"/>
      <c r="I1106" s="8"/>
      <c r="J1106" s="5" t="str">
        <f t="shared" si="89"/>
        <v/>
      </c>
      <c r="K1106" s="3"/>
      <c r="L1106" s="3" t="str">
        <f t="shared" si="88"/>
        <v/>
      </c>
      <c r="N1106" s="3" t="str">
        <f t="shared" si="87"/>
        <v/>
      </c>
      <c r="O1106" s="6" t="str">
        <f t="shared" si="90"/>
        <v/>
      </c>
      <c r="P1106" s="7">
        <f ca="1">SUMIFS($N$2:$N1106,$B$2:$B1106,"&lt;&gt;"&amp;B1106)+SUM($Q$2:$Q1106)</f>
        <v>135.05500000000001</v>
      </c>
      <c r="R1106" t="b">
        <f>AND(ISNUMBER(FIND($E1106,Tables!$I$2)), ISNUMBER(FIND($D1106,Tables!$J$2)), $E1106&lt;&gt;"")</f>
        <v>0</v>
      </c>
    </row>
    <row r="1107" spans="1:18" x14ac:dyDescent="0.3">
      <c r="A1107">
        <f t="shared" si="86"/>
        <v>1090</v>
      </c>
      <c r="B1107" s="4"/>
      <c r="I1107" s="8"/>
      <c r="J1107" s="5" t="str">
        <f t="shared" si="89"/>
        <v/>
      </c>
      <c r="K1107" s="3"/>
      <c r="L1107" s="3" t="str">
        <f t="shared" si="88"/>
        <v/>
      </c>
      <c r="N1107" s="3" t="str">
        <f t="shared" si="87"/>
        <v/>
      </c>
      <c r="O1107" s="6" t="str">
        <f t="shared" si="90"/>
        <v/>
      </c>
      <c r="P1107" s="7">
        <f ca="1">SUMIFS($N$2:$N1107,$B$2:$B1107,"&lt;&gt;"&amp;B1107)+SUM($Q$2:$Q1107)</f>
        <v>135.05500000000001</v>
      </c>
      <c r="R1107" t="b">
        <f>AND(ISNUMBER(FIND($E1107,Tables!$I$2)), ISNUMBER(FIND($D1107,Tables!$J$2)), $E1107&lt;&gt;"")</f>
        <v>0</v>
      </c>
    </row>
    <row r="1108" spans="1:18" x14ac:dyDescent="0.3">
      <c r="A1108">
        <f t="shared" si="86"/>
        <v>1091</v>
      </c>
      <c r="B1108" s="4"/>
      <c r="I1108" s="8"/>
      <c r="J1108" s="5" t="str">
        <f t="shared" si="89"/>
        <v/>
      </c>
      <c r="K1108" s="3"/>
      <c r="L1108" s="3" t="str">
        <f t="shared" si="88"/>
        <v/>
      </c>
      <c r="N1108" s="3" t="str">
        <f t="shared" si="87"/>
        <v/>
      </c>
      <c r="O1108" s="6" t="str">
        <f t="shared" si="90"/>
        <v/>
      </c>
      <c r="P1108" s="7">
        <f ca="1">SUMIFS($N$2:$N1108,$B$2:$B1108,"&lt;&gt;"&amp;B1108)+SUM($Q$2:$Q1108)</f>
        <v>135.05500000000001</v>
      </c>
      <c r="R1108" t="b">
        <f>AND(ISNUMBER(FIND($E1108,Tables!$I$2)), ISNUMBER(FIND($D1108,Tables!$J$2)), $E1108&lt;&gt;"")</f>
        <v>0</v>
      </c>
    </row>
    <row r="1109" spans="1:18" x14ac:dyDescent="0.3">
      <c r="A1109">
        <f t="shared" si="86"/>
        <v>1092</v>
      </c>
      <c r="B1109" s="4"/>
      <c r="I1109" s="8"/>
      <c r="J1109" s="5" t="str">
        <f t="shared" si="89"/>
        <v/>
      </c>
      <c r="K1109" s="3"/>
      <c r="L1109" s="3" t="str">
        <f t="shared" si="88"/>
        <v/>
      </c>
      <c r="N1109" s="3" t="str">
        <f t="shared" si="87"/>
        <v/>
      </c>
      <c r="O1109" s="6" t="str">
        <f t="shared" si="90"/>
        <v/>
      </c>
      <c r="P1109" s="7">
        <f ca="1">SUMIFS($N$2:$N1109,$B$2:$B1109,"&lt;&gt;"&amp;B1109)+SUM($Q$2:$Q1109)</f>
        <v>135.05500000000001</v>
      </c>
      <c r="R1109" t="b">
        <f>AND(ISNUMBER(FIND($E1109,Tables!$I$2)), ISNUMBER(FIND($D1109,Tables!$J$2)), $E1109&lt;&gt;"")</f>
        <v>0</v>
      </c>
    </row>
    <row r="1110" spans="1:18" x14ac:dyDescent="0.3">
      <c r="A1110">
        <f t="shared" si="86"/>
        <v>1093</v>
      </c>
      <c r="B1110" s="4"/>
      <c r="I1110" s="8"/>
      <c r="J1110" s="5" t="str">
        <f t="shared" si="89"/>
        <v/>
      </c>
      <c r="K1110" s="3"/>
      <c r="L1110" s="3" t="str">
        <f t="shared" si="88"/>
        <v/>
      </c>
      <c r="N1110" s="3" t="str">
        <f t="shared" si="87"/>
        <v/>
      </c>
      <c r="O1110" s="6" t="str">
        <f t="shared" si="90"/>
        <v/>
      </c>
      <c r="P1110" s="7">
        <f ca="1">SUMIFS($N$2:$N1110,$B$2:$B1110,"&lt;&gt;"&amp;B1110)+SUM($Q$2:$Q1110)</f>
        <v>135.05500000000001</v>
      </c>
      <c r="R1110" t="b">
        <f>AND(ISNUMBER(FIND($E1110,Tables!$I$2)), ISNUMBER(FIND($D1110,Tables!$J$2)), $E1110&lt;&gt;"")</f>
        <v>0</v>
      </c>
    </row>
    <row r="1111" spans="1:18" x14ac:dyDescent="0.3">
      <c r="A1111">
        <f t="shared" si="86"/>
        <v>1094</v>
      </c>
      <c r="B1111" s="4"/>
      <c r="I1111" s="8"/>
      <c r="J1111" s="5" t="str">
        <f t="shared" si="89"/>
        <v/>
      </c>
      <c r="K1111" s="3"/>
      <c r="L1111" s="3" t="str">
        <f t="shared" si="88"/>
        <v/>
      </c>
      <c r="N1111" s="3" t="str">
        <f t="shared" si="87"/>
        <v/>
      </c>
      <c r="O1111" s="6" t="str">
        <f t="shared" si="90"/>
        <v/>
      </c>
      <c r="P1111" s="7">
        <f ca="1">SUMIFS($N$2:$N1111,$B$2:$B1111,"&lt;&gt;"&amp;B1111)+SUM($Q$2:$Q1111)</f>
        <v>135.05500000000001</v>
      </c>
      <c r="R1111" t="b">
        <f>AND(ISNUMBER(FIND($E1111,Tables!$I$2)), ISNUMBER(FIND($D1111,Tables!$J$2)), $E1111&lt;&gt;"")</f>
        <v>0</v>
      </c>
    </row>
    <row r="1112" spans="1:18" x14ac:dyDescent="0.3">
      <c r="A1112">
        <f t="shared" si="86"/>
        <v>1095</v>
      </c>
      <c r="B1112" s="4"/>
      <c r="I1112" s="8"/>
      <c r="J1112" s="5" t="str">
        <f t="shared" si="89"/>
        <v/>
      </c>
      <c r="K1112" s="3"/>
      <c r="L1112" s="3" t="str">
        <f t="shared" si="88"/>
        <v/>
      </c>
      <c r="N1112" s="3" t="str">
        <f t="shared" si="87"/>
        <v/>
      </c>
      <c r="O1112" s="6" t="str">
        <f t="shared" si="90"/>
        <v/>
      </c>
      <c r="P1112" s="7">
        <f ca="1">SUMIFS($N$2:$N1112,$B$2:$B1112,"&lt;&gt;"&amp;B1112)+SUM($Q$2:$Q1112)</f>
        <v>135.05500000000001</v>
      </c>
      <c r="R1112" t="b">
        <f>AND(ISNUMBER(FIND($E1112,Tables!$I$2)), ISNUMBER(FIND($D1112,Tables!$J$2)), $E1112&lt;&gt;"")</f>
        <v>0</v>
      </c>
    </row>
    <row r="1113" spans="1:18" x14ac:dyDescent="0.3">
      <c r="A1113">
        <f t="shared" si="86"/>
        <v>1096</v>
      </c>
      <c r="B1113" s="4"/>
      <c r="I1113" s="8"/>
      <c r="J1113" s="5" t="str">
        <f t="shared" si="89"/>
        <v/>
      </c>
      <c r="K1113" s="3"/>
      <c r="L1113" s="3" t="str">
        <f t="shared" si="88"/>
        <v/>
      </c>
      <c r="N1113" s="3" t="str">
        <f t="shared" si="87"/>
        <v/>
      </c>
      <c r="O1113" s="6" t="str">
        <f t="shared" si="90"/>
        <v/>
      </c>
      <c r="P1113" s="7">
        <f ca="1">SUMIFS($N$2:$N1113,$B$2:$B1113,"&lt;&gt;"&amp;B1113)+SUM($Q$2:$Q1113)</f>
        <v>135.05500000000001</v>
      </c>
      <c r="R1113" t="b">
        <f>AND(ISNUMBER(FIND($E1113,Tables!$I$2)), ISNUMBER(FIND($D1113,Tables!$J$2)), $E1113&lt;&gt;"")</f>
        <v>0</v>
      </c>
    </row>
    <row r="1114" spans="1:18" x14ac:dyDescent="0.3">
      <c r="A1114">
        <f t="shared" si="86"/>
        <v>1097</v>
      </c>
      <c r="B1114" s="4"/>
      <c r="I1114" s="8"/>
      <c r="J1114" s="5" t="str">
        <f t="shared" si="89"/>
        <v/>
      </c>
      <c r="K1114" s="3"/>
      <c r="L1114" s="3" t="str">
        <f t="shared" si="88"/>
        <v/>
      </c>
      <c r="N1114" s="3" t="str">
        <f t="shared" si="87"/>
        <v/>
      </c>
      <c r="O1114" s="6" t="str">
        <f t="shared" si="90"/>
        <v/>
      </c>
      <c r="P1114" s="7">
        <f ca="1">SUMIFS($N$2:$N1114,$B$2:$B1114,"&lt;&gt;"&amp;B1114)+SUM($Q$2:$Q1114)</f>
        <v>135.05500000000001</v>
      </c>
      <c r="R1114" t="b">
        <f>AND(ISNUMBER(FIND($E1114,Tables!$I$2)), ISNUMBER(FIND($D1114,Tables!$J$2)), $E1114&lt;&gt;"")</f>
        <v>0</v>
      </c>
    </row>
    <row r="1115" spans="1:18" x14ac:dyDescent="0.3">
      <c r="A1115">
        <f t="shared" si="86"/>
        <v>1098</v>
      </c>
      <c r="B1115" s="4"/>
      <c r="I1115" s="8"/>
      <c r="J1115" s="5" t="str">
        <f t="shared" si="89"/>
        <v/>
      </c>
      <c r="K1115" s="3"/>
      <c r="L1115" s="3" t="str">
        <f t="shared" si="88"/>
        <v/>
      </c>
      <c r="N1115" s="3" t="str">
        <f t="shared" si="87"/>
        <v/>
      </c>
      <c r="O1115" s="6" t="str">
        <f t="shared" si="90"/>
        <v/>
      </c>
      <c r="P1115" s="7">
        <f ca="1">SUMIFS($N$2:$N1115,$B$2:$B1115,"&lt;&gt;"&amp;B1115)+SUM($Q$2:$Q1115)</f>
        <v>135.05500000000001</v>
      </c>
      <c r="R1115" t="b">
        <f>AND(ISNUMBER(FIND($E1115,Tables!$I$2)), ISNUMBER(FIND($D1115,Tables!$J$2)), $E1115&lt;&gt;"")</f>
        <v>0</v>
      </c>
    </row>
    <row r="1116" spans="1:18" x14ac:dyDescent="0.3">
      <c r="A1116">
        <f t="shared" si="86"/>
        <v>1099</v>
      </c>
      <c r="B1116" s="4"/>
      <c r="I1116" s="8"/>
      <c r="J1116" s="5" t="str">
        <f t="shared" si="89"/>
        <v/>
      </c>
      <c r="K1116" s="3"/>
      <c r="L1116" s="3" t="str">
        <f t="shared" si="88"/>
        <v/>
      </c>
      <c r="N1116" s="3" t="str">
        <f t="shared" si="87"/>
        <v/>
      </c>
      <c r="O1116" s="6" t="str">
        <f t="shared" si="90"/>
        <v/>
      </c>
      <c r="P1116" s="7">
        <f ca="1">SUMIFS($N$2:$N1116,$B$2:$B1116,"&lt;&gt;"&amp;B1116)+SUM($Q$2:$Q1116)</f>
        <v>135.05500000000001</v>
      </c>
      <c r="R1116" t="b">
        <f>AND(ISNUMBER(FIND($E1116,Tables!$I$2)), ISNUMBER(FIND($D1116,Tables!$J$2)), $E1116&lt;&gt;"")</f>
        <v>0</v>
      </c>
    </row>
    <row r="1117" spans="1:18" x14ac:dyDescent="0.3">
      <c r="A1117">
        <f t="shared" si="86"/>
        <v>1100</v>
      </c>
      <c r="B1117" s="4"/>
      <c r="I1117" s="8"/>
      <c r="J1117" s="5" t="str">
        <f t="shared" si="89"/>
        <v/>
      </c>
      <c r="K1117" s="3"/>
      <c r="L1117" s="3" t="str">
        <f t="shared" si="88"/>
        <v/>
      </c>
      <c r="N1117" s="3" t="str">
        <f t="shared" si="87"/>
        <v/>
      </c>
      <c r="O1117" s="6" t="str">
        <f t="shared" si="90"/>
        <v/>
      </c>
      <c r="P1117" s="7">
        <f ca="1">SUMIFS($N$2:$N1117,$B$2:$B1117,"&lt;&gt;"&amp;B1117)+SUM($Q$2:$Q1117)</f>
        <v>135.05500000000001</v>
      </c>
      <c r="R1117" t="b">
        <f>AND(ISNUMBER(FIND($E1117,Tables!$I$2)), ISNUMBER(FIND($D1117,Tables!$J$2)), $E1117&lt;&gt;"")</f>
        <v>0</v>
      </c>
    </row>
    <row r="1118" spans="1:18" x14ac:dyDescent="0.3">
      <c r="A1118">
        <f t="shared" si="86"/>
        <v>1101</v>
      </c>
      <c r="B1118" s="4"/>
      <c r="I1118" s="8"/>
      <c r="J1118" s="5" t="str">
        <f t="shared" si="89"/>
        <v/>
      </c>
      <c r="K1118" s="3"/>
      <c r="L1118" s="3" t="str">
        <f t="shared" si="88"/>
        <v/>
      </c>
      <c r="N1118" s="3" t="str">
        <f t="shared" si="87"/>
        <v/>
      </c>
      <c r="O1118" s="6" t="str">
        <f t="shared" si="90"/>
        <v/>
      </c>
      <c r="P1118" s="7">
        <f ca="1">SUMIFS($N$2:$N1118,$B$2:$B1118,"&lt;&gt;"&amp;B1118)+SUM($Q$2:$Q1118)</f>
        <v>135.05500000000001</v>
      </c>
      <c r="R1118" t="b">
        <f>AND(ISNUMBER(FIND($E1118,Tables!$I$2)), ISNUMBER(FIND($D1118,Tables!$J$2)), $E1118&lt;&gt;"")</f>
        <v>0</v>
      </c>
    </row>
    <row r="1119" spans="1:18" x14ac:dyDescent="0.3">
      <c r="A1119">
        <f t="shared" si="86"/>
        <v>1102</v>
      </c>
      <c r="B1119" s="4"/>
      <c r="I1119" s="8"/>
      <c r="J1119" s="5" t="str">
        <f t="shared" si="89"/>
        <v/>
      </c>
      <c r="K1119" s="3"/>
      <c r="L1119" s="3" t="str">
        <f t="shared" si="88"/>
        <v/>
      </c>
      <c r="N1119" s="3" t="str">
        <f t="shared" si="87"/>
        <v/>
      </c>
      <c r="O1119" s="6" t="str">
        <f t="shared" si="90"/>
        <v/>
      </c>
      <c r="P1119" s="7">
        <f ca="1">SUMIFS($N$2:$N1119,$B$2:$B1119,"&lt;&gt;"&amp;B1119)+SUM($Q$2:$Q1119)</f>
        <v>135.05500000000001</v>
      </c>
      <c r="R1119" t="b">
        <f>AND(ISNUMBER(FIND($E1119,Tables!$I$2)), ISNUMBER(FIND($D1119,Tables!$J$2)), $E1119&lt;&gt;"")</f>
        <v>0</v>
      </c>
    </row>
    <row r="1120" spans="1:18" x14ac:dyDescent="0.3">
      <c r="A1120">
        <f t="shared" si="86"/>
        <v>1103</v>
      </c>
      <c r="B1120" s="4"/>
      <c r="I1120" s="8"/>
      <c r="J1120" s="5" t="str">
        <f t="shared" si="89"/>
        <v/>
      </c>
      <c r="K1120" s="3"/>
      <c r="L1120" s="3" t="str">
        <f t="shared" si="88"/>
        <v/>
      </c>
      <c r="N1120" s="3" t="str">
        <f t="shared" si="87"/>
        <v/>
      </c>
      <c r="O1120" s="6" t="str">
        <f t="shared" si="90"/>
        <v/>
      </c>
      <c r="P1120" s="7">
        <f ca="1">SUMIFS($N$2:$N1120,$B$2:$B1120,"&lt;&gt;"&amp;B1120)+SUM($Q$2:$Q1120)</f>
        <v>135.05500000000001</v>
      </c>
      <c r="R1120" t="b">
        <f>AND(ISNUMBER(FIND($E1120,Tables!$I$2)), ISNUMBER(FIND($D1120,Tables!$J$2)), $E1120&lt;&gt;"")</f>
        <v>0</v>
      </c>
    </row>
    <row r="1121" spans="1:18" x14ac:dyDescent="0.3">
      <c r="A1121">
        <f t="shared" si="86"/>
        <v>1104</v>
      </c>
      <c r="B1121" s="4"/>
      <c r="I1121" s="8"/>
      <c r="J1121" s="5" t="str">
        <f t="shared" si="89"/>
        <v/>
      </c>
      <c r="K1121" s="3"/>
      <c r="L1121" s="3" t="str">
        <f t="shared" si="88"/>
        <v/>
      </c>
      <c r="N1121" s="3" t="str">
        <f t="shared" si="87"/>
        <v/>
      </c>
      <c r="O1121" s="6" t="str">
        <f t="shared" si="90"/>
        <v/>
      </c>
      <c r="P1121" s="7">
        <f ca="1">SUMIFS($N$2:$N1121,$B$2:$B1121,"&lt;&gt;"&amp;B1121)+SUM($Q$2:$Q1121)</f>
        <v>135.05500000000001</v>
      </c>
      <c r="R1121" t="b">
        <f>AND(ISNUMBER(FIND($E1121,Tables!$I$2)), ISNUMBER(FIND($D1121,Tables!$J$2)), $E1121&lt;&gt;"")</f>
        <v>0</v>
      </c>
    </row>
    <row r="1122" spans="1:18" x14ac:dyDescent="0.3">
      <c r="A1122">
        <f t="shared" ref="A1122:A1185" si="91">IF(AND(B1122="", D1122&lt;&gt;""), A1121, A1121+1)</f>
        <v>1105</v>
      </c>
      <c r="B1122" s="4"/>
      <c r="I1122" s="8"/>
      <c r="J1122" s="5" t="str">
        <f t="shared" si="89"/>
        <v/>
      </c>
      <c r="K1122" s="3"/>
      <c r="L1122" s="3" t="str">
        <f t="shared" si="88"/>
        <v/>
      </c>
      <c r="N1122" s="3" t="str">
        <f t="shared" si="87"/>
        <v/>
      </c>
      <c r="O1122" s="6" t="str">
        <f t="shared" si="90"/>
        <v/>
      </c>
      <c r="P1122" s="7">
        <f ca="1">SUMIFS($N$2:$N1122,$B$2:$B1122,"&lt;&gt;"&amp;B1122)+SUM($Q$2:$Q1122)</f>
        <v>135.05500000000001</v>
      </c>
      <c r="R1122" t="b">
        <f>AND(ISNUMBER(FIND($E1122,Tables!$I$2)), ISNUMBER(FIND($D1122,Tables!$J$2)), $E1122&lt;&gt;"")</f>
        <v>0</v>
      </c>
    </row>
    <row r="1123" spans="1:18" x14ac:dyDescent="0.3">
      <c r="A1123">
        <f t="shared" si="91"/>
        <v>1106</v>
      </c>
      <c r="B1123" s="4"/>
      <c r="I1123" s="8"/>
      <c r="J1123" s="5" t="str">
        <f t="shared" si="89"/>
        <v/>
      </c>
      <c r="K1123" s="3"/>
      <c r="L1123" s="3" t="str">
        <f t="shared" si="88"/>
        <v/>
      </c>
      <c r="N1123" s="3" t="str">
        <f t="shared" si="87"/>
        <v/>
      </c>
      <c r="O1123" s="6" t="str">
        <f t="shared" si="90"/>
        <v/>
      </c>
      <c r="P1123" s="7">
        <f ca="1">SUMIFS($N$2:$N1123,$B$2:$B1123,"&lt;&gt;"&amp;B1123)+SUM($Q$2:$Q1123)</f>
        <v>135.05500000000001</v>
      </c>
      <c r="R1123" t="b">
        <f>AND(ISNUMBER(FIND($E1123,Tables!$I$2)), ISNUMBER(FIND($D1123,Tables!$J$2)), $E1123&lt;&gt;"")</f>
        <v>0</v>
      </c>
    </row>
    <row r="1124" spans="1:18" x14ac:dyDescent="0.3">
      <c r="A1124">
        <f t="shared" si="91"/>
        <v>1107</v>
      </c>
      <c r="B1124" s="4"/>
      <c r="I1124" s="8"/>
      <c r="J1124" s="5" t="str">
        <f t="shared" si="89"/>
        <v/>
      </c>
      <c r="K1124" s="3"/>
      <c r="L1124" s="3" t="str">
        <f t="shared" si="88"/>
        <v/>
      </c>
      <c r="N1124" s="3" t="str">
        <f t="shared" si="87"/>
        <v/>
      </c>
      <c r="O1124" s="6" t="str">
        <f t="shared" si="90"/>
        <v/>
      </c>
      <c r="P1124" s="7">
        <f ca="1">SUMIFS($N$2:$N1124,$B$2:$B1124,"&lt;&gt;"&amp;B1124)+SUM($Q$2:$Q1124)</f>
        <v>135.05500000000001</v>
      </c>
      <c r="R1124" t="b">
        <f>AND(ISNUMBER(FIND($E1124,Tables!$I$2)), ISNUMBER(FIND($D1124,Tables!$J$2)), $E1124&lt;&gt;"")</f>
        <v>0</v>
      </c>
    </row>
    <row r="1125" spans="1:18" x14ac:dyDescent="0.3">
      <c r="A1125">
        <f t="shared" si="91"/>
        <v>1108</v>
      </c>
      <c r="B1125" s="4"/>
      <c r="I1125" s="8"/>
      <c r="J1125" s="5" t="str">
        <f t="shared" si="89"/>
        <v/>
      </c>
      <c r="K1125" s="3"/>
      <c r="L1125" s="3" t="str">
        <f t="shared" si="88"/>
        <v/>
      </c>
      <c r="N1125" s="3" t="str">
        <f t="shared" si="87"/>
        <v/>
      </c>
      <c r="O1125" s="6" t="str">
        <f t="shared" si="90"/>
        <v/>
      </c>
      <c r="P1125" s="7">
        <f ca="1">SUMIFS($N$2:$N1125,$B$2:$B1125,"&lt;&gt;"&amp;B1125)+SUM($Q$2:$Q1125)</f>
        <v>135.05500000000001</v>
      </c>
      <c r="R1125" t="b">
        <f>AND(ISNUMBER(FIND($E1125,Tables!$I$2)), ISNUMBER(FIND($D1125,Tables!$J$2)), $E1125&lt;&gt;"")</f>
        <v>0</v>
      </c>
    </row>
    <row r="1126" spans="1:18" x14ac:dyDescent="0.3">
      <c r="A1126">
        <f t="shared" si="91"/>
        <v>1109</v>
      </c>
      <c r="B1126" s="4"/>
      <c r="I1126" s="8"/>
      <c r="J1126" s="5" t="str">
        <f t="shared" si="89"/>
        <v/>
      </c>
      <c r="K1126" s="3"/>
      <c r="L1126" s="3" t="str">
        <f t="shared" si="88"/>
        <v/>
      </c>
      <c r="N1126" s="3" t="str">
        <f t="shared" si="87"/>
        <v/>
      </c>
      <c r="O1126" s="6" t="str">
        <f t="shared" si="90"/>
        <v/>
      </c>
      <c r="P1126" s="7">
        <f ca="1">SUMIFS($N$2:$N1126,$B$2:$B1126,"&lt;&gt;"&amp;B1126)+SUM($Q$2:$Q1126)</f>
        <v>135.05500000000001</v>
      </c>
      <c r="R1126" t="b">
        <f>AND(ISNUMBER(FIND($E1126,Tables!$I$2)), ISNUMBER(FIND($D1126,Tables!$J$2)), $E1126&lt;&gt;"")</f>
        <v>0</v>
      </c>
    </row>
    <row r="1127" spans="1:18" x14ac:dyDescent="0.3">
      <c r="A1127">
        <f t="shared" si="91"/>
        <v>1110</v>
      </c>
      <c r="B1127" s="4"/>
      <c r="I1127" s="8"/>
      <c r="J1127" s="5" t="str">
        <f t="shared" si="89"/>
        <v/>
      </c>
      <c r="K1127" s="3"/>
      <c r="L1127" s="3" t="str">
        <f t="shared" si="88"/>
        <v/>
      </c>
      <c r="N1127" s="3" t="str">
        <f t="shared" si="87"/>
        <v/>
      </c>
      <c r="O1127" s="6" t="str">
        <f t="shared" si="90"/>
        <v/>
      </c>
      <c r="P1127" s="7">
        <f ca="1">SUMIFS($N$2:$N1127,$B$2:$B1127,"&lt;&gt;"&amp;B1127)+SUM($Q$2:$Q1127)</f>
        <v>135.05500000000001</v>
      </c>
      <c r="R1127" t="b">
        <f>AND(ISNUMBER(FIND($E1127,Tables!$I$2)), ISNUMBER(FIND($D1127,Tables!$J$2)), $E1127&lt;&gt;"")</f>
        <v>0</v>
      </c>
    </row>
    <row r="1128" spans="1:18" x14ac:dyDescent="0.3">
      <c r="A1128">
        <f t="shared" si="91"/>
        <v>1111</v>
      </c>
      <c r="B1128" s="4"/>
      <c r="I1128" s="8"/>
      <c r="J1128" s="5" t="str">
        <f t="shared" si="89"/>
        <v/>
      </c>
      <c r="K1128" s="3"/>
      <c r="L1128" s="3" t="str">
        <f t="shared" si="88"/>
        <v/>
      </c>
      <c r="N1128" s="3" t="str">
        <f t="shared" ref="N1128:N1191" si="92">IF(L1128 = "", "", IF(M1128="", "", IF(OR(M1128="Draw",M1128="NC"), 0, IF(M1128="win", L1128, -1*K1128))))</f>
        <v/>
      </c>
      <c r="O1128" s="6" t="str">
        <f t="shared" si="90"/>
        <v/>
      </c>
      <c r="P1128" s="7">
        <f ca="1">SUMIFS($N$2:$N1128,$B$2:$B1128,"&lt;&gt;"&amp;B1128)+SUM($Q$2:$Q1128)</f>
        <v>135.05500000000001</v>
      </c>
      <c r="R1128" t="b">
        <f>AND(ISNUMBER(FIND($E1128,Tables!$I$2)), ISNUMBER(FIND($D1128,Tables!$J$2)), $E1128&lt;&gt;"")</f>
        <v>0</v>
      </c>
    </row>
    <row r="1129" spans="1:18" x14ac:dyDescent="0.3">
      <c r="A1129">
        <f t="shared" si="91"/>
        <v>1112</v>
      </c>
      <c r="B1129" s="4"/>
      <c r="I1129" s="8"/>
      <c r="J1129" s="5" t="str">
        <f t="shared" si="89"/>
        <v/>
      </c>
      <c r="K1129" s="3"/>
      <c r="L1129" s="3" t="str">
        <f t="shared" si="88"/>
        <v/>
      </c>
      <c r="N1129" s="3" t="str">
        <f t="shared" si="92"/>
        <v/>
      </c>
      <c r="O1129" s="6" t="str">
        <f t="shared" si="90"/>
        <v/>
      </c>
      <c r="P1129" s="7">
        <f ca="1">SUMIFS($N$2:$N1129,$B$2:$B1129,"&lt;&gt;"&amp;B1129)+SUM($Q$2:$Q1129)</f>
        <v>135.05500000000001</v>
      </c>
      <c r="R1129" t="b">
        <f>AND(ISNUMBER(FIND($E1129,Tables!$I$2)), ISNUMBER(FIND($D1129,Tables!$J$2)), $E1129&lt;&gt;"")</f>
        <v>0</v>
      </c>
    </row>
    <row r="1130" spans="1:18" x14ac:dyDescent="0.3">
      <c r="A1130">
        <f t="shared" si="91"/>
        <v>1113</v>
      </c>
      <c r="B1130" s="4"/>
      <c r="I1130" s="8"/>
      <c r="J1130" s="5" t="str">
        <f t="shared" si="89"/>
        <v/>
      </c>
      <c r="K1130" s="3"/>
      <c r="L1130" s="3" t="str">
        <f t="shared" si="88"/>
        <v/>
      </c>
      <c r="N1130" s="3" t="str">
        <f t="shared" si="92"/>
        <v/>
      </c>
      <c r="O1130" s="6" t="str">
        <f t="shared" si="90"/>
        <v/>
      </c>
      <c r="P1130" s="7">
        <f ca="1">SUMIFS($N$2:$N1130,$B$2:$B1130,"&lt;&gt;"&amp;B1130)+SUM($Q$2:$Q1130)</f>
        <v>135.05500000000001</v>
      </c>
      <c r="R1130" t="b">
        <f>AND(ISNUMBER(FIND($E1130,Tables!$I$2)), ISNUMBER(FIND($D1130,Tables!$J$2)), $E1130&lt;&gt;"")</f>
        <v>0</v>
      </c>
    </row>
    <row r="1131" spans="1:18" x14ac:dyDescent="0.3">
      <c r="A1131">
        <f t="shared" si="91"/>
        <v>1114</v>
      </c>
      <c r="B1131" s="4"/>
      <c r="I1131" s="8"/>
      <c r="J1131" s="5" t="str">
        <f t="shared" si="89"/>
        <v/>
      </c>
      <c r="K1131" s="3"/>
      <c r="L1131" s="3" t="str">
        <f t="shared" si="88"/>
        <v/>
      </c>
      <c r="N1131" s="3" t="str">
        <f t="shared" si="92"/>
        <v/>
      </c>
      <c r="O1131" s="6" t="str">
        <f t="shared" si="90"/>
        <v/>
      </c>
      <c r="P1131" s="7">
        <f ca="1">SUMIFS($N$2:$N1131,$B$2:$B1131,"&lt;&gt;"&amp;B1131)+SUM($Q$2:$Q1131)</f>
        <v>135.05500000000001</v>
      </c>
      <c r="R1131" t="b">
        <f>AND(ISNUMBER(FIND($E1131,Tables!$I$2)), ISNUMBER(FIND($D1131,Tables!$J$2)), $E1131&lt;&gt;"")</f>
        <v>0</v>
      </c>
    </row>
    <row r="1132" spans="1:18" x14ac:dyDescent="0.3">
      <c r="A1132">
        <f t="shared" si="91"/>
        <v>1115</v>
      </c>
      <c r="B1132" s="4"/>
      <c r="I1132" s="8"/>
      <c r="J1132" s="5" t="str">
        <f t="shared" si="89"/>
        <v/>
      </c>
      <c r="K1132" s="3"/>
      <c r="L1132" s="3" t="str">
        <f t="shared" si="88"/>
        <v/>
      </c>
      <c r="N1132" s="3" t="str">
        <f t="shared" si="92"/>
        <v/>
      </c>
      <c r="O1132" s="6" t="str">
        <f t="shared" si="90"/>
        <v/>
      </c>
      <c r="P1132" s="7">
        <f ca="1">SUMIFS($N$2:$N1132,$B$2:$B1132,"&lt;&gt;"&amp;B1132)+SUM($Q$2:$Q1132)</f>
        <v>135.05500000000001</v>
      </c>
      <c r="R1132" t="b">
        <f>AND(ISNUMBER(FIND($E1132,Tables!$I$2)), ISNUMBER(FIND($D1132,Tables!$J$2)), $E1132&lt;&gt;"")</f>
        <v>0</v>
      </c>
    </row>
    <row r="1133" spans="1:18" x14ac:dyDescent="0.3">
      <c r="A1133">
        <f t="shared" si="91"/>
        <v>1116</v>
      </c>
      <c r="B1133" s="4"/>
      <c r="I1133" s="8"/>
      <c r="J1133" s="5" t="str">
        <f t="shared" si="89"/>
        <v/>
      </c>
      <c r="K1133" s="3"/>
      <c r="L1133" s="3" t="str">
        <f t="shared" si="88"/>
        <v/>
      </c>
      <c r="N1133" s="3" t="str">
        <f t="shared" si="92"/>
        <v/>
      </c>
      <c r="O1133" s="6" t="str">
        <f t="shared" si="90"/>
        <v/>
      </c>
      <c r="P1133" s="7">
        <f ca="1">SUMIFS($N$2:$N1133,$B$2:$B1133,"&lt;&gt;"&amp;B1133)+SUM($Q$2:$Q1133)</f>
        <v>135.05500000000001</v>
      </c>
      <c r="R1133" t="b">
        <f>AND(ISNUMBER(FIND($E1133,Tables!$I$2)), ISNUMBER(FIND($D1133,Tables!$J$2)), $E1133&lt;&gt;"")</f>
        <v>0</v>
      </c>
    </row>
    <row r="1134" spans="1:18" x14ac:dyDescent="0.3">
      <c r="A1134">
        <f t="shared" si="91"/>
        <v>1117</v>
      </c>
      <c r="B1134" s="4"/>
      <c r="I1134" s="8"/>
      <c r="J1134" s="5" t="str">
        <f t="shared" si="89"/>
        <v/>
      </c>
      <c r="K1134" s="3"/>
      <c r="L1134" s="3" t="str">
        <f t="shared" si="88"/>
        <v/>
      </c>
      <c r="N1134" s="3" t="str">
        <f t="shared" si="92"/>
        <v/>
      </c>
      <c r="O1134" s="6" t="str">
        <f t="shared" si="90"/>
        <v/>
      </c>
      <c r="P1134" s="7">
        <f ca="1">SUMIFS($N$2:$N1134,$B$2:$B1134,"&lt;&gt;"&amp;B1134)+SUM($Q$2:$Q1134)</f>
        <v>135.05500000000001</v>
      </c>
      <c r="R1134" t="b">
        <f>AND(ISNUMBER(FIND($E1134,Tables!$I$2)), ISNUMBER(FIND($D1134,Tables!$J$2)), $E1134&lt;&gt;"")</f>
        <v>0</v>
      </c>
    </row>
    <row r="1135" spans="1:18" x14ac:dyDescent="0.3">
      <c r="A1135">
        <f t="shared" si="91"/>
        <v>1118</v>
      </c>
      <c r="B1135" s="4"/>
      <c r="I1135" s="8"/>
      <c r="J1135" s="5" t="str">
        <f t="shared" si="89"/>
        <v/>
      </c>
      <c r="K1135" s="3"/>
      <c r="L1135" s="3" t="str">
        <f t="shared" si="88"/>
        <v/>
      </c>
      <c r="N1135" s="3" t="str">
        <f t="shared" si="92"/>
        <v/>
      </c>
      <c r="O1135" s="6" t="str">
        <f t="shared" si="90"/>
        <v/>
      </c>
      <c r="P1135" s="7">
        <f ca="1">SUMIFS($N$2:$N1135,$B$2:$B1135,"&lt;&gt;"&amp;B1135)+SUM($Q$2:$Q1135)</f>
        <v>135.05500000000001</v>
      </c>
      <c r="R1135" t="b">
        <f>AND(ISNUMBER(FIND($E1135,Tables!$I$2)), ISNUMBER(FIND($D1135,Tables!$J$2)), $E1135&lt;&gt;"")</f>
        <v>0</v>
      </c>
    </row>
    <row r="1136" spans="1:18" x14ac:dyDescent="0.3">
      <c r="A1136">
        <f t="shared" si="91"/>
        <v>1119</v>
      </c>
      <c r="B1136" s="4"/>
      <c r="I1136" s="8"/>
      <c r="J1136" s="5" t="str">
        <f t="shared" si="89"/>
        <v/>
      </c>
      <c r="K1136" s="3"/>
      <c r="L1136" s="3" t="str">
        <f t="shared" si="88"/>
        <v/>
      </c>
      <c r="N1136" s="3" t="str">
        <f t="shared" si="92"/>
        <v/>
      </c>
      <c r="O1136" s="6" t="str">
        <f t="shared" si="90"/>
        <v/>
      </c>
      <c r="P1136" s="7">
        <f ca="1">SUMIFS($N$2:$N1136,$B$2:$B1136,"&lt;&gt;"&amp;B1136)+SUM($Q$2:$Q1136)</f>
        <v>135.05500000000001</v>
      </c>
      <c r="R1136" t="b">
        <f>AND(ISNUMBER(FIND($E1136,Tables!$I$2)), ISNUMBER(FIND($D1136,Tables!$J$2)), $E1136&lt;&gt;"")</f>
        <v>0</v>
      </c>
    </row>
    <row r="1137" spans="1:18" x14ac:dyDescent="0.3">
      <c r="A1137">
        <f t="shared" si="91"/>
        <v>1120</v>
      </c>
      <c r="B1137" s="4"/>
      <c r="I1137" s="8"/>
      <c r="J1137" s="5" t="str">
        <f t="shared" si="89"/>
        <v/>
      </c>
      <c r="K1137" s="3"/>
      <c r="L1137" s="3" t="str">
        <f t="shared" si="88"/>
        <v/>
      </c>
      <c r="N1137" s="3" t="str">
        <f t="shared" si="92"/>
        <v/>
      </c>
      <c r="O1137" s="6" t="str">
        <f t="shared" si="90"/>
        <v/>
      </c>
      <c r="P1137" s="7">
        <f ca="1">SUMIFS($N$2:$N1137,$B$2:$B1137,"&lt;&gt;"&amp;B1137)+SUM($Q$2:$Q1137)</f>
        <v>135.05500000000001</v>
      </c>
      <c r="R1137" t="b">
        <f>AND(ISNUMBER(FIND($E1137,Tables!$I$2)), ISNUMBER(FIND($D1137,Tables!$J$2)), $E1137&lt;&gt;"")</f>
        <v>0</v>
      </c>
    </row>
    <row r="1138" spans="1:18" x14ac:dyDescent="0.3">
      <c r="A1138">
        <f t="shared" si="91"/>
        <v>1121</v>
      </c>
      <c r="B1138" s="4"/>
      <c r="I1138" s="8"/>
      <c r="J1138" s="5" t="str">
        <f t="shared" si="89"/>
        <v/>
      </c>
      <c r="K1138" s="3"/>
      <c r="L1138" s="3" t="str">
        <f t="shared" ref="L1138:L1201" si="93">IFERROR(IF(K1138=0, "", IF(I1138&gt;0, K1138/100*I1138,K1138/I1138*-100)), "")</f>
        <v/>
      </c>
      <c r="N1138" s="3" t="str">
        <f t="shared" si="92"/>
        <v/>
      </c>
      <c r="O1138" s="6" t="str">
        <f t="shared" si="90"/>
        <v/>
      </c>
      <c r="P1138" s="7">
        <f ca="1">SUMIFS($N$2:$N1138,$B$2:$B1138,"&lt;&gt;"&amp;B1138)+SUM($Q$2:$Q1138)</f>
        <v>135.05500000000001</v>
      </c>
      <c r="R1138" t="b">
        <f>AND(ISNUMBER(FIND($E1138,Tables!$I$2)), ISNUMBER(FIND($D1138,Tables!$J$2)), $E1138&lt;&gt;"")</f>
        <v>0</v>
      </c>
    </row>
    <row r="1139" spans="1:18" x14ac:dyDescent="0.3">
      <c r="A1139">
        <f t="shared" si="91"/>
        <v>1122</v>
      </c>
      <c r="B1139" s="4"/>
      <c r="I1139" s="8"/>
      <c r="J1139" s="5" t="str">
        <f t="shared" si="89"/>
        <v/>
      </c>
      <c r="K1139" s="3"/>
      <c r="L1139" s="3" t="str">
        <f t="shared" si="93"/>
        <v/>
      </c>
      <c r="N1139" s="3" t="str">
        <f t="shared" si="92"/>
        <v/>
      </c>
      <c r="O1139" s="6" t="str">
        <f t="shared" si="90"/>
        <v/>
      </c>
      <c r="P1139" s="7">
        <f ca="1">SUMIFS($N$2:$N1139,$B$2:$B1139,"&lt;&gt;"&amp;B1139)+SUM($Q$2:$Q1139)</f>
        <v>135.05500000000001</v>
      </c>
      <c r="R1139" t="b">
        <f>AND(ISNUMBER(FIND($E1139,Tables!$I$2)), ISNUMBER(FIND($D1139,Tables!$J$2)), $E1139&lt;&gt;"")</f>
        <v>0</v>
      </c>
    </row>
    <row r="1140" spans="1:18" x14ac:dyDescent="0.3">
      <c r="A1140">
        <f t="shared" si="91"/>
        <v>1123</v>
      </c>
      <c r="B1140" s="4"/>
      <c r="I1140" s="8"/>
      <c r="J1140" s="5" t="str">
        <f t="shared" si="89"/>
        <v/>
      </c>
      <c r="K1140" s="3"/>
      <c r="L1140" s="3" t="str">
        <f t="shared" si="93"/>
        <v/>
      </c>
      <c r="N1140" s="3" t="str">
        <f t="shared" si="92"/>
        <v/>
      </c>
      <c r="O1140" s="6" t="str">
        <f t="shared" si="90"/>
        <v/>
      </c>
      <c r="P1140" s="7">
        <f ca="1">SUMIFS($N$2:$N1140,$B$2:$B1140,"&lt;&gt;"&amp;B1140)+SUM($Q$2:$Q1140)</f>
        <v>135.05500000000001</v>
      </c>
      <c r="R1140" t="b">
        <f>AND(ISNUMBER(FIND($E1140,Tables!$I$2)), ISNUMBER(FIND($D1140,Tables!$J$2)), $E1140&lt;&gt;"")</f>
        <v>0</v>
      </c>
    </row>
    <row r="1141" spans="1:18" x14ac:dyDescent="0.3">
      <c r="A1141">
        <f t="shared" si="91"/>
        <v>1124</v>
      </c>
      <c r="B1141" s="4"/>
      <c r="I1141" s="8"/>
      <c r="J1141" s="5" t="str">
        <f t="shared" si="89"/>
        <v/>
      </c>
      <c r="K1141" s="3"/>
      <c r="L1141" s="3" t="str">
        <f t="shared" si="93"/>
        <v/>
      </c>
      <c r="N1141" s="3" t="str">
        <f t="shared" si="92"/>
        <v/>
      </c>
      <c r="O1141" s="6" t="str">
        <f t="shared" si="90"/>
        <v/>
      </c>
      <c r="P1141" s="7">
        <f ca="1">SUMIFS($N$2:$N1141,$B$2:$B1141,"&lt;&gt;"&amp;B1141)+SUM($Q$2:$Q1141)</f>
        <v>135.05500000000001</v>
      </c>
      <c r="R1141" t="b">
        <f>AND(ISNUMBER(FIND($E1141,Tables!$I$2)), ISNUMBER(FIND($D1141,Tables!$J$2)), $E1141&lt;&gt;"")</f>
        <v>0</v>
      </c>
    </row>
    <row r="1142" spans="1:18" x14ac:dyDescent="0.3">
      <c r="A1142">
        <f t="shared" si="91"/>
        <v>1125</v>
      </c>
      <c r="B1142" s="4"/>
      <c r="I1142" s="8"/>
      <c r="J1142" s="5" t="str">
        <f t="shared" si="89"/>
        <v/>
      </c>
      <c r="K1142" s="3"/>
      <c r="L1142" s="3" t="str">
        <f t="shared" si="93"/>
        <v/>
      </c>
      <c r="N1142" s="3" t="str">
        <f t="shared" si="92"/>
        <v/>
      </c>
      <c r="O1142" s="6" t="str">
        <f t="shared" si="90"/>
        <v/>
      </c>
      <c r="P1142" s="7">
        <f ca="1">SUMIFS($N$2:$N1142,$B$2:$B1142,"&lt;&gt;"&amp;B1142)+SUM($Q$2:$Q1142)</f>
        <v>135.05500000000001</v>
      </c>
      <c r="R1142" t="b">
        <f>AND(ISNUMBER(FIND($E1142,Tables!$I$2)), ISNUMBER(FIND($D1142,Tables!$J$2)), $E1142&lt;&gt;"")</f>
        <v>0</v>
      </c>
    </row>
    <row r="1143" spans="1:18" x14ac:dyDescent="0.3">
      <c r="A1143">
        <f t="shared" si="91"/>
        <v>1126</v>
      </c>
      <c r="B1143" s="4"/>
      <c r="I1143" s="8"/>
      <c r="J1143" s="5" t="str">
        <f t="shared" si="89"/>
        <v/>
      </c>
      <c r="K1143" s="3"/>
      <c r="L1143" s="3" t="str">
        <f t="shared" si="93"/>
        <v/>
      </c>
      <c r="N1143" s="3" t="str">
        <f t="shared" si="92"/>
        <v/>
      </c>
      <c r="O1143" s="6" t="str">
        <f t="shared" si="90"/>
        <v/>
      </c>
      <c r="P1143" s="7">
        <f ca="1">SUMIFS($N$2:$N1143,$B$2:$B1143,"&lt;&gt;"&amp;B1143)+SUM($Q$2:$Q1143)</f>
        <v>135.05500000000001</v>
      </c>
      <c r="R1143" t="b">
        <f>AND(ISNUMBER(FIND($E1143,Tables!$I$2)), ISNUMBER(FIND($D1143,Tables!$J$2)), $E1143&lt;&gt;"")</f>
        <v>0</v>
      </c>
    </row>
    <row r="1144" spans="1:18" x14ac:dyDescent="0.3">
      <c r="A1144">
        <f t="shared" si="91"/>
        <v>1127</v>
      </c>
      <c r="B1144" s="4"/>
      <c r="I1144" s="8"/>
      <c r="J1144" s="5" t="str">
        <f t="shared" si="89"/>
        <v/>
      </c>
      <c r="K1144" s="3"/>
      <c r="L1144" s="3" t="str">
        <f t="shared" si="93"/>
        <v/>
      </c>
      <c r="N1144" s="3" t="str">
        <f t="shared" si="92"/>
        <v/>
      </c>
      <c r="O1144" s="6" t="str">
        <f t="shared" si="90"/>
        <v/>
      </c>
      <c r="P1144" s="7">
        <f ca="1">SUMIFS($N$2:$N1144,$B$2:$B1144,"&lt;&gt;"&amp;B1144)+SUM($Q$2:$Q1144)</f>
        <v>135.05500000000001</v>
      </c>
      <c r="R1144" t="b">
        <f>AND(ISNUMBER(FIND($E1144,Tables!$I$2)), ISNUMBER(FIND($D1144,Tables!$J$2)), $E1144&lt;&gt;"")</f>
        <v>0</v>
      </c>
    </row>
    <row r="1145" spans="1:18" x14ac:dyDescent="0.3">
      <c r="A1145">
        <f t="shared" si="91"/>
        <v>1128</v>
      </c>
      <c r="B1145" s="4"/>
      <c r="I1145" s="8"/>
      <c r="J1145" s="5" t="str">
        <f t="shared" si="89"/>
        <v/>
      </c>
      <c r="K1145" s="3"/>
      <c r="L1145" s="3" t="str">
        <f t="shared" si="93"/>
        <v/>
      </c>
      <c r="N1145" s="3" t="str">
        <f t="shared" si="92"/>
        <v/>
      </c>
      <c r="O1145" s="6" t="str">
        <f t="shared" si="90"/>
        <v/>
      </c>
      <c r="P1145" s="7">
        <f ca="1">SUMIFS($N$2:$N1145,$B$2:$B1145,"&lt;&gt;"&amp;B1145)+SUM($Q$2:$Q1145)</f>
        <v>135.05500000000001</v>
      </c>
      <c r="R1145" t="b">
        <f>AND(ISNUMBER(FIND($E1145,Tables!$I$2)), ISNUMBER(FIND($D1145,Tables!$J$2)), $E1145&lt;&gt;"")</f>
        <v>0</v>
      </c>
    </row>
    <row r="1146" spans="1:18" x14ac:dyDescent="0.3">
      <c r="A1146">
        <f t="shared" si="91"/>
        <v>1129</v>
      </c>
      <c r="B1146" s="4"/>
      <c r="I1146" s="8"/>
      <c r="J1146" s="5" t="str">
        <f t="shared" si="89"/>
        <v/>
      </c>
      <c r="K1146" s="3"/>
      <c r="L1146" s="3" t="str">
        <f t="shared" si="93"/>
        <v/>
      </c>
      <c r="N1146" s="3" t="str">
        <f t="shared" si="92"/>
        <v/>
      </c>
      <c r="O1146" s="6" t="str">
        <f t="shared" si="90"/>
        <v/>
      </c>
      <c r="P1146" s="7">
        <f ca="1">SUMIFS($N$2:$N1146,$B$2:$B1146,"&lt;&gt;"&amp;B1146)+SUM($Q$2:$Q1146)</f>
        <v>135.05500000000001</v>
      </c>
      <c r="R1146" t="b">
        <f>AND(ISNUMBER(FIND($E1146,Tables!$I$2)), ISNUMBER(FIND($D1146,Tables!$J$2)), $E1146&lt;&gt;"")</f>
        <v>0</v>
      </c>
    </row>
    <row r="1147" spans="1:18" x14ac:dyDescent="0.3">
      <c r="A1147">
        <f t="shared" si="91"/>
        <v>1130</v>
      </c>
      <c r="B1147" s="4"/>
      <c r="I1147" s="8"/>
      <c r="J1147" s="5" t="str">
        <f t="shared" si="89"/>
        <v/>
      </c>
      <c r="K1147" s="3"/>
      <c r="L1147" s="3" t="str">
        <f t="shared" si="93"/>
        <v/>
      </c>
      <c r="N1147" s="3" t="str">
        <f t="shared" si="92"/>
        <v/>
      </c>
      <c r="O1147" s="6" t="str">
        <f t="shared" si="90"/>
        <v/>
      </c>
      <c r="P1147" s="7">
        <f ca="1">SUMIFS($N$2:$N1147,$B$2:$B1147,"&lt;&gt;"&amp;B1147)+SUM($Q$2:$Q1147)</f>
        <v>135.05500000000001</v>
      </c>
      <c r="R1147" t="b">
        <f>AND(ISNUMBER(FIND($E1147,Tables!$I$2)), ISNUMBER(FIND($D1147,Tables!$J$2)), $E1147&lt;&gt;"")</f>
        <v>0</v>
      </c>
    </row>
    <row r="1148" spans="1:18" x14ac:dyDescent="0.3">
      <c r="A1148">
        <f t="shared" si="91"/>
        <v>1131</v>
      </c>
      <c r="B1148" s="4"/>
      <c r="I1148" s="8"/>
      <c r="J1148" s="5" t="str">
        <f t="shared" si="89"/>
        <v/>
      </c>
      <c r="K1148" s="3"/>
      <c r="L1148" s="3" t="str">
        <f t="shared" si="93"/>
        <v/>
      </c>
      <c r="N1148" s="3" t="str">
        <f t="shared" si="92"/>
        <v/>
      </c>
      <c r="O1148" s="6" t="str">
        <f t="shared" si="90"/>
        <v/>
      </c>
      <c r="P1148" s="7">
        <f ca="1">SUMIFS($N$2:$N1148,$B$2:$B1148,"&lt;&gt;"&amp;B1148)+SUM($Q$2:$Q1148)</f>
        <v>135.05500000000001</v>
      </c>
      <c r="R1148" t="b">
        <f>AND(ISNUMBER(FIND($E1148,Tables!$I$2)), ISNUMBER(FIND($D1148,Tables!$J$2)), $E1148&lt;&gt;"")</f>
        <v>0</v>
      </c>
    </row>
    <row r="1149" spans="1:18" x14ac:dyDescent="0.3">
      <c r="A1149">
        <f t="shared" si="91"/>
        <v>1132</v>
      </c>
      <c r="B1149" s="4"/>
      <c r="I1149" s="8"/>
      <c r="J1149" s="5" t="str">
        <f t="shared" si="89"/>
        <v/>
      </c>
      <c r="K1149" s="3"/>
      <c r="L1149" s="3" t="str">
        <f t="shared" si="93"/>
        <v/>
      </c>
      <c r="N1149" s="3" t="str">
        <f t="shared" si="92"/>
        <v/>
      </c>
      <c r="O1149" s="6" t="str">
        <f t="shared" si="90"/>
        <v/>
      </c>
      <c r="P1149" s="7">
        <f ca="1">SUMIFS($N$2:$N1149,$B$2:$B1149,"&lt;&gt;"&amp;B1149)+SUM($Q$2:$Q1149)</f>
        <v>135.05500000000001</v>
      </c>
      <c r="R1149" t="b">
        <f>AND(ISNUMBER(FIND($E1149,Tables!$I$2)), ISNUMBER(FIND($D1149,Tables!$J$2)), $E1149&lt;&gt;"")</f>
        <v>0</v>
      </c>
    </row>
    <row r="1150" spans="1:18" x14ac:dyDescent="0.3">
      <c r="A1150">
        <f t="shared" si="91"/>
        <v>1133</v>
      </c>
      <c r="B1150" s="4"/>
      <c r="I1150" s="8"/>
      <c r="J1150" s="5" t="str">
        <f t="shared" si="89"/>
        <v/>
      </c>
      <c r="K1150" s="3"/>
      <c r="L1150" s="3" t="str">
        <f t="shared" si="93"/>
        <v/>
      </c>
      <c r="N1150" s="3" t="str">
        <f t="shared" si="92"/>
        <v/>
      </c>
      <c r="O1150" s="6" t="str">
        <f t="shared" si="90"/>
        <v/>
      </c>
      <c r="P1150" s="7">
        <f ca="1">SUMIFS($N$2:$N1150,$B$2:$B1150,"&lt;&gt;"&amp;B1150)+SUM($Q$2:$Q1150)</f>
        <v>135.05500000000001</v>
      </c>
      <c r="R1150" t="b">
        <f>AND(ISNUMBER(FIND($E1150,Tables!$I$2)), ISNUMBER(FIND($D1150,Tables!$J$2)), $E1150&lt;&gt;"")</f>
        <v>0</v>
      </c>
    </row>
    <row r="1151" spans="1:18" x14ac:dyDescent="0.3">
      <c r="A1151">
        <f t="shared" si="91"/>
        <v>1134</v>
      </c>
      <c r="B1151" s="4"/>
      <c r="I1151" s="8"/>
      <c r="J1151" s="5" t="str">
        <f t="shared" si="89"/>
        <v/>
      </c>
      <c r="K1151" s="3"/>
      <c r="L1151" s="3" t="str">
        <f t="shared" si="93"/>
        <v/>
      </c>
      <c r="N1151" s="3" t="str">
        <f t="shared" si="92"/>
        <v/>
      </c>
      <c r="O1151" s="6" t="str">
        <f t="shared" si="90"/>
        <v/>
      </c>
      <c r="P1151" s="7">
        <f ca="1">SUMIFS($N$2:$N1151,$B$2:$B1151,"&lt;&gt;"&amp;B1151)+SUM($Q$2:$Q1151)</f>
        <v>135.05500000000001</v>
      </c>
      <c r="R1151" t="b">
        <f>AND(ISNUMBER(FIND($E1151,Tables!$I$2)), ISNUMBER(FIND($D1151,Tables!$J$2)), $E1151&lt;&gt;"")</f>
        <v>0</v>
      </c>
    </row>
    <row r="1152" spans="1:18" x14ac:dyDescent="0.3">
      <c r="A1152">
        <f t="shared" si="91"/>
        <v>1135</v>
      </c>
      <c r="B1152" s="4"/>
      <c r="I1152" s="8"/>
      <c r="J1152" s="5" t="str">
        <f t="shared" si="89"/>
        <v/>
      </c>
      <c r="K1152" s="3"/>
      <c r="L1152" s="3" t="str">
        <f t="shared" si="93"/>
        <v/>
      </c>
      <c r="N1152" s="3" t="str">
        <f t="shared" si="92"/>
        <v/>
      </c>
      <c r="O1152" s="6" t="str">
        <f t="shared" si="90"/>
        <v/>
      </c>
      <c r="P1152" s="7">
        <f ca="1">SUMIFS($N$2:$N1152,$B$2:$B1152,"&lt;&gt;"&amp;B1152)+SUM($Q$2:$Q1152)</f>
        <v>135.05500000000001</v>
      </c>
      <c r="R1152" t="b">
        <f>AND(ISNUMBER(FIND($E1152,Tables!$I$2)), ISNUMBER(FIND($D1152,Tables!$J$2)), $E1152&lt;&gt;"")</f>
        <v>0</v>
      </c>
    </row>
    <row r="1153" spans="1:18" x14ac:dyDescent="0.3">
      <c r="A1153">
        <f t="shared" si="91"/>
        <v>1136</v>
      </c>
      <c r="B1153" s="4"/>
      <c r="I1153" s="8"/>
      <c r="J1153" s="5" t="str">
        <f t="shared" si="89"/>
        <v/>
      </c>
      <c r="K1153" s="3"/>
      <c r="L1153" s="3" t="str">
        <f t="shared" si="93"/>
        <v/>
      </c>
      <c r="N1153" s="3" t="str">
        <f t="shared" si="92"/>
        <v/>
      </c>
      <c r="O1153" s="6" t="str">
        <f t="shared" si="90"/>
        <v/>
      </c>
      <c r="P1153" s="7">
        <f ca="1">SUMIFS($N$2:$N1153,$B$2:$B1153,"&lt;&gt;"&amp;B1153)+SUM($Q$2:$Q1153)</f>
        <v>135.05500000000001</v>
      </c>
      <c r="R1153" t="b">
        <f>AND(ISNUMBER(FIND($E1153,Tables!$I$2)), ISNUMBER(FIND($D1153,Tables!$J$2)), $E1153&lt;&gt;"")</f>
        <v>0</v>
      </c>
    </row>
    <row r="1154" spans="1:18" x14ac:dyDescent="0.3">
      <c r="A1154">
        <f t="shared" si="91"/>
        <v>1137</v>
      </c>
      <c r="B1154" s="4"/>
      <c r="I1154" s="8"/>
      <c r="J1154" s="5" t="str">
        <f t="shared" ref="J1154:J1217" si="94">IF(I1154="", "", IF(I1154&gt;0, I1154/100 +1, -100/I1154 +1))</f>
        <v/>
      </c>
      <c r="K1154" s="3"/>
      <c r="L1154" s="3" t="str">
        <f t="shared" si="93"/>
        <v/>
      </c>
      <c r="N1154" s="3" t="str">
        <f t="shared" si="92"/>
        <v/>
      </c>
      <c r="O1154" s="6" t="str">
        <f t="shared" ref="O1154:O1217" si="95">IFERROR(K1154/VLOOKUP(_xlfn.MINIFS(A:A,B:B,B1154,C:C,C1154),A:P,16),"")</f>
        <v/>
      </c>
      <c r="P1154" s="7">
        <f ca="1">SUMIFS($N$2:$N1154,$B$2:$B1154,"&lt;&gt;"&amp;B1154)+SUM($Q$2:$Q1154)</f>
        <v>135.05500000000001</v>
      </c>
      <c r="R1154" t="b">
        <f>AND(ISNUMBER(FIND($E1154,Tables!$I$2)), ISNUMBER(FIND($D1154,Tables!$J$2)), $E1154&lt;&gt;"")</f>
        <v>0</v>
      </c>
    </row>
    <row r="1155" spans="1:18" x14ac:dyDescent="0.3">
      <c r="A1155">
        <f t="shared" si="91"/>
        <v>1138</v>
      </c>
      <c r="B1155" s="4"/>
      <c r="I1155" s="8"/>
      <c r="J1155" s="5" t="str">
        <f t="shared" si="94"/>
        <v/>
      </c>
      <c r="K1155" s="3"/>
      <c r="L1155" s="3" t="str">
        <f t="shared" si="93"/>
        <v/>
      </c>
      <c r="N1155" s="3" t="str">
        <f t="shared" si="92"/>
        <v/>
      </c>
      <c r="O1155" s="6" t="str">
        <f t="shared" si="95"/>
        <v/>
      </c>
      <c r="P1155" s="7">
        <f ca="1">SUMIFS($N$2:$N1155,$B$2:$B1155,"&lt;&gt;"&amp;B1155)+SUM($Q$2:$Q1155)</f>
        <v>135.05500000000001</v>
      </c>
      <c r="R1155" t="b">
        <f>AND(ISNUMBER(FIND($E1155,Tables!$I$2)), ISNUMBER(FIND($D1155,Tables!$J$2)), $E1155&lt;&gt;"")</f>
        <v>0</v>
      </c>
    </row>
    <row r="1156" spans="1:18" x14ac:dyDescent="0.3">
      <c r="A1156">
        <f t="shared" si="91"/>
        <v>1139</v>
      </c>
      <c r="B1156" s="4"/>
      <c r="I1156" s="8"/>
      <c r="J1156" s="5" t="str">
        <f t="shared" si="94"/>
        <v/>
      </c>
      <c r="K1156" s="3"/>
      <c r="L1156" s="3" t="str">
        <f t="shared" si="93"/>
        <v/>
      </c>
      <c r="N1156" s="3" t="str">
        <f t="shared" si="92"/>
        <v/>
      </c>
      <c r="O1156" s="6" t="str">
        <f t="shared" si="95"/>
        <v/>
      </c>
      <c r="P1156" s="7">
        <f ca="1">SUMIFS($N$2:$N1156,$B$2:$B1156,"&lt;&gt;"&amp;B1156)+SUM($Q$2:$Q1156)</f>
        <v>135.05500000000001</v>
      </c>
      <c r="R1156" t="b">
        <f>AND(ISNUMBER(FIND($E1156,Tables!$I$2)), ISNUMBER(FIND($D1156,Tables!$J$2)), $E1156&lt;&gt;"")</f>
        <v>0</v>
      </c>
    </row>
    <row r="1157" spans="1:18" x14ac:dyDescent="0.3">
      <c r="A1157">
        <f t="shared" si="91"/>
        <v>1140</v>
      </c>
      <c r="B1157" s="4"/>
      <c r="I1157" s="8"/>
      <c r="J1157" s="5" t="str">
        <f t="shared" si="94"/>
        <v/>
      </c>
      <c r="K1157" s="3"/>
      <c r="L1157" s="3" t="str">
        <f t="shared" si="93"/>
        <v/>
      </c>
      <c r="N1157" s="3" t="str">
        <f t="shared" si="92"/>
        <v/>
      </c>
      <c r="O1157" s="6" t="str">
        <f t="shared" si="95"/>
        <v/>
      </c>
      <c r="P1157" s="7">
        <f ca="1">SUMIFS($N$2:$N1157,$B$2:$B1157,"&lt;&gt;"&amp;B1157)+SUM($Q$2:$Q1157)</f>
        <v>135.05500000000001</v>
      </c>
      <c r="R1157" t="b">
        <f>AND(ISNUMBER(FIND($E1157,Tables!$I$2)), ISNUMBER(FIND($D1157,Tables!$J$2)), $E1157&lt;&gt;"")</f>
        <v>0</v>
      </c>
    </row>
    <row r="1158" spans="1:18" x14ac:dyDescent="0.3">
      <c r="A1158">
        <f t="shared" si="91"/>
        <v>1141</v>
      </c>
      <c r="B1158" s="4"/>
      <c r="I1158" s="8"/>
      <c r="J1158" s="5" t="str">
        <f t="shared" si="94"/>
        <v/>
      </c>
      <c r="K1158" s="3"/>
      <c r="L1158" s="3" t="str">
        <f t="shared" si="93"/>
        <v/>
      </c>
      <c r="N1158" s="3" t="str">
        <f t="shared" si="92"/>
        <v/>
      </c>
      <c r="O1158" s="6" t="str">
        <f t="shared" si="95"/>
        <v/>
      </c>
      <c r="P1158" s="7">
        <f ca="1">SUMIFS($N$2:$N1158,$B$2:$B1158,"&lt;&gt;"&amp;B1158)+SUM($Q$2:$Q1158)</f>
        <v>135.05500000000001</v>
      </c>
      <c r="R1158" t="b">
        <f>AND(ISNUMBER(FIND($E1158,Tables!$I$2)), ISNUMBER(FIND($D1158,Tables!$J$2)), $E1158&lt;&gt;"")</f>
        <v>0</v>
      </c>
    </row>
    <row r="1159" spans="1:18" x14ac:dyDescent="0.3">
      <c r="A1159">
        <f t="shared" si="91"/>
        <v>1142</v>
      </c>
      <c r="B1159" s="4"/>
      <c r="I1159" s="8"/>
      <c r="J1159" s="5" t="str">
        <f t="shared" si="94"/>
        <v/>
      </c>
      <c r="K1159" s="3"/>
      <c r="L1159" s="3" t="str">
        <f t="shared" si="93"/>
        <v/>
      </c>
      <c r="N1159" s="3" t="str">
        <f t="shared" si="92"/>
        <v/>
      </c>
      <c r="O1159" s="6" t="str">
        <f t="shared" si="95"/>
        <v/>
      </c>
      <c r="P1159" s="7">
        <f ca="1">SUMIFS($N$2:$N1159,$B$2:$B1159,"&lt;&gt;"&amp;B1159)+SUM($Q$2:$Q1159)</f>
        <v>135.05500000000001</v>
      </c>
      <c r="R1159" t="b">
        <f>AND(ISNUMBER(FIND($E1159,Tables!$I$2)), ISNUMBER(FIND($D1159,Tables!$J$2)), $E1159&lt;&gt;"")</f>
        <v>0</v>
      </c>
    </row>
    <row r="1160" spans="1:18" x14ac:dyDescent="0.3">
      <c r="A1160">
        <f t="shared" si="91"/>
        <v>1143</v>
      </c>
      <c r="B1160" s="4"/>
      <c r="I1160" s="8"/>
      <c r="J1160" s="5" t="str">
        <f t="shared" si="94"/>
        <v/>
      </c>
      <c r="K1160" s="3"/>
      <c r="L1160" s="3" t="str">
        <f t="shared" si="93"/>
        <v/>
      </c>
      <c r="N1160" s="3" t="str">
        <f t="shared" si="92"/>
        <v/>
      </c>
      <c r="O1160" s="6" t="str">
        <f t="shared" si="95"/>
        <v/>
      </c>
      <c r="P1160" s="7">
        <f ca="1">SUMIFS($N$2:$N1160,$B$2:$B1160,"&lt;&gt;"&amp;B1160)+SUM($Q$2:$Q1160)</f>
        <v>135.05500000000001</v>
      </c>
      <c r="R1160" t="b">
        <f>AND(ISNUMBER(FIND($E1160,Tables!$I$2)), ISNUMBER(FIND($D1160,Tables!$J$2)), $E1160&lt;&gt;"")</f>
        <v>0</v>
      </c>
    </row>
    <row r="1161" spans="1:18" x14ac:dyDescent="0.3">
      <c r="A1161">
        <f t="shared" si="91"/>
        <v>1144</v>
      </c>
      <c r="B1161" s="4"/>
      <c r="I1161" s="8"/>
      <c r="J1161" s="5" t="str">
        <f t="shared" si="94"/>
        <v/>
      </c>
      <c r="K1161" s="3"/>
      <c r="L1161" s="3" t="str">
        <f t="shared" si="93"/>
        <v/>
      </c>
      <c r="N1161" s="3" t="str">
        <f t="shared" si="92"/>
        <v/>
      </c>
      <c r="O1161" s="6" t="str">
        <f t="shared" si="95"/>
        <v/>
      </c>
      <c r="P1161" s="7">
        <f ca="1">SUMIFS($N$2:$N1161,$B$2:$B1161,"&lt;&gt;"&amp;B1161)+SUM($Q$2:$Q1161)</f>
        <v>135.05500000000001</v>
      </c>
      <c r="R1161" t="b">
        <f>AND(ISNUMBER(FIND($E1161,Tables!$I$2)), ISNUMBER(FIND($D1161,Tables!$J$2)), $E1161&lt;&gt;"")</f>
        <v>0</v>
      </c>
    </row>
    <row r="1162" spans="1:18" x14ac:dyDescent="0.3">
      <c r="A1162">
        <f t="shared" si="91"/>
        <v>1145</v>
      </c>
      <c r="B1162" s="4"/>
      <c r="I1162" s="8"/>
      <c r="J1162" s="5" t="str">
        <f t="shared" si="94"/>
        <v/>
      </c>
      <c r="K1162" s="3"/>
      <c r="L1162" s="3" t="str">
        <f t="shared" si="93"/>
        <v/>
      </c>
      <c r="N1162" s="3" t="str">
        <f t="shared" si="92"/>
        <v/>
      </c>
      <c r="O1162" s="6" t="str">
        <f t="shared" si="95"/>
        <v/>
      </c>
      <c r="P1162" s="7">
        <f ca="1">SUMIFS($N$2:$N1162,$B$2:$B1162,"&lt;&gt;"&amp;B1162)+SUM($Q$2:$Q1162)</f>
        <v>135.05500000000001</v>
      </c>
      <c r="R1162" t="b">
        <f>AND(ISNUMBER(FIND($E1162,Tables!$I$2)), ISNUMBER(FIND($D1162,Tables!$J$2)), $E1162&lt;&gt;"")</f>
        <v>0</v>
      </c>
    </row>
    <row r="1163" spans="1:18" x14ac:dyDescent="0.3">
      <c r="A1163">
        <f t="shared" si="91"/>
        <v>1146</v>
      </c>
      <c r="B1163" s="4"/>
      <c r="I1163" s="8"/>
      <c r="J1163" s="5" t="str">
        <f t="shared" si="94"/>
        <v/>
      </c>
      <c r="K1163" s="3"/>
      <c r="L1163" s="3" t="str">
        <f t="shared" si="93"/>
        <v/>
      </c>
      <c r="N1163" s="3" t="str">
        <f t="shared" si="92"/>
        <v/>
      </c>
      <c r="O1163" s="6" t="str">
        <f t="shared" si="95"/>
        <v/>
      </c>
      <c r="P1163" s="7">
        <f ca="1">SUMIFS($N$2:$N1163,$B$2:$B1163,"&lt;&gt;"&amp;B1163)+SUM($Q$2:$Q1163)</f>
        <v>135.05500000000001</v>
      </c>
      <c r="R1163" t="b">
        <f>AND(ISNUMBER(FIND($E1163,Tables!$I$2)), ISNUMBER(FIND($D1163,Tables!$J$2)), $E1163&lt;&gt;"")</f>
        <v>0</v>
      </c>
    </row>
    <row r="1164" spans="1:18" x14ac:dyDescent="0.3">
      <c r="A1164">
        <f t="shared" si="91"/>
        <v>1147</v>
      </c>
      <c r="B1164" s="4"/>
      <c r="I1164" s="8"/>
      <c r="J1164" s="5" t="str">
        <f t="shared" si="94"/>
        <v/>
      </c>
      <c r="K1164" s="3"/>
      <c r="L1164" s="3" t="str">
        <f t="shared" si="93"/>
        <v/>
      </c>
      <c r="N1164" s="3" t="str">
        <f t="shared" si="92"/>
        <v/>
      </c>
      <c r="O1164" s="6" t="str">
        <f t="shared" si="95"/>
        <v/>
      </c>
      <c r="P1164" s="7">
        <f ca="1">SUMIFS($N$2:$N1164,$B$2:$B1164,"&lt;&gt;"&amp;B1164)+SUM($Q$2:$Q1164)</f>
        <v>135.05500000000001</v>
      </c>
      <c r="R1164" t="b">
        <f>AND(ISNUMBER(FIND($E1164,Tables!$I$2)), ISNUMBER(FIND($D1164,Tables!$J$2)), $E1164&lt;&gt;"")</f>
        <v>0</v>
      </c>
    </row>
    <row r="1165" spans="1:18" x14ac:dyDescent="0.3">
      <c r="A1165">
        <f t="shared" si="91"/>
        <v>1148</v>
      </c>
      <c r="B1165" s="4"/>
      <c r="I1165" s="8"/>
      <c r="J1165" s="5" t="str">
        <f t="shared" si="94"/>
        <v/>
      </c>
      <c r="K1165" s="3"/>
      <c r="L1165" s="3" t="str">
        <f t="shared" si="93"/>
        <v/>
      </c>
      <c r="N1165" s="3" t="str">
        <f t="shared" si="92"/>
        <v/>
      </c>
      <c r="O1165" s="6" t="str">
        <f t="shared" si="95"/>
        <v/>
      </c>
      <c r="P1165" s="7">
        <f ca="1">SUMIFS($N$2:$N1165,$B$2:$B1165,"&lt;&gt;"&amp;B1165)+SUM($Q$2:$Q1165)</f>
        <v>135.05500000000001</v>
      </c>
      <c r="R1165" t="b">
        <f>AND(ISNUMBER(FIND($E1165,Tables!$I$2)), ISNUMBER(FIND($D1165,Tables!$J$2)), $E1165&lt;&gt;"")</f>
        <v>0</v>
      </c>
    </row>
    <row r="1166" spans="1:18" x14ac:dyDescent="0.3">
      <c r="A1166">
        <f t="shared" si="91"/>
        <v>1149</v>
      </c>
      <c r="B1166" s="4"/>
      <c r="I1166" s="8"/>
      <c r="J1166" s="5" t="str">
        <f t="shared" si="94"/>
        <v/>
      </c>
      <c r="K1166" s="3"/>
      <c r="L1166" s="3" t="str">
        <f t="shared" si="93"/>
        <v/>
      </c>
      <c r="N1166" s="3" t="str">
        <f t="shared" si="92"/>
        <v/>
      </c>
      <c r="O1166" s="6" t="str">
        <f t="shared" si="95"/>
        <v/>
      </c>
      <c r="P1166" s="7">
        <f ca="1">SUMIFS($N$2:$N1166,$B$2:$B1166,"&lt;&gt;"&amp;B1166)+SUM($Q$2:$Q1166)</f>
        <v>135.05500000000001</v>
      </c>
      <c r="R1166" t="b">
        <f>AND(ISNUMBER(FIND($E1166,Tables!$I$2)), ISNUMBER(FIND($D1166,Tables!$J$2)), $E1166&lt;&gt;"")</f>
        <v>0</v>
      </c>
    </row>
    <row r="1167" spans="1:18" x14ac:dyDescent="0.3">
      <c r="A1167">
        <f t="shared" si="91"/>
        <v>1150</v>
      </c>
      <c r="B1167" s="4"/>
      <c r="I1167" s="8"/>
      <c r="J1167" s="5" t="str">
        <f t="shared" si="94"/>
        <v/>
      </c>
      <c r="K1167" s="3"/>
      <c r="L1167" s="3" t="str">
        <f t="shared" si="93"/>
        <v/>
      </c>
      <c r="N1167" s="3" t="str">
        <f t="shared" si="92"/>
        <v/>
      </c>
      <c r="O1167" s="6" t="str">
        <f t="shared" si="95"/>
        <v/>
      </c>
      <c r="P1167" s="7">
        <f ca="1">SUMIFS($N$2:$N1167,$B$2:$B1167,"&lt;&gt;"&amp;B1167)+SUM($Q$2:$Q1167)</f>
        <v>135.05500000000001</v>
      </c>
      <c r="R1167" t="b">
        <f>AND(ISNUMBER(FIND($E1167,Tables!$I$2)), ISNUMBER(FIND($D1167,Tables!$J$2)), $E1167&lt;&gt;"")</f>
        <v>0</v>
      </c>
    </row>
    <row r="1168" spans="1:18" x14ac:dyDescent="0.3">
      <c r="A1168">
        <f t="shared" si="91"/>
        <v>1151</v>
      </c>
      <c r="B1168" s="4"/>
      <c r="I1168" s="8"/>
      <c r="J1168" s="5" t="str">
        <f t="shared" si="94"/>
        <v/>
      </c>
      <c r="K1168" s="3"/>
      <c r="L1168" s="3" t="str">
        <f t="shared" si="93"/>
        <v/>
      </c>
      <c r="N1168" s="3" t="str">
        <f t="shared" si="92"/>
        <v/>
      </c>
      <c r="O1168" s="6" t="str">
        <f t="shared" si="95"/>
        <v/>
      </c>
      <c r="P1168" s="7">
        <f ca="1">SUMIFS($N$2:$N1168,$B$2:$B1168,"&lt;&gt;"&amp;B1168)+SUM($Q$2:$Q1168)</f>
        <v>135.05500000000001</v>
      </c>
      <c r="R1168" t="b">
        <f>AND(ISNUMBER(FIND($E1168,Tables!$I$2)), ISNUMBER(FIND($D1168,Tables!$J$2)), $E1168&lt;&gt;"")</f>
        <v>0</v>
      </c>
    </row>
    <row r="1169" spans="1:18" x14ac:dyDescent="0.3">
      <c r="A1169">
        <f t="shared" si="91"/>
        <v>1152</v>
      </c>
      <c r="B1169" s="4"/>
      <c r="I1169" s="8"/>
      <c r="J1169" s="5" t="str">
        <f t="shared" si="94"/>
        <v/>
      </c>
      <c r="K1169" s="3"/>
      <c r="L1169" s="3" t="str">
        <f t="shared" si="93"/>
        <v/>
      </c>
      <c r="N1169" s="3" t="str">
        <f t="shared" si="92"/>
        <v/>
      </c>
      <c r="O1169" s="6" t="str">
        <f t="shared" si="95"/>
        <v/>
      </c>
      <c r="P1169" s="7">
        <f ca="1">SUMIFS($N$2:$N1169,$B$2:$B1169,"&lt;&gt;"&amp;B1169)+SUM($Q$2:$Q1169)</f>
        <v>135.05500000000001</v>
      </c>
      <c r="R1169" t="b">
        <f>AND(ISNUMBER(FIND($E1169,Tables!$I$2)), ISNUMBER(FIND($D1169,Tables!$J$2)), $E1169&lt;&gt;"")</f>
        <v>0</v>
      </c>
    </row>
    <row r="1170" spans="1:18" x14ac:dyDescent="0.3">
      <c r="A1170">
        <f t="shared" si="91"/>
        <v>1153</v>
      </c>
      <c r="B1170" s="4"/>
      <c r="I1170" s="8"/>
      <c r="J1170" s="5" t="str">
        <f t="shared" si="94"/>
        <v/>
      </c>
      <c r="K1170" s="3"/>
      <c r="L1170" s="3" t="str">
        <f t="shared" si="93"/>
        <v/>
      </c>
      <c r="N1170" s="3" t="str">
        <f t="shared" si="92"/>
        <v/>
      </c>
      <c r="O1170" s="6" t="str">
        <f t="shared" si="95"/>
        <v/>
      </c>
      <c r="P1170" s="7">
        <f ca="1">SUMIFS($N$2:$N1170,$B$2:$B1170,"&lt;&gt;"&amp;B1170)+SUM($Q$2:$Q1170)</f>
        <v>135.05500000000001</v>
      </c>
      <c r="R1170" t="b">
        <f>AND(ISNUMBER(FIND($E1170,Tables!$I$2)), ISNUMBER(FIND($D1170,Tables!$J$2)), $E1170&lt;&gt;"")</f>
        <v>0</v>
      </c>
    </row>
    <row r="1171" spans="1:18" x14ac:dyDescent="0.3">
      <c r="A1171">
        <f t="shared" si="91"/>
        <v>1154</v>
      </c>
      <c r="B1171" s="4"/>
      <c r="I1171" s="8"/>
      <c r="J1171" s="5" t="str">
        <f t="shared" si="94"/>
        <v/>
      </c>
      <c r="K1171" s="3"/>
      <c r="L1171" s="3" t="str">
        <f t="shared" si="93"/>
        <v/>
      </c>
      <c r="N1171" s="3" t="str">
        <f t="shared" si="92"/>
        <v/>
      </c>
      <c r="O1171" s="6" t="str">
        <f t="shared" si="95"/>
        <v/>
      </c>
      <c r="P1171" s="7">
        <f ca="1">SUMIFS($N$2:$N1171,$B$2:$B1171,"&lt;&gt;"&amp;B1171)+SUM($Q$2:$Q1171)</f>
        <v>135.05500000000001</v>
      </c>
      <c r="R1171" t="b">
        <f>AND(ISNUMBER(FIND($E1171,Tables!$I$2)), ISNUMBER(FIND($D1171,Tables!$J$2)), $E1171&lt;&gt;"")</f>
        <v>0</v>
      </c>
    </row>
    <row r="1172" spans="1:18" x14ac:dyDescent="0.3">
      <c r="A1172">
        <f t="shared" si="91"/>
        <v>1155</v>
      </c>
      <c r="B1172" s="4"/>
      <c r="I1172" s="8"/>
      <c r="J1172" s="5" t="str">
        <f t="shared" si="94"/>
        <v/>
      </c>
      <c r="K1172" s="3"/>
      <c r="L1172" s="3" t="str">
        <f t="shared" si="93"/>
        <v/>
      </c>
      <c r="N1172" s="3" t="str">
        <f t="shared" si="92"/>
        <v/>
      </c>
      <c r="O1172" s="6" t="str">
        <f t="shared" si="95"/>
        <v/>
      </c>
      <c r="P1172" s="7">
        <f ca="1">SUMIFS($N$2:$N1172,$B$2:$B1172,"&lt;&gt;"&amp;B1172)+SUM($Q$2:$Q1172)</f>
        <v>135.05500000000001</v>
      </c>
      <c r="R1172" t="b">
        <f>AND(ISNUMBER(FIND($E1172,Tables!$I$2)), ISNUMBER(FIND($D1172,Tables!$J$2)), $E1172&lt;&gt;"")</f>
        <v>0</v>
      </c>
    </row>
    <row r="1173" spans="1:18" x14ac:dyDescent="0.3">
      <c r="A1173">
        <f t="shared" si="91"/>
        <v>1156</v>
      </c>
      <c r="B1173" s="4"/>
      <c r="I1173" s="8"/>
      <c r="J1173" s="5" t="str">
        <f t="shared" si="94"/>
        <v/>
      </c>
      <c r="K1173" s="3"/>
      <c r="L1173" s="3" t="str">
        <f t="shared" si="93"/>
        <v/>
      </c>
      <c r="N1173" s="3" t="str">
        <f t="shared" si="92"/>
        <v/>
      </c>
      <c r="O1173" s="6" t="str">
        <f t="shared" si="95"/>
        <v/>
      </c>
      <c r="P1173" s="7">
        <f ca="1">SUMIFS($N$2:$N1173,$B$2:$B1173,"&lt;&gt;"&amp;B1173)+SUM($Q$2:$Q1173)</f>
        <v>135.05500000000001</v>
      </c>
      <c r="R1173" t="b">
        <f>AND(ISNUMBER(FIND($E1173,Tables!$I$2)), ISNUMBER(FIND($D1173,Tables!$J$2)), $E1173&lt;&gt;"")</f>
        <v>0</v>
      </c>
    </row>
    <row r="1174" spans="1:18" x14ac:dyDescent="0.3">
      <c r="A1174">
        <f t="shared" si="91"/>
        <v>1157</v>
      </c>
      <c r="B1174" s="4"/>
      <c r="I1174" s="8"/>
      <c r="J1174" s="5" t="str">
        <f t="shared" si="94"/>
        <v/>
      </c>
      <c r="K1174" s="3"/>
      <c r="L1174" s="3" t="str">
        <f t="shared" si="93"/>
        <v/>
      </c>
      <c r="N1174" s="3" t="str">
        <f t="shared" si="92"/>
        <v/>
      </c>
      <c r="O1174" s="6" t="str">
        <f t="shared" si="95"/>
        <v/>
      </c>
      <c r="P1174" s="7">
        <f ca="1">SUMIFS($N$2:$N1174,$B$2:$B1174,"&lt;&gt;"&amp;B1174)+SUM($Q$2:$Q1174)</f>
        <v>135.05500000000001</v>
      </c>
      <c r="R1174" t="b">
        <f>AND(ISNUMBER(FIND($E1174,Tables!$I$2)), ISNUMBER(FIND($D1174,Tables!$J$2)), $E1174&lt;&gt;"")</f>
        <v>0</v>
      </c>
    </row>
    <row r="1175" spans="1:18" x14ac:dyDescent="0.3">
      <c r="A1175">
        <f t="shared" si="91"/>
        <v>1158</v>
      </c>
      <c r="B1175" s="4"/>
      <c r="I1175" s="8"/>
      <c r="J1175" s="5" t="str">
        <f t="shared" si="94"/>
        <v/>
      </c>
      <c r="K1175" s="3"/>
      <c r="L1175" s="3" t="str">
        <f t="shared" si="93"/>
        <v/>
      </c>
      <c r="N1175" s="3" t="str">
        <f t="shared" si="92"/>
        <v/>
      </c>
      <c r="O1175" s="6" t="str">
        <f t="shared" si="95"/>
        <v/>
      </c>
      <c r="P1175" s="7">
        <f ca="1">SUMIFS($N$2:$N1175,$B$2:$B1175,"&lt;&gt;"&amp;B1175)+SUM($Q$2:$Q1175)</f>
        <v>135.05500000000001</v>
      </c>
      <c r="R1175" t="b">
        <f>AND(ISNUMBER(FIND($E1175,Tables!$I$2)), ISNUMBER(FIND($D1175,Tables!$J$2)), $E1175&lt;&gt;"")</f>
        <v>0</v>
      </c>
    </row>
    <row r="1176" spans="1:18" x14ac:dyDescent="0.3">
      <c r="A1176">
        <f t="shared" si="91"/>
        <v>1159</v>
      </c>
      <c r="B1176" s="4"/>
      <c r="I1176" s="8"/>
      <c r="J1176" s="5" t="str">
        <f t="shared" si="94"/>
        <v/>
      </c>
      <c r="K1176" s="3"/>
      <c r="L1176" s="3" t="str">
        <f t="shared" si="93"/>
        <v/>
      </c>
      <c r="N1176" s="3" t="str">
        <f t="shared" si="92"/>
        <v/>
      </c>
      <c r="O1176" s="6" t="str">
        <f t="shared" si="95"/>
        <v/>
      </c>
      <c r="P1176" s="7">
        <f ca="1">SUMIFS($N$2:$N1176,$B$2:$B1176,"&lt;&gt;"&amp;B1176)+SUM($Q$2:$Q1176)</f>
        <v>135.05500000000001</v>
      </c>
      <c r="R1176" t="b">
        <f>AND(ISNUMBER(FIND($E1176,Tables!$I$2)), ISNUMBER(FIND($D1176,Tables!$J$2)), $E1176&lt;&gt;"")</f>
        <v>0</v>
      </c>
    </row>
    <row r="1177" spans="1:18" x14ac:dyDescent="0.3">
      <c r="A1177">
        <f t="shared" si="91"/>
        <v>1160</v>
      </c>
      <c r="B1177" s="4"/>
      <c r="I1177" s="8"/>
      <c r="J1177" s="5" t="str">
        <f t="shared" si="94"/>
        <v/>
      </c>
      <c r="K1177" s="3"/>
      <c r="L1177" s="3" t="str">
        <f t="shared" si="93"/>
        <v/>
      </c>
      <c r="N1177" s="3" t="str">
        <f t="shared" si="92"/>
        <v/>
      </c>
      <c r="O1177" s="6" t="str">
        <f t="shared" si="95"/>
        <v/>
      </c>
      <c r="P1177" s="7">
        <f ca="1">SUMIFS($N$2:$N1177,$B$2:$B1177,"&lt;&gt;"&amp;B1177)+SUM($Q$2:$Q1177)</f>
        <v>135.05500000000001</v>
      </c>
      <c r="R1177" t="b">
        <f>AND(ISNUMBER(FIND($E1177,Tables!$I$2)), ISNUMBER(FIND($D1177,Tables!$J$2)), $E1177&lt;&gt;"")</f>
        <v>0</v>
      </c>
    </row>
    <row r="1178" spans="1:18" x14ac:dyDescent="0.3">
      <c r="A1178">
        <f t="shared" si="91"/>
        <v>1161</v>
      </c>
      <c r="B1178" s="4"/>
      <c r="I1178" s="8"/>
      <c r="J1178" s="5" t="str">
        <f t="shared" si="94"/>
        <v/>
      </c>
      <c r="K1178" s="3"/>
      <c r="L1178" s="3" t="str">
        <f t="shared" si="93"/>
        <v/>
      </c>
      <c r="N1178" s="3" t="str">
        <f t="shared" si="92"/>
        <v/>
      </c>
      <c r="O1178" s="6" t="str">
        <f t="shared" si="95"/>
        <v/>
      </c>
      <c r="P1178" s="7">
        <f ca="1">SUMIFS($N$2:$N1178,$B$2:$B1178,"&lt;&gt;"&amp;B1178)+SUM($Q$2:$Q1178)</f>
        <v>135.05500000000001</v>
      </c>
      <c r="R1178" t="b">
        <f>AND(ISNUMBER(FIND($E1178,Tables!$I$2)), ISNUMBER(FIND($D1178,Tables!$J$2)), $E1178&lt;&gt;"")</f>
        <v>0</v>
      </c>
    </row>
    <row r="1179" spans="1:18" x14ac:dyDescent="0.3">
      <c r="A1179">
        <f t="shared" si="91"/>
        <v>1162</v>
      </c>
      <c r="B1179" s="4"/>
      <c r="I1179" s="8"/>
      <c r="J1179" s="5" t="str">
        <f t="shared" si="94"/>
        <v/>
      </c>
      <c r="K1179" s="3"/>
      <c r="L1179" s="3" t="str">
        <f t="shared" si="93"/>
        <v/>
      </c>
      <c r="N1179" s="3" t="str">
        <f t="shared" si="92"/>
        <v/>
      </c>
      <c r="O1179" s="6" t="str">
        <f t="shared" si="95"/>
        <v/>
      </c>
      <c r="P1179" s="7">
        <f ca="1">SUMIFS($N$2:$N1179,$B$2:$B1179,"&lt;&gt;"&amp;B1179)+SUM($Q$2:$Q1179)</f>
        <v>135.05500000000001</v>
      </c>
      <c r="R1179" t="b">
        <f>AND(ISNUMBER(FIND($E1179,Tables!$I$2)), ISNUMBER(FIND($D1179,Tables!$J$2)), $E1179&lt;&gt;"")</f>
        <v>0</v>
      </c>
    </row>
    <row r="1180" spans="1:18" x14ac:dyDescent="0.3">
      <c r="A1180">
        <f t="shared" si="91"/>
        <v>1163</v>
      </c>
      <c r="B1180" s="4"/>
      <c r="I1180" s="8"/>
      <c r="J1180" s="5" t="str">
        <f t="shared" si="94"/>
        <v/>
      </c>
      <c r="K1180" s="3"/>
      <c r="L1180" s="3" t="str">
        <f t="shared" si="93"/>
        <v/>
      </c>
      <c r="N1180" s="3" t="str">
        <f t="shared" si="92"/>
        <v/>
      </c>
      <c r="O1180" s="6" t="str">
        <f t="shared" si="95"/>
        <v/>
      </c>
      <c r="P1180" s="7">
        <f ca="1">SUMIFS($N$2:$N1180,$B$2:$B1180,"&lt;&gt;"&amp;B1180)+SUM($Q$2:$Q1180)</f>
        <v>135.05500000000001</v>
      </c>
      <c r="R1180" t="b">
        <f>AND(ISNUMBER(FIND($E1180,Tables!$I$2)), ISNUMBER(FIND($D1180,Tables!$J$2)), $E1180&lt;&gt;"")</f>
        <v>0</v>
      </c>
    </row>
    <row r="1181" spans="1:18" x14ac:dyDescent="0.3">
      <c r="A1181">
        <f t="shared" si="91"/>
        <v>1164</v>
      </c>
      <c r="B1181" s="4"/>
      <c r="I1181" s="8"/>
      <c r="J1181" s="5" t="str">
        <f t="shared" si="94"/>
        <v/>
      </c>
      <c r="K1181" s="3"/>
      <c r="L1181" s="3" t="str">
        <f t="shared" si="93"/>
        <v/>
      </c>
      <c r="N1181" s="3" t="str">
        <f t="shared" si="92"/>
        <v/>
      </c>
      <c r="O1181" s="6" t="str">
        <f t="shared" si="95"/>
        <v/>
      </c>
      <c r="P1181" s="7">
        <f ca="1">SUMIFS($N$2:$N1181,$B$2:$B1181,"&lt;&gt;"&amp;B1181)+SUM($Q$2:$Q1181)</f>
        <v>135.05500000000001</v>
      </c>
      <c r="R1181" t="b">
        <f>AND(ISNUMBER(FIND($E1181,Tables!$I$2)), ISNUMBER(FIND($D1181,Tables!$J$2)), $E1181&lt;&gt;"")</f>
        <v>0</v>
      </c>
    </row>
    <row r="1182" spans="1:18" x14ac:dyDescent="0.3">
      <c r="A1182">
        <f t="shared" si="91"/>
        <v>1165</v>
      </c>
      <c r="B1182" s="4"/>
      <c r="I1182" s="8"/>
      <c r="J1182" s="5" t="str">
        <f t="shared" si="94"/>
        <v/>
      </c>
      <c r="K1182" s="3"/>
      <c r="L1182" s="3" t="str">
        <f t="shared" si="93"/>
        <v/>
      </c>
      <c r="N1182" s="3" t="str">
        <f t="shared" si="92"/>
        <v/>
      </c>
      <c r="O1182" s="6" t="str">
        <f t="shared" si="95"/>
        <v/>
      </c>
      <c r="P1182" s="7">
        <f ca="1">SUMIFS($N$2:$N1182,$B$2:$B1182,"&lt;&gt;"&amp;B1182)+SUM($Q$2:$Q1182)</f>
        <v>135.05500000000001</v>
      </c>
      <c r="R1182" t="b">
        <f>AND(ISNUMBER(FIND($E1182,Tables!$I$2)), ISNUMBER(FIND($D1182,Tables!$J$2)), $E1182&lt;&gt;"")</f>
        <v>0</v>
      </c>
    </row>
    <row r="1183" spans="1:18" x14ac:dyDescent="0.3">
      <c r="A1183">
        <f t="shared" si="91"/>
        <v>1166</v>
      </c>
      <c r="B1183" s="4"/>
      <c r="I1183" s="8"/>
      <c r="J1183" s="5" t="str">
        <f t="shared" si="94"/>
        <v/>
      </c>
      <c r="K1183" s="3"/>
      <c r="L1183" s="3" t="str">
        <f t="shared" si="93"/>
        <v/>
      </c>
      <c r="N1183" s="3" t="str">
        <f t="shared" si="92"/>
        <v/>
      </c>
      <c r="O1183" s="6" t="str">
        <f t="shared" si="95"/>
        <v/>
      </c>
      <c r="P1183" s="7">
        <f ca="1">SUMIFS($N$2:$N1183,$B$2:$B1183,"&lt;&gt;"&amp;B1183)+SUM($Q$2:$Q1183)</f>
        <v>135.05500000000001</v>
      </c>
      <c r="R1183" t="b">
        <f>AND(ISNUMBER(FIND($E1183,Tables!$I$2)), ISNUMBER(FIND($D1183,Tables!$J$2)), $E1183&lt;&gt;"")</f>
        <v>0</v>
      </c>
    </row>
    <row r="1184" spans="1:18" x14ac:dyDescent="0.3">
      <c r="A1184">
        <f t="shared" si="91"/>
        <v>1167</v>
      </c>
      <c r="B1184" s="4"/>
      <c r="I1184" s="8"/>
      <c r="J1184" s="5" t="str">
        <f t="shared" si="94"/>
        <v/>
      </c>
      <c r="K1184" s="3"/>
      <c r="L1184" s="3" t="str">
        <f t="shared" si="93"/>
        <v/>
      </c>
      <c r="N1184" s="3" t="str">
        <f t="shared" si="92"/>
        <v/>
      </c>
      <c r="O1184" s="6" t="str">
        <f t="shared" si="95"/>
        <v/>
      </c>
      <c r="P1184" s="7">
        <f ca="1">SUMIFS($N$2:$N1184,$B$2:$B1184,"&lt;&gt;"&amp;B1184)+SUM($Q$2:$Q1184)</f>
        <v>135.05500000000001</v>
      </c>
      <c r="R1184" t="b">
        <f>AND(ISNUMBER(FIND($E1184,Tables!$I$2)), ISNUMBER(FIND($D1184,Tables!$J$2)), $E1184&lt;&gt;"")</f>
        <v>0</v>
      </c>
    </row>
    <row r="1185" spans="1:18" x14ac:dyDescent="0.3">
      <c r="A1185">
        <f t="shared" si="91"/>
        <v>1168</v>
      </c>
      <c r="B1185" s="4"/>
      <c r="I1185" s="8"/>
      <c r="J1185" s="5" t="str">
        <f t="shared" si="94"/>
        <v/>
      </c>
      <c r="K1185" s="3"/>
      <c r="L1185" s="3" t="str">
        <f t="shared" si="93"/>
        <v/>
      </c>
      <c r="N1185" s="3" t="str">
        <f t="shared" si="92"/>
        <v/>
      </c>
      <c r="O1185" s="6" t="str">
        <f t="shared" si="95"/>
        <v/>
      </c>
      <c r="P1185" s="7">
        <f ca="1">SUMIFS($N$2:$N1185,$B$2:$B1185,"&lt;&gt;"&amp;B1185)+SUM($Q$2:$Q1185)</f>
        <v>135.05500000000001</v>
      </c>
      <c r="R1185" t="b">
        <f>AND(ISNUMBER(FIND($E1185,Tables!$I$2)), ISNUMBER(FIND($D1185,Tables!$J$2)), $E1185&lt;&gt;"")</f>
        <v>0</v>
      </c>
    </row>
    <row r="1186" spans="1:18" x14ac:dyDescent="0.3">
      <c r="A1186">
        <f t="shared" ref="A1186:A1249" si="96">IF(AND(B1186="", D1186&lt;&gt;""), A1185, A1185+1)</f>
        <v>1169</v>
      </c>
      <c r="B1186" s="4"/>
      <c r="I1186" s="8"/>
      <c r="J1186" s="5" t="str">
        <f t="shared" si="94"/>
        <v/>
      </c>
      <c r="K1186" s="3"/>
      <c r="L1186" s="3" t="str">
        <f t="shared" si="93"/>
        <v/>
      </c>
      <c r="N1186" s="3" t="str">
        <f t="shared" si="92"/>
        <v/>
      </c>
      <c r="O1186" s="6" t="str">
        <f t="shared" si="95"/>
        <v/>
      </c>
      <c r="P1186" s="7">
        <f ca="1">SUMIFS($N$2:$N1186,$B$2:$B1186,"&lt;&gt;"&amp;B1186)+SUM($Q$2:$Q1186)</f>
        <v>135.05500000000001</v>
      </c>
      <c r="R1186" t="b">
        <f>AND(ISNUMBER(FIND($E1186,Tables!$I$2)), ISNUMBER(FIND($D1186,Tables!$J$2)), $E1186&lt;&gt;"")</f>
        <v>0</v>
      </c>
    </row>
    <row r="1187" spans="1:18" x14ac:dyDescent="0.3">
      <c r="A1187">
        <f t="shared" si="96"/>
        <v>1170</v>
      </c>
      <c r="B1187" s="4"/>
      <c r="I1187" s="8"/>
      <c r="J1187" s="5" t="str">
        <f t="shared" si="94"/>
        <v/>
      </c>
      <c r="K1187" s="3"/>
      <c r="L1187" s="3" t="str">
        <f t="shared" si="93"/>
        <v/>
      </c>
      <c r="N1187" s="3" t="str">
        <f t="shared" si="92"/>
        <v/>
      </c>
      <c r="O1187" s="6" t="str">
        <f t="shared" si="95"/>
        <v/>
      </c>
      <c r="P1187" s="7">
        <f ca="1">SUMIFS($N$2:$N1187,$B$2:$B1187,"&lt;&gt;"&amp;B1187)+SUM($Q$2:$Q1187)</f>
        <v>135.05500000000001</v>
      </c>
      <c r="R1187" t="b">
        <f>AND(ISNUMBER(FIND($E1187,Tables!$I$2)), ISNUMBER(FIND($D1187,Tables!$J$2)), $E1187&lt;&gt;"")</f>
        <v>0</v>
      </c>
    </row>
    <row r="1188" spans="1:18" x14ac:dyDescent="0.3">
      <c r="A1188">
        <f t="shared" si="96"/>
        <v>1171</v>
      </c>
      <c r="B1188" s="4"/>
      <c r="I1188" s="8"/>
      <c r="J1188" s="5" t="str">
        <f t="shared" si="94"/>
        <v/>
      </c>
      <c r="K1188" s="3"/>
      <c r="L1188" s="3" t="str">
        <f t="shared" si="93"/>
        <v/>
      </c>
      <c r="N1188" s="3" t="str">
        <f t="shared" si="92"/>
        <v/>
      </c>
      <c r="O1188" s="6" t="str">
        <f t="shared" si="95"/>
        <v/>
      </c>
      <c r="P1188" s="7">
        <f ca="1">SUMIFS($N$2:$N1188,$B$2:$B1188,"&lt;&gt;"&amp;B1188)+SUM($Q$2:$Q1188)</f>
        <v>135.05500000000001</v>
      </c>
      <c r="R1188" t="b">
        <f>AND(ISNUMBER(FIND($E1188,Tables!$I$2)), ISNUMBER(FIND($D1188,Tables!$J$2)), $E1188&lt;&gt;"")</f>
        <v>0</v>
      </c>
    </row>
    <row r="1189" spans="1:18" x14ac:dyDescent="0.3">
      <c r="A1189">
        <f t="shared" si="96"/>
        <v>1172</v>
      </c>
      <c r="B1189" s="4"/>
      <c r="I1189" s="8"/>
      <c r="J1189" s="5" t="str">
        <f t="shared" si="94"/>
        <v/>
      </c>
      <c r="K1189" s="3"/>
      <c r="L1189" s="3" t="str">
        <f t="shared" si="93"/>
        <v/>
      </c>
      <c r="N1189" s="3" t="str">
        <f t="shared" si="92"/>
        <v/>
      </c>
      <c r="O1189" s="6" t="str">
        <f t="shared" si="95"/>
        <v/>
      </c>
      <c r="P1189" s="7">
        <f ca="1">SUMIFS($N$2:$N1189,$B$2:$B1189,"&lt;&gt;"&amp;B1189)+SUM($Q$2:$Q1189)</f>
        <v>135.05500000000001</v>
      </c>
      <c r="R1189" t="b">
        <f>AND(ISNUMBER(FIND($E1189,Tables!$I$2)), ISNUMBER(FIND($D1189,Tables!$J$2)), $E1189&lt;&gt;"")</f>
        <v>0</v>
      </c>
    </row>
    <row r="1190" spans="1:18" x14ac:dyDescent="0.3">
      <c r="A1190">
        <f t="shared" si="96"/>
        <v>1173</v>
      </c>
      <c r="B1190" s="4"/>
      <c r="I1190" s="8"/>
      <c r="J1190" s="5" t="str">
        <f t="shared" si="94"/>
        <v/>
      </c>
      <c r="K1190" s="3"/>
      <c r="L1190" s="3" t="str">
        <f t="shared" si="93"/>
        <v/>
      </c>
      <c r="N1190" s="3" t="str">
        <f t="shared" si="92"/>
        <v/>
      </c>
      <c r="O1190" s="6" t="str">
        <f t="shared" si="95"/>
        <v/>
      </c>
      <c r="P1190" s="7">
        <f ca="1">SUMIFS($N$2:$N1190,$B$2:$B1190,"&lt;&gt;"&amp;B1190)+SUM($Q$2:$Q1190)</f>
        <v>135.05500000000001</v>
      </c>
      <c r="R1190" t="b">
        <f>AND(ISNUMBER(FIND($E1190,Tables!$I$2)), ISNUMBER(FIND($D1190,Tables!$J$2)), $E1190&lt;&gt;"")</f>
        <v>0</v>
      </c>
    </row>
    <row r="1191" spans="1:18" x14ac:dyDescent="0.3">
      <c r="A1191">
        <f t="shared" si="96"/>
        <v>1174</v>
      </c>
      <c r="B1191" s="4"/>
      <c r="I1191" s="8"/>
      <c r="J1191" s="5" t="str">
        <f t="shared" si="94"/>
        <v/>
      </c>
      <c r="K1191" s="3"/>
      <c r="L1191" s="3" t="str">
        <f t="shared" si="93"/>
        <v/>
      </c>
      <c r="N1191" s="3" t="str">
        <f t="shared" si="92"/>
        <v/>
      </c>
      <c r="O1191" s="6" t="str">
        <f t="shared" si="95"/>
        <v/>
      </c>
      <c r="P1191" s="7">
        <f ca="1">SUMIFS($N$2:$N1191,$B$2:$B1191,"&lt;&gt;"&amp;B1191)+SUM($Q$2:$Q1191)</f>
        <v>135.05500000000001</v>
      </c>
      <c r="R1191" t="b">
        <f>AND(ISNUMBER(FIND($E1191,Tables!$I$2)), ISNUMBER(FIND($D1191,Tables!$J$2)), $E1191&lt;&gt;"")</f>
        <v>0</v>
      </c>
    </row>
    <row r="1192" spans="1:18" x14ac:dyDescent="0.3">
      <c r="A1192">
        <f t="shared" si="96"/>
        <v>1175</v>
      </c>
      <c r="B1192" s="4"/>
      <c r="I1192" s="8"/>
      <c r="J1192" s="5" t="str">
        <f t="shared" si="94"/>
        <v/>
      </c>
      <c r="K1192" s="3"/>
      <c r="L1192" s="3" t="str">
        <f t="shared" si="93"/>
        <v/>
      </c>
      <c r="N1192" s="3" t="str">
        <f t="shared" ref="N1192:N1255" si="97">IF(L1192 = "", "", IF(M1192="", "", IF(OR(M1192="Draw",M1192="NC"), 0, IF(M1192="win", L1192, -1*K1192))))</f>
        <v/>
      </c>
      <c r="O1192" s="6" t="str">
        <f t="shared" si="95"/>
        <v/>
      </c>
      <c r="P1192" s="7">
        <f ca="1">SUMIFS($N$2:$N1192,$B$2:$B1192,"&lt;&gt;"&amp;B1192)+SUM($Q$2:$Q1192)</f>
        <v>135.05500000000001</v>
      </c>
      <c r="R1192" t="b">
        <f>AND(ISNUMBER(FIND($E1192,Tables!$I$2)), ISNUMBER(FIND($D1192,Tables!$J$2)), $E1192&lt;&gt;"")</f>
        <v>0</v>
      </c>
    </row>
    <row r="1193" spans="1:18" x14ac:dyDescent="0.3">
      <c r="A1193">
        <f t="shared" si="96"/>
        <v>1176</v>
      </c>
      <c r="B1193" s="4"/>
      <c r="I1193" s="8"/>
      <c r="J1193" s="5" t="str">
        <f t="shared" si="94"/>
        <v/>
      </c>
      <c r="K1193" s="3"/>
      <c r="L1193" s="3" t="str">
        <f t="shared" si="93"/>
        <v/>
      </c>
      <c r="N1193" s="3" t="str">
        <f t="shared" si="97"/>
        <v/>
      </c>
      <c r="O1193" s="6" t="str">
        <f t="shared" si="95"/>
        <v/>
      </c>
      <c r="P1193" s="7">
        <f ca="1">SUMIFS($N$2:$N1193,$B$2:$B1193,"&lt;&gt;"&amp;B1193)+SUM($Q$2:$Q1193)</f>
        <v>135.05500000000001</v>
      </c>
      <c r="R1193" t="b">
        <f>AND(ISNUMBER(FIND($E1193,Tables!$I$2)), ISNUMBER(FIND($D1193,Tables!$J$2)), $E1193&lt;&gt;"")</f>
        <v>0</v>
      </c>
    </row>
    <row r="1194" spans="1:18" x14ac:dyDescent="0.3">
      <c r="A1194">
        <f t="shared" si="96"/>
        <v>1177</v>
      </c>
      <c r="B1194" s="4"/>
      <c r="I1194" s="8"/>
      <c r="J1194" s="5" t="str">
        <f t="shared" si="94"/>
        <v/>
      </c>
      <c r="K1194" s="3"/>
      <c r="L1194" s="3" t="str">
        <f t="shared" si="93"/>
        <v/>
      </c>
      <c r="N1194" s="3" t="str">
        <f t="shared" si="97"/>
        <v/>
      </c>
      <c r="O1194" s="6" t="str">
        <f t="shared" si="95"/>
        <v/>
      </c>
      <c r="P1194" s="7">
        <f ca="1">SUMIFS($N$2:$N1194,$B$2:$B1194,"&lt;&gt;"&amp;B1194)+SUM($Q$2:$Q1194)</f>
        <v>135.05500000000001</v>
      </c>
      <c r="R1194" t="b">
        <f>AND(ISNUMBER(FIND($E1194,Tables!$I$2)), ISNUMBER(FIND($D1194,Tables!$J$2)), $E1194&lt;&gt;"")</f>
        <v>0</v>
      </c>
    </row>
    <row r="1195" spans="1:18" x14ac:dyDescent="0.3">
      <c r="A1195">
        <f t="shared" si="96"/>
        <v>1178</v>
      </c>
      <c r="B1195" s="4"/>
      <c r="I1195" s="8"/>
      <c r="J1195" s="5" t="str">
        <f t="shared" si="94"/>
        <v/>
      </c>
      <c r="K1195" s="3"/>
      <c r="L1195" s="3" t="str">
        <f t="shared" si="93"/>
        <v/>
      </c>
      <c r="N1195" s="3" t="str">
        <f t="shared" si="97"/>
        <v/>
      </c>
      <c r="O1195" s="6" t="str">
        <f t="shared" si="95"/>
        <v/>
      </c>
      <c r="P1195" s="7">
        <f ca="1">SUMIFS($N$2:$N1195,$B$2:$B1195,"&lt;&gt;"&amp;B1195)+SUM($Q$2:$Q1195)</f>
        <v>135.05500000000001</v>
      </c>
      <c r="R1195" t="b">
        <f>AND(ISNUMBER(FIND($E1195,Tables!$I$2)), ISNUMBER(FIND($D1195,Tables!$J$2)), $E1195&lt;&gt;"")</f>
        <v>0</v>
      </c>
    </row>
    <row r="1196" spans="1:18" x14ac:dyDescent="0.3">
      <c r="A1196">
        <f t="shared" si="96"/>
        <v>1179</v>
      </c>
      <c r="B1196" s="4"/>
      <c r="I1196" s="8"/>
      <c r="J1196" s="5" t="str">
        <f t="shared" si="94"/>
        <v/>
      </c>
      <c r="K1196" s="3"/>
      <c r="L1196" s="3" t="str">
        <f t="shared" si="93"/>
        <v/>
      </c>
      <c r="N1196" s="3" t="str">
        <f t="shared" si="97"/>
        <v/>
      </c>
      <c r="O1196" s="6" t="str">
        <f t="shared" si="95"/>
        <v/>
      </c>
      <c r="P1196" s="7">
        <f ca="1">SUMIFS($N$2:$N1196,$B$2:$B1196,"&lt;&gt;"&amp;B1196)+SUM($Q$2:$Q1196)</f>
        <v>135.05500000000001</v>
      </c>
      <c r="R1196" t="b">
        <f>AND(ISNUMBER(FIND($E1196,Tables!$I$2)), ISNUMBER(FIND($D1196,Tables!$J$2)), $E1196&lt;&gt;"")</f>
        <v>0</v>
      </c>
    </row>
    <row r="1197" spans="1:18" x14ac:dyDescent="0.3">
      <c r="A1197">
        <f t="shared" si="96"/>
        <v>1180</v>
      </c>
      <c r="B1197" s="4"/>
      <c r="I1197" s="8"/>
      <c r="J1197" s="5" t="str">
        <f t="shared" si="94"/>
        <v/>
      </c>
      <c r="K1197" s="3"/>
      <c r="L1197" s="3" t="str">
        <f t="shared" si="93"/>
        <v/>
      </c>
      <c r="N1197" s="3" t="str">
        <f t="shared" si="97"/>
        <v/>
      </c>
      <c r="O1197" s="6" t="str">
        <f t="shared" si="95"/>
        <v/>
      </c>
      <c r="P1197" s="7">
        <f ca="1">SUMIFS($N$2:$N1197,$B$2:$B1197,"&lt;&gt;"&amp;B1197)+SUM($Q$2:$Q1197)</f>
        <v>135.05500000000001</v>
      </c>
      <c r="R1197" t="b">
        <f>AND(ISNUMBER(FIND($E1197,Tables!$I$2)), ISNUMBER(FIND($D1197,Tables!$J$2)), $E1197&lt;&gt;"")</f>
        <v>0</v>
      </c>
    </row>
    <row r="1198" spans="1:18" x14ac:dyDescent="0.3">
      <c r="A1198">
        <f t="shared" si="96"/>
        <v>1181</v>
      </c>
      <c r="B1198" s="4"/>
      <c r="I1198" s="8"/>
      <c r="J1198" s="5" t="str">
        <f t="shared" si="94"/>
        <v/>
      </c>
      <c r="K1198" s="3"/>
      <c r="L1198" s="3" t="str">
        <f t="shared" si="93"/>
        <v/>
      </c>
      <c r="N1198" s="3" t="str">
        <f t="shared" si="97"/>
        <v/>
      </c>
      <c r="O1198" s="6" t="str">
        <f t="shared" si="95"/>
        <v/>
      </c>
      <c r="P1198" s="7">
        <f ca="1">SUMIFS($N$2:$N1198,$B$2:$B1198,"&lt;&gt;"&amp;B1198)+SUM($Q$2:$Q1198)</f>
        <v>135.05500000000001</v>
      </c>
      <c r="R1198" t="b">
        <f>AND(ISNUMBER(FIND($E1198,Tables!$I$2)), ISNUMBER(FIND($D1198,Tables!$J$2)), $E1198&lt;&gt;"")</f>
        <v>0</v>
      </c>
    </row>
    <row r="1199" spans="1:18" x14ac:dyDescent="0.3">
      <c r="A1199">
        <f t="shared" si="96"/>
        <v>1182</v>
      </c>
      <c r="B1199" s="4"/>
      <c r="I1199" s="8"/>
      <c r="J1199" s="5" t="str">
        <f t="shared" si="94"/>
        <v/>
      </c>
      <c r="K1199" s="3"/>
      <c r="L1199" s="3" t="str">
        <f t="shared" si="93"/>
        <v/>
      </c>
      <c r="N1199" s="3" t="str">
        <f t="shared" si="97"/>
        <v/>
      </c>
      <c r="O1199" s="6" t="str">
        <f t="shared" si="95"/>
        <v/>
      </c>
      <c r="P1199" s="7">
        <f ca="1">SUMIFS($N$2:$N1199,$B$2:$B1199,"&lt;&gt;"&amp;B1199)+SUM($Q$2:$Q1199)</f>
        <v>135.05500000000001</v>
      </c>
      <c r="R1199" t="b">
        <f>AND(ISNUMBER(FIND($E1199,Tables!$I$2)), ISNUMBER(FIND($D1199,Tables!$J$2)), $E1199&lt;&gt;"")</f>
        <v>0</v>
      </c>
    </row>
    <row r="1200" spans="1:18" x14ac:dyDescent="0.3">
      <c r="A1200">
        <f t="shared" si="96"/>
        <v>1183</v>
      </c>
      <c r="B1200" s="4"/>
      <c r="I1200" s="8"/>
      <c r="J1200" s="5" t="str">
        <f t="shared" si="94"/>
        <v/>
      </c>
      <c r="K1200" s="3"/>
      <c r="L1200" s="3" t="str">
        <f t="shared" si="93"/>
        <v/>
      </c>
      <c r="N1200" s="3" t="str">
        <f t="shared" si="97"/>
        <v/>
      </c>
      <c r="O1200" s="6" t="str">
        <f t="shared" si="95"/>
        <v/>
      </c>
      <c r="P1200" s="7">
        <f ca="1">SUMIFS($N$2:$N1200,$B$2:$B1200,"&lt;&gt;"&amp;B1200)+SUM($Q$2:$Q1200)</f>
        <v>135.05500000000001</v>
      </c>
      <c r="R1200" t="b">
        <f>AND(ISNUMBER(FIND($E1200,Tables!$I$2)), ISNUMBER(FIND($D1200,Tables!$J$2)), $E1200&lt;&gt;"")</f>
        <v>0</v>
      </c>
    </row>
    <row r="1201" spans="1:18" x14ac:dyDescent="0.3">
      <c r="A1201">
        <f t="shared" si="96"/>
        <v>1184</v>
      </c>
      <c r="B1201" s="4"/>
      <c r="I1201" s="8"/>
      <c r="J1201" s="5" t="str">
        <f t="shared" si="94"/>
        <v/>
      </c>
      <c r="K1201" s="3"/>
      <c r="L1201" s="3" t="str">
        <f t="shared" si="93"/>
        <v/>
      </c>
      <c r="N1201" s="3" t="str">
        <f t="shared" si="97"/>
        <v/>
      </c>
      <c r="O1201" s="6" t="str">
        <f t="shared" si="95"/>
        <v/>
      </c>
      <c r="P1201" s="7">
        <f ca="1">SUMIFS($N$2:$N1201,$B$2:$B1201,"&lt;&gt;"&amp;B1201)+SUM($Q$2:$Q1201)</f>
        <v>135.05500000000001</v>
      </c>
      <c r="R1201" t="b">
        <f>AND(ISNUMBER(FIND($E1201,Tables!$I$2)), ISNUMBER(FIND($D1201,Tables!$J$2)), $E1201&lt;&gt;"")</f>
        <v>0</v>
      </c>
    </row>
    <row r="1202" spans="1:18" x14ac:dyDescent="0.3">
      <c r="A1202">
        <f t="shared" si="96"/>
        <v>1185</v>
      </c>
      <c r="B1202" s="4"/>
      <c r="I1202" s="8"/>
      <c r="J1202" s="5" t="str">
        <f t="shared" si="94"/>
        <v/>
      </c>
      <c r="K1202" s="3"/>
      <c r="L1202" s="3" t="str">
        <f t="shared" ref="L1202:L1265" si="98">IFERROR(IF(K1202=0, "", IF(I1202&gt;0, K1202/100*I1202,K1202/I1202*-100)), "")</f>
        <v/>
      </c>
      <c r="N1202" s="3" t="str">
        <f t="shared" si="97"/>
        <v/>
      </c>
      <c r="O1202" s="6" t="str">
        <f t="shared" si="95"/>
        <v/>
      </c>
      <c r="P1202" s="7">
        <f ca="1">SUMIFS($N$2:$N1202,$B$2:$B1202,"&lt;&gt;"&amp;B1202)+SUM($Q$2:$Q1202)</f>
        <v>135.05500000000001</v>
      </c>
      <c r="R1202" t="b">
        <f>AND(ISNUMBER(FIND($E1202,Tables!$I$2)), ISNUMBER(FIND($D1202,Tables!$J$2)), $E1202&lt;&gt;"")</f>
        <v>0</v>
      </c>
    </row>
    <row r="1203" spans="1:18" x14ac:dyDescent="0.3">
      <c r="A1203">
        <f t="shared" si="96"/>
        <v>1186</v>
      </c>
      <c r="B1203" s="4"/>
      <c r="I1203" s="8"/>
      <c r="J1203" s="5" t="str">
        <f t="shared" si="94"/>
        <v/>
      </c>
      <c r="K1203" s="3"/>
      <c r="L1203" s="3" t="str">
        <f t="shared" si="98"/>
        <v/>
      </c>
      <c r="N1203" s="3" t="str">
        <f t="shared" si="97"/>
        <v/>
      </c>
      <c r="O1203" s="6" t="str">
        <f t="shared" si="95"/>
        <v/>
      </c>
      <c r="P1203" s="7">
        <f ca="1">SUMIFS($N$2:$N1203,$B$2:$B1203,"&lt;&gt;"&amp;B1203)+SUM($Q$2:$Q1203)</f>
        <v>135.05500000000001</v>
      </c>
      <c r="R1203" t="b">
        <f>AND(ISNUMBER(FIND($E1203,Tables!$I$2)), ISNUMBER(FIND($D1203,Tables!$J$2)), $E1203&lt;&gt;"")</f>
        <v>0</v>
      </c>
    </row>
    <row r="1204" spans="1:18" x14ac:dyDescent="0.3">
      <c r="A1204">
        <f t="shared" si="96"/>
        <v>1187</v>
      </c>
      <c r="B1204" s="4"/>
      <c r="I1204" s="8"/>
      <c r="J1204" s="5" t="str">
        <f t="shared" si="94"/>
        <v/>
      </c>
      <c r="K1204" s="3"/>
      <c r="L1204" s="3" t="str">
        <f t="shared" si="98"/>
        <v/>
      </c>
      <c r="N1204" s="3" t="str">
        <f t="shared" si="97"/>
        <v/>
      </c>
      <c r="O1204" s="6" t="str">
        <f t="shared" si="95"/>
        <v/>
      </c>
      <c r="P1204" s="7">
        <f ca="1">SUMIFS($N$2:$N1204,$B$2:$B1204,"&lt;&gt;"&amp;B1204)+SUM($Q$2:$Q1204)</f>
        <v>135.05500000000001</v>
      </c>
      <c r="R1204" t="b">
        <f>AND(ISNUMBER(FIND($E1204,Tables!$I$2)), ISNUMBER(FIND($D1204,Tables!$J$2)), $E1204&lt;&gt;"")</f>
        <v>0</v>
      </c>
    </row>
    <row r="1205" spans="1:18" x14ac:dyDescent="0.3">
      <c r="A1205">
        <f t="shared" si="96"/>
        <v>1188</v>
      </c>
      <c r="B1205" s="4"/>
      <c r="I1205" s="8"/>
      <c r="J1205" s="5" t="str">
        <f t="shared" si="94"/>
        <v/>
      </c>
      <c r="K1205" s="3"/>
      <c r="L1205" s="3" t="str">
        <f t="shared" si="98"/>
        <v/>
      </c>
      <c r="N1205" s="3" t="str">
        <f t="shared" si="97"/>
        <v/>
      </c>
      <c r="O1205" s="6" t="str">
        <f t="shared" si="95"/>
        <v/>
      </c>
      <c r="P1205" s="7">
        <f ca="1">SUMIFS($N$2:$N1205,$B$2:$B1205,"&lt;&gt;"&amp;B1205)+SUM($Q$2:$Q1205)</f>
        <v>135.05500000000001</v>
      </c>
      <c r="R1205" t="b">
        <f>AND(ISNUMBER(FIND($E1205,Tables!$I$2)), ISNUMBER(FIND($D1205,Tables!$J$2)), $E1205&lt;&gt;"")</f>
        <v>0</v>
      </c>
    </row>
    <row r="1206" spans="1:18" x14ac:dyDescent="0.3">
      <c r="A1206">
        <f t="shared" si="96"/>
        <v>1189</v>
      </c>
      <c r="B1206" s="4"/>
      <c r="I1206" s="8"/>
      <c r="J1206" s="5" t="str">
        <f t="shared" si="94"/>
        <v/>
      </c>
      <c r="K1206" s="3"/>
      <c r="L1206" s="3" t="str">
        <f t="shared" si="98"/>
        <v/>
      </c>
      <c r="N1206" s="3" t="str">
        <f t="shared" si="97"/>
        <v/>
      </c>
      <c r="O1206" s="6" t="str">
        <f t="shared" si="95"/>
        <v/>
      </c>
      <c r="P1206" s="7">
        <f ca="1">SUMIFS($N$2:$N1206,$B$2:$B1206,"&lt;&gt;"&amp;B1206)+SUM($Q$2:$Q1206)</f>
        <v>135.05500000000001</v>
      </c>
      <c r="R1206" t="b">
        <f>AND(ISNUMBER(FIND($E1206,Tables!$I$2)), ISNUMBER(FIND($D1206,Tables!$J$2)), $E1206&lt;&gt;"")</f>
        <v>0</v>
      </c>
    </row>
    <row r="1207" spans="1:18" x14ac:dyDescent="0.3">
      <c r="A1207">
        <f t="shared" si="96"/>
        <v>1190</v>
      </c>
      <c r="B1207" s="4"/>
      <c r="I1207" s="8"/>
      <c r="J1207" s="5" t="str">
        <f t="shared" si="94"/>
        <v/>
      </c>
      <c r="K1207" s="3"/>
      <c r="L1207" s="3" t="str">
        <f t="shared" si="98"/>
        <v/>
      </c>
      <c r="N1207" s="3" t="str">
        <f t="shared" si="97"/>
        <v/>
      </c>
      <c r="O1207" s="6" t="str">
        <f t="shared" si="95"/>
        <v/>
      </c>
      <c r="P1207" s="7">
        <f ca="1">SUMIFS($N$2:$N1207,$B$2:$B1207,"&lt;&gt;"&amp;B1207)+SUM($Q$2:$Q1207)</f>
        <v>135.05500000000001</v>
      </c>
      <c r="R1207" t="b">
        <f>AND(ISNUMBER(FIND($E1207,Tables!$I$2)), ISNUMBER(FIND($D1207,Tables!$J$2)), $E1207&lt;&gt;"")</f>
        <v>0</v>
      </c>
    </row>
    <row r="1208" spans="1:18" x14ac:dyDescent="0.3">
      <c r="A1208">
        <f t="shared" si="96"/>
        <v>1191</v>
      </c>
      <c r="B1208" s="4"/>
      <c r="I1208" s="8"/>
      <c r="J1208" s="5" t="str">
        <f t="shared" si="94"/>
        <v/>
      </c>
      <c r="K1208" s="3"/>
      <c r="L1208" s="3" t="str">
        <f t="shared" si="98"/>
        <v/>
      </c>
      <c r="N1208" s="3" t="str">
        <f t="shared" si="97"/>
        <v/>
      </c>
      <c r="O1208" s="6" t="str">
        <f t="shared" si="95"/>
        <v/>
      </c>
      <c r="P1208" s="7">
        <f ca="1">SUMIFS($N$2:$N1208,$B$2:$B1208,"&lt;&gt;"&amp;B1208)+SUM($Q$2:$Q1208)</f>
        <v>135.05500000000001</v>
      </c>
      <c r="R1208" t="b">
        <f>AND(ISNUMBER(FIND($E1208,Tables!$I$2)), ISNUMBER(FIND($D1208,Tables!$J$2)), $E1208&lt;&gt;"")</f>
        <v>0</v>
      </c>
    </row>
    <row r="1209" spans="1:18" x14ac:dyDescent="0.3">
      <c r="A1209">
        <f t="shared" si="96"/>
        <v>1192</v>
      </c>
      <c r="B1209" s="4"/>
      <c r="I1209" s="8"/>
      <c r="J1209" s="5" t="str">
        <f t="shared" si="94"/>
        <v/>
      </c>
      <c r="K1209" s="3"/>
      <c r="L1209" s="3" t="str">
        <f t="shared" si="98"/>
        <v/>
      </c>
      <c r="N1209" s="3" t="str">
        <f t="shared" si="97"/>
        <v/>
      </c>
      <c r="O1209" s="6" t="str">
        <f t="shared" si="95"/>
        <v/>
      </c>
      <c r="P1209" s="7">
        <f ca="1">SUMIFS($N$2:$N1209,$B$2:$B1209,"&lt;&gt;"&amp;B1209)+SUM($Q$2:$Q1209)</f>
        <v>135.05500000000001</v>
      </c>
      <c r="R1209" t="b">
        <f>AND(ISNUMBER(FIND($E1209,Tables!$I$2)), ISNUMBER(FIND($D1209,Tables!$J$2)), $E1209&lt;&gt;"")</f>
        <v>0</v>
      </c>
    </row>
    <row r="1210" spans="1:18" x14ac:dyDescent="0.3">
      <c r="A1210">
        <f t="shared" si="96"/>
        <v>1193</v>
      </c>
      <c r="B1210" s="4"/>
      <c r="I1210" s="8"/>
      <c r="J1210" s="5" t="str">
        <f t="shared" si="94"/>
        <v/>
      </c>
      <c r="K1210" s="3"/>
      <c r="L1210" s="3" t="str">
        <f t="shared" si="98"/>
        <v/>
      </c>
      <c r="N1210" s="3" t="str">
        <f t="shared" si="97"/>
        <v/>
      </c>
      <c r="O1210" s="6" t="str">
        <f t="shared" si="95"/>
        <v/>
      </c>
      <c r="P1210" s="7">
        <f ca="1">SUMIFS($N$2:$N1210,$B$2:$B1210,"&lt;&gt;"&amp;B1210)+SUM($Q$2:$Q1210)</f>
        <v>135.05500000000001</v>
      </c>
      <c r="R1210" t="b">
        <f>AND(ISNUMBER(FIND($E1210,Tables!$I$2)), ISNUMBER(FIND($D1210,Tables!$J$2)), $E1210&lt;&gt;"")</f>
        <v>0</v>
      </c>
    </row>
    <row r="1211" spans="1:18" x14ac:dyDescent="0.3">
      <c r="A1211">
        <f t="shared" si="96"/>
        <v>1194</v>
      </c>
      <c r="B1211" s="4"/>
      <c r="I1211" s="8"/>
      <c r="J1211" s="5" t="str">
        <f t="shared" si="94"/>
        <v/>
      </c>
      <c r="K1211" s="3"/>
      <c r="L1211" s="3" t="str">
        <f t="shared" si="98"/>
        <v/>
      </c>
      <c r="N1211" s="3" t="str">
        <f t="shared" si="97"/>
        <v/>
      </c>
      <c r="O1211" s="6" t="str">
        <f t="shared" si="95"/>
        <v/>
      </c>
      <c r="P1211" s="7">
        <f ca="1">SUMIFS($N$2:$N1211,$B$2:$B1211,"&lt;&gt;"&amp;B1211)+SUM($Q$2:$Q1211)</f>
        <v>135.05500000000001</v>
      </c>
      <c r="R1211" t="b">
        <f>AND(ISNUMBER(FIND($E1211,Tables!$I$2)), ISNUMBER(FIND($D1211,Tables!$J$2)), $E1211&lt;&gt;"")</f>
        <v>0</v>
      </c>
    </row>
    <row r="1212" spans="1:18" x14ac:dyDescent="0.3">
      <c r="A1212">
        <f t="shared" si="96"/>
        <v>1195</v>
      </c>
      <c r="B1212" s="4"/>
      <c r="I1212" s="8"/>
      <c r="J1212" s="5" t="str">
        <f t="shared" si="94"/>
        <v/>
      </c>
      <c r="K1212" s="3"/>
      <c r="L1212" s="3" t="str">
        <f t="shared" si="98"/>
        <v/>
      </c>
      <c r="N1212" s="3" t="str">
        <f t="shared" si="97"/>
        <v/>
      </c>
      <c r="O1212" s="6" t="str">
        <f t="shared" si="95"/>
        <v/>
      </c>
      <c r="P1212" s="7">
        <f ca="1">SUMIFS($N$2:$N1212,$B$2:$B1212,"&lt;&gt;"&amp;B1212)+SUM($Q$2:$Q1212)</f>
        <v>135.05500000000001</v>
      </c>
      <c r="R1212" t="b">
        <f>AND(ISNUMBER(FIND($E1212,Tables!$I$2)), ISNUMBER(FIND($D1212,Tables!$J$2)), $E1212&lt;&gt;"")</f>
        <v>0</v>
      </c>
    </row>
    <row r="1213" spans="1:18" x14ac:dyDescent="0.3">
      <c r="A1213">
        <f t="shared" si="96"/>
        <v>1196</v>
      </c>
      <c r="B1213" s="4"/>
      <c r="I1213" s="8"/>
      <c r="J1213" s="5" t="str">
        <f t="shared" si="94"/>
        <v/>
      </c>
      <c r="K1213" s="3"/>
      <c r="L1213" s="3" t="str">
        <f t="shared" si="98"/>
        <v/>
      </c>
      <c r="N1213" s="3" t="str">
        <f t="shared" si="97"/>
        <v/>
      </c>
      <c r="O1213" s="6" t="str">
        <f t="shared" si="95"/>
        <v/>
      </c>
      <c r="P1213" s="7">
        <f ca="1">SUMIFS($N$2:$N1213,$B$2:$B1213,"&lt;&gt;"&amp;B1213)+SUM($Q$2:$Q1213)</f>
        <v>135.05500000000001</v>
      </c>
      <c r="R1213" t="b">
        <f>AND(ISNUMBER(FIND($E1213,Tables!$I$2)), ISNUMBER(FIND($D1213,Tables!$J$2)), $E1213&lt;&gt;"")</f>
        <v>0</v>
      </c>
    </row>
    <row r="1214" spans="1:18" x14ac:dyDescent="0.3">
      <c r="A1214">
        <f t="shared" si="96"/>
        <v>1197</v>
      </c>
      <c r="B1214" s="4"/>
      <c r="I1214" s="8"/>
      <c r="J1214" s="5" t="str">
        <f t="shared" si="94"/>
        <v/>
      </c>
      <c r="K1214" s="3"/>
      <c r="L1214" s="3" t="str">
        <f t="shared" si="98"/>
        <v/>
      </c>
      <c r="N1214" s="3" t="str">
        <f t="shared" si="97"/>
        <v/>
      </c>
      <c r="O1214" s="6" t="str">
        <f t="shared" si="95"/>
        <v/>
      </c>
      <c r="P1214" s="7">
        <f ca="1">SUMIFS($N$2:$N1214,$B$2:$B1214,"&lt;&gt;"&amp;B1214)+SUM($Q$2:$Q1214)</f>
        <v>135.05500000000001</v>
      </c>
      <c r="R1214" t="b">
        <f>AND(ISNUMBER(FIND($E1214,Tables!$I$2)), ISNUMBER(FIND($D1214,Tables!$J$2)), $E1214&lt;&gt;"")</f>
        <v>0</v>
      </c>
    </row>
    <row r="1215" spans="1:18" x14ac:dyDescent="0.3">
      <c r="A1215">
        <f t="shared" si="96"/>
        <v>1198</v>
      </c>
      <c r="B1215" s="4"/>
      <c r="I1215" s="8"/>
      <c r="J1215" s="5" t="str">
        <f t="shared" si="94"/>
        <v/>
      </c>
      <c r="K1215" s="3"/>
      <c r="L1215" s="3" t="str">
        <f t="shared" si="98"/>
        <v/>
      </c>
      <c r="N1215" s="3" t="str">
        <f t="shared" si="97"/>
        <v/>
      </c>
      <c r="O1215" s="6" t="str">
        <f t="shared" si="95"/>
        <v/>
      </c>
      <c r="P1215" s="7">
        <f ca="1">SUMIFS($N$2:$N1215,$B$2:$B1215,"&lt;&gt;"&amp;B1215)+SUM($Q$2:$Q1215)</f>
        <v>135.05500000000001</v>
      </c>
      <c r="R1215" t="b">
        <f>AND(ISNUMBER(FIND($E1215,Tables!$I$2)), ISNUMBER(FIND($D1215,Tables!$J$2)), $E1215&lt;&gt;"")</f>
        <v>0</v>
      </c>
    </row>
    <row r="1216" spans="1:18" x14ac:dyDescent="0.3">
      <c r="A1216">
        <f t="shared" si="96"/>
        <v>1199</v>
      </c>
      <c r="B1216" s="4"/>
      <c r="I1216" s="8"/>
      <c r="J1216" s="5" t="str">
        <f t="shared" si="94"/>
        <v/>
      </c>
      <c r="K1216" s="3"/>
      <c r="L1216" s="3" t="str">
        <f t="shared" si="98"/>
        <v/>
      </c>
      <c r="N1216" s="3" t="str">
        <f t="shared" si="97"/>
        <v/>
      </c>
      <c r="O1216" s="6" t="str">
        <f t="shared" si="95"/>
        <v/>
      </c>
      <c r="P1216" s="7">
        <f ca="1">SUMIFS($N$2:$N1216,$B$2:$B1216,"&lt;&gt;"&amp;B1216)+SUM($Q$2:$Q1216)</f>
        <v>135.05500000000001</v>
      </c>
      <c r="R1216" t="b">
        <f>AND(ISNUMBER(FIND($E1216,Tables!$I$2)), ISNUMBER(FIND($D1216,Tables!$J$2)), $E1216&lt;&gt;"")</f>
        <v>0</v>
      </c>
    </row>
    <row r="1217" spans="1:18" x14ac:dyDescent="0.3">
      <c r="A1217">
        <f t="shared" si="96"/>
        <v>1200</v>
      </c>
      <c r="B1217" s="4"/>
      <c r="I1217" s="8"/>
      <c r="J1217" s="5" t="str">
        <f t="shared" si="94"/>
        <v/>
      </c>
      <c r="K1217" s="3"/>
      <c r="L1217" s="3" t="str">
        <f t="shared" si="98"/>
        <v/>
      </c>
      <c r="N1217" s="3" t="str">
        <f t="shared" si="97"/>
        <v/>
      </c>
      <c r="O1217" s="6" t="str">
        <f t="shared" si="95"/>
        <v/>
      </c>
      <c r="P1217" s="7">
        <f ca="1">SUMIFS($N$2:$N1217,$B$2:$B1217,"&lt;&gt;"&amp;B1217)+SUM($Q$2:$Q1217)</f>
        <v>135.05500000000001</v>
      </c>
      <c r="R1217" t="b">
        <f>AND(ISNUMBER(FIND($E1217,Tables!$I$2)), ISNUMBER(FIND($D1217,Tables!$J$2)), $E1217&lt;&gt;"")</f>
        <v>0</v>
      </c>
    </row>
    <row r="1218" spans="1:18" x14ac:dyDescent="0.3">
      <c r="A1218">
        <f t="shared" si="96"/>
        <v>1201</v>
      </c>
      <c r="B1218" s="4"/>
      <c r="I1218" s="8"/>
      <c r="J1218" s="5" t="str">
        <f t="shared" ref="J1218:J1281" si="99">IF(I1218="", "", IF(I1218&gt;0, I1218/100 +1, -100/I1218 +1))</f>
        <v/>
      </c>
      <c r="K1218" s="3"/>
      <c r="L1218" s="3" t="str">
        <f t="shared" si="98"/>
        <v/>
      </c>
      <c r="N1218" s="3" t="str">
        <f t="shared" si="97"/>
        <v/>
      </c>
      <c r="O1218" s="6" t="str">
        <f t="shared" ref="O1218:O1281" si="100">IFERROR(K1218/VLOOKUP(_xlfn.MINIFS(A:A,B:B,B1218,C:C,C1218),A:P,16),"")</f>
        <v/>
      </c>
      <c r="P1218" s="7">
        <f ca="1">SUMIFS($N$2:$N1218,$B$2:$B1218,"&lt;&gt;"&amp;B1218)+SUM($Q$2:$Q1218)</f>
        <v>135.05500000000001</v>
      </c>
      <c r="R1218" t="b">
        <f>AND(ISNUMBER(FIND($E1218,Tables!$I$2)), ISNUMBER(FIND($D1218,Tables!$J$2)), $E1218&lt;&gt;"")</f>
        <v>0</v>
      </c>
    </row>
    <row r="1219" spans="1:18" x14ac:dyDescent="0.3">
      <c r="A1219">
        <f t="shared" si="96"/>
        <v>1202</v>
      </c>
      <c r="B1219" s="4"/>
      <c r="I1219" s="8"/>
      <c r="J1219" s="5" t="str">
        <f t="shared" si="99"/>
        <v/>
      </c>
      <c r="K1219" s="3"/>
      <c r="L1219" s="3" t="str">
        <f t="shared" si="98"/>
        <v/>
      </c>
      <c r="N1219" s="3" t="str">
        <f t="shared" si="97"/>
        <v/>
      </c>
      <c r="O1219" s="6" t="str">
        <f t="shared" si="100"/>
        <v/>
      </c>
      <c r="P1219" s="7">
        <f ca="1">SUMIFS($N$2:$N1219,$B$2:$B1219,"&lt;&gt;"&amp;B1219)+SUM($Q$2:$Q1219)</f>
        <v>135.05500000000001</v>
      </c>
      <c r="R1219" t="b">
        <f>AND(ISNUMBER(FIND($E1219,Tables!$I$2)), ISNUMBER(FIND($D1219,Tables!$J$2)), $E1219&lt;&gt;"")</f>
        <v>0</v>
      </c>
    </row>
    <row r="1220" spans="1:18" x14ac:dyDescent="0.3">
      <c r="A1220">
        <f t="shared" si="96"/>
        <v>1203</v>
      </c>
      <c r="B1220" s="4"/>
      <c r="I1220" s="8"/>
      <c r="J1220" s="5" t="str">
        <f t="shared" si="99"/>
        <v/>
      </c>
      <c r="K1220" s="3"/>
      <c r="L1220" s="3" t="str">
        <f t="shared" si="98"/>
        <v/>
      </c>
      <c r="N1220" s="3" t="str">
        <f t="shared" si="97"/>
        <v/>
      </c>
      <c r="O1220" s="6" t="str">
        <f t="shared" si="100"/>
        <v/>
      </c>
      <c r="P1220" s="7">
        <f ca="1">SUMIFS($N$2:$N1220,$B$2:$B1220,"&lt;&gt;"&amp;B1220)+SUM($Q$2:$Q1220)</f>
        <v>135.05500000000001</v>
      </c>
      <c r="R1220" t="b">
        <f>AND(ISNUMBER(FIND($E1220,Tables!$I$2)), ISNUMBER(FIND($D1220,Tables!$J$2)), $E1220&lt;&gt;"")</f>
        <v>0</v>
      </c>
    </row>
    <row r="1221" spans="1:18" x14ac:dyDescent="0.3">
      <c r="A1221">
        <f t="shared" si="96"/>
        <v>1204</v>
      </c>
      <c r="B1221" s="4"/>
      <c r="I1221" s="8"/>
      <c r="J1221" s="5" t="str">
        <f t="shared" si="99"/>
        <v/>
      </c>
      <c r="K1221" s="3"/>
      <c r="L1221" s="3" t="str">
        <f t="shared" si="98"/>
        <v/>
      </c>
      <c r="N1221" s="3" t="str">
        <f t="shared" si="97"/>
        <v/>
      </c>
      <c r="O1221" s="6" t="str">
        <f t="shared" si="100"/>
        <v/>
      </c>
      <c r="P1221" s="7">
        <f ca="1">SUMIFS($N$2:$N1221,$B$2:$B1221,"&lt;&gt;"&amp;B1221)+SUM($Q$2:$Q1221)</f>
        <v>135.05500000000001</v>
      </c>
      <c r="R1221" t="b">
        <f>AND(ISNUMBER(FIND($E1221,Tables!$I$2)), ISNUMBER(FIND($D1221,Tables!$J$2)), $E1221&lt;&gt;"")</f>
        <v>0</v>
      </c>
    </row>
    <row r="1222" spans="1:18" x14ac:dyDescent="0.3">
      <c r="A1222">
        <f t="shared" si="96"/>
        <v>1205</v>
      </c>
      <c r="B1222" s="4"/>
      <c r="I1222" s="8"/>
      <c r="J1222" s="5" t="str">
        <f t="shared" si="99"/>
        <v/>
      </c>
      <c r="K1222" s="3"/>
      <c r="L1222" s="3" t="str">
        <f t="shared" si="98"/>
        <v/>
      </c>
      <c r="N1222" s="3" t="str">
        <f t="shared" si="97"/>
        <v/>
      </c>
      <c r="O1222" s="6" t="str">
        <f t="shared" si="100"/>
        <v/>
      </c>
      <c r="P1222" s="7">
        <f ca="1">SUMIFS($N$2:$N1222,$B$2:$B1222,"&lt;&gt;"&amp;B1222)+SUM($Q$2:$Q1222)</f>
        <v>135.05500000000001</v>
      </c>
      <c r="R1222" t="b">
        <f>AND(ISNUMBER(FIND($E1222,Tables!$I$2)), ISNUMBER(FIND($D1222,Tables!$J$2)), $E1222&lt;&gt;"")</f>
        <v>0</v>
      </c>
    </row>
    <row r="1223" spans="1:18" x14ac:dyDescent="0.3">
      <c r="A1223">
        <f t="shared" si="96"/>
        <v>1206</v>
      </c>
      <c r="B1223" s="4"/>
      <c r="I1223" s="8"/>
      <c r="J1223" s="5" t="str">
        <f t="shared" si="99"/>
        <v/>
      </c>
      <c r="K1223" s="3"/>
      <c r="L1223" s="3" t="str">
        <f t="shared" si="98"/>
        <v/>
      </c>
      <c r="N1223" s="3" t="str">
        <f t="shared" si="97"/>
        <v/>
      </c>
      <c r="O1223" s="6" t="str">
        <f t="shared" si="100"/>
        <v/>
      </c>
      <c r="P1223" s="7">
        <f ca="1">SUMIFS($N$2:$N1223,$B$2:$B1223,"&lt;&gt;"&amp;B1223)+SUM($Q$2:$Q1223)</f>
        <v>135.05500000000001</v>
      </c>
      <c r="R1223" t="b">
        <f>AND(ISNUMBER(FIND($E1223,Tables!$I$2)), ISNUMBER(FIND($D1223,Tables!$J$2)), $E1223&lt;&gt;"")</f>
        <v>0</v>
      </c>
    </row>
    <row r="1224" spans="1:18" x14ac:dyDescent="0.3">
      <c r="A1224">
        <f t="shared" si="96"/>
        <v>1207</v>
      </c>
      <c r="B1224" s="4"/>
      <c r="I1224" s="8"/>
      <c r="J1224" s="5" t="str">
        <f t="shared" si="99"/>
        <v/>
      </c>
      <c r="K1224" s="3"/>
      <c r="L1224" s="3" t="str">
        <f t="shared" si="98"/>
        <v/>
      </c>
      <c r="N1224" s="3" t="str">
        <f t="shared" si="97"/>
        <v/>
      </c>
      <c r="O1224" s="6" t="str">
        <f t="shared" si="100"/>
        <v/>
      </c>
      <c r="P1224" s="7">
        <f ca="1">SUMIFS($N$2:$N1224,$B$2:$B1224,"&lt;&gt;"&amp;B1224)+SUM($Q$2:$Q1224)</f>
        <v>135.05500000000001</v>
      </c>
      <c r="R1224" t="b">
        <f>AND(ISNUMBER(FIND($E1224,Tables!$I$2)), ISNUMBER(FIND($D1224,Tables!$J$2)), $E1224&lt;&gt;"")</f>
        <v>0</v>
      </c>
    </row>
    <row r="1225" spans="1:18" x14ac:dyDescent="0.3">
      <c r="A1225">
        <f t="shared" si="96"/>
        <v>1208</v>
      </c>
      <c r="B1225" s="4"/>
      <c r="I1225" s="8"/>
      <c r="J1225" s="5" t="str">
        <f t="shared" si="99"/>
        <v/>
      </c>
      <c r="K1225" s="3"/>
      <c r="L1225" s="3" t="str">
        <f t="shared" si="98"/>
        <v/>
      </c>
      <c r="N1225" s="3" t="str">
        <f t="shared" si="97"/>
        <v/>
      </c>
      <c r="O1225" s="6" t="str">
        <f t="shared" si="100"/>
        <v/>
      </c>
      <c r="P1225" s="7">
        <f ca="1">SUMIFS($N$2:$N1225,$B$2:$B1225,"&lt;&gt;"&amp;B1225)+SUM($Q$2:$Q1225)</f>
        <v>135.05500000000001</v>
      </c>
      <c r="R1225" t="b">
        <f>AND(ISNUMBER(FIND($E1225,Tables!$I$2)), ISNUMBER(FIND($D1225,Tables!$J$2)), $E1225&lt;&gt;"")</f>
        <v>0</v>
      </c>
    </row>
    <row r="1226" spans="1:18" x14ac:dyDescent="0.3">
      <c r="A1226">
        <f t="shared" si="96"/>
        <v>1209</v>
      </c>
      <c r="B1226" s="4"/>
      <c r="I1226" s="8"/>
      <c r="J1226" s="5" t="str">
        <f t="shared" si="99"/>
        <v/>
      </c>
      <c r="K1226" s="3"/>
      <c r="L1226" s="3" t="str">
        <f t="shared" si="98"/>
        <v/>
      </c>
      <c r="N1226" s="3" t="str">
        <f t="shared" si="97"/>
        <v/>
      </c>
      <c r="O1226" s="6" t="str">
        <f t="shared" si="100"/>
        <v/>
      </c>
      <c r="P1226" s="7">
        <f ca="1">SUMIFS($N$2:$N1226,$B$2:$B1226,"&lt;&gt;"&amp;B1226)+SUM($Q$2:$Q1226)</f>
        <v>135.05500000000001</v>
      </c>
      <c r="R1226" t="b">
        <f>AND(ISNUMBER(FIND($E1226,Tables!$I$2)), ISNUMBER(FIND($D1226,Tables!$J$2)), $E1226&lt;&gt;"")</f>
        <v>0</v>
      </c>
    </row>
    <row r="1227" spans="1:18" x14ac:dyDescent="0.3">
      <c r="A1227">
        <f t="shared" si="96"/>
        <v>1210</v>
      </c>
      <c r="B1227" s="4"/>
      <c r="I1227" s="8"/>
      <c r="J1227" s="5" t="str">
        <f t="shared" si="99"/>
        <v/>
      </c>
      <c r="K1227" s="3"/>
      <c r="L1227" s="3" t="str">
        <f t="shared" si="98"/>
        <v/>
      </c>
      <c r="N1227" s="3" t="str">
        <f t="shared" si="97"/>
        <v/>
      </c>
      <c r="O1227" s="6" t="str">
        <f t="shared" si="100"/>
        <v/>
      </c>
      <c r="P1227" s="7">
        <f ca="1">SUMIFS($N$2:$N1227,$B$2:$B1227,"&lt;&gt;"&amp;B1227)+SUM($Q$2:$Q1227)</f>
        <v>135.05500000000001</v>
      </c>
      <c r="R1227" t="b">
        <f>AND(ISNUMBER(FIND($E1227,Tables!$I$2)), ISNUMBER(FIND($D1227,Tables!$J$2)), $E1227&lt;&gt;"")</f>
        <v>0</v>
      </c>
    </row>
    <row r="1228" spans="1:18" x14ac:dyDescent="0.3">
      <c r="A1228">
        <f t="shared" si="96"/>
        <v>1211</v>
      </c>
      <c r="B1228" s="4"/>
      <c r="I1228" s="8"/>
      <c r="J1228" s="5" t="str">
        <f t="shared" si="99"/>
        <v/>
      </c>
      <c r="K1228" s="3"/>
      <c r="L1228" s="3" t="str">
        <f t="shared" si="98"/>
        <v/>
      </c>
      <c r="N1228" s="3" t="str">
        <f t="shared" si="97"/>
        <v/>
      </c>
      <c r="O1228" s="6" t="str">
        <f t="shared" si="100"/>
        <v/>
      </c>
      <c r="P1228" s="7">
        <f ca="1">SUMIFS($N$2:$N1228,$B$2:$B1228,"&lt;&gt;"&amp;B1228)+SUM($Q$2:$Q1228)</f>
        <v>135.05500000000001</v>
      </c>
      <c r="R1228" t="b">
        <f>AND(ISNUMBER(FIND($E1228,Tables!$I$2)), ISNUMBER(FIND($D1228,Tables!$J$2)), $E1228&lt;&gt;"")</f>
        <v>0</v>
      </c>
    </row>
    <row r="1229" spans="1:18" x14ac:dyDescent="0.3">
      <c r="A1229">
        <f t="shared" si="96"/>
        <v>1212</v>
      </c>
      <c r="B1229" s="4"/>
      <c r="I1229" s="8"/>
      <c r="J1229" s="5" t="str">
        <f t="shared" si="99"/>
        <v/>
      </c>
      <c r="K1229" s="3"/>
      <c r="L1229" s="3" t="str">
        <f t="shared" si="98"/>
        <v/>
      </c>
      <c r="N1229" s="3" t="str">
        <f t="shared" si="97"/>
        <v/>
      </c>
      <c r="O1229" s="6" t="str">
        <f t="shared" si="100"/>
        <v/>
      </c>
      <c r="P1229" s="7">
        <f ca="1">SUMIFS($N$2:$N1229,$B$2:$B1229,"&lt;&gt;"&amp;B1229)+SUM($Q$2:$Q1229)</f>
        <v>135.05500000000001</v>
      </c>
      <c r="R1229" t="b">
        <f>AND(ISNUMBER(FIND($E1229,Tables!$I$2)), ISNUMBER(FIND($D1229,Tables!$J$2)), $E1229&lt;&gt;"")</f>
        <v>0</v>
      </c>
    </row>
    <row r="1230" spans="1:18" x14ac:dyDescent="0.3">
      <c r="A1230">
        <f t="shared" si="96"/>
        <v>1213</v>
      </c>
      <c r="B1230" s="4"/>
      <c r="I1230" s="8"/>
      <c r="J1230" s="5" t="str">
        <f t="shared" si="99"/>
        <v/>
      </c>
      <c r="K1230" s="3"/>
      <c r="L1230" s="3" t="str">
        <f t="shared" si="98"/>
        <v/>
      </c>
      <c r="N1230" s="3" t="str">
        <f t="shared" si="97"/>
        <v/>
      </c>
      <c r="O1230" s="6" t="str">
        <f t="shared" si="100"/>
        <v/>
      </c>
      <c r="P1230" s="7">
        <f ca="1">SUMIFS($N$2:$N1230,$B$2:$B1230,"&lt;&gt;"&amp;B1230)+SUM($Q$2:$Q1230)</f>
        <v>135.05500000000001</v>
      </c>
      <c r="R1230" t="b">
        <f>AND(ISNUMBER(FIND($E1230,Tables!$I$2)), ISNUMBER(FIND($D1230,Tables!$J$2)), $E1230&lt;&gt;"")</f>
        <v>0</v>
      </c>
    </row>
    <row r="1231" spans="1:18" x14ac:dyDescent="0.3">
      <c r="A1231">
        <f t="shared" si="96"/>
        <v>1214</v>
      </c>
      <c r="B1231" s="4"/>
      <c r="I1231" s="8"/>
      <c r="J1231" s="5" t="str">
        <f t="shared" si="99"/>
        <v/>
      </c>
      <c r="K1231" s="3"/>
      <c r="L1231" s="3" t="str">
        <f t="shared" si="98"/>
        <v/>
      </c>
      <c r="N1231" s="3" t="str">
        <f t="shared" si="97"/>
        <v/>
      </c>
      <c r="O1231" s="6" t="str">
        <f t="shared" si="100"/>
        <v/>
      </c>
      <c r="P1231" s="7">
        <f ca="1">SUMIFS($N$2:$N1231,$B$2:$B1231,"&lt;&gt;"&amp;B1231)+SUM($Q$2:$Q1231)</f>
        <v>135.05500000000001</v>
      </c>
      <c r="R1231" t="b">
        <f>AND(ISNUMBER(FIND($E1231,Tables!$I$2)), ISNUMBER(FIND($D1231,Tables!$J$2)), $E1231&lt;&gt;"")</f>
        <v>0</v>
      </c>
    </row>
    <row r="1232" spans="1:18" x14ac:dyDescent="0.3">
      <c r="A1232">
        <f t="shared" si="96"/>
        <v>1215</v>
      </c>
      <c r="B1232" s="4"/>
      <c r="I1232" s="8"/>
      <c r="J1232" s="5" t="str">
        <f t="shared" si="99"/>
        <v/>
      </c>
      <c r="K1232" s="3"/>
      <c r="L1232" s="3" t="str">
        <f t="shared" si="98"/>
        <v/>
      </c>
      <c r="N1232" s="3" t="str">
        <f t="shared" si="97"/>
        <v/>
      </c>
      <c r="O1232" s="6" t="str">
        <f t="shared" si="100"/>
        <v/>
      </c>
      <c r="P1232" s="7">
        <f ca="1">SUMIFS($N$2:$N1232,$B$2:$B1232,"&lt;&gt;"&amp;B1232)+SUM($Q$2:$Q1232)</f>
        <v>135.05500000000001</v>
      </c>
      <c r="R1232" t="b">
        <f>AND(ISNUMBER(FIND($E1232,Tables!$I$2)), ISNUMBER(FIND($D1232,Tables!$J$2)), $E1232&lt;&gt;"")</f>
        <v>0</v>
      </c>
    </row>
    <row r="1233" spans="1:18" x14ac:dyDescent="0.3">
      <c r="A1233">
        <f t="shared" si="96"/>
        <v>1216</v>
      </c>
      <c r="B1233" s="4"/>
      <c r="I1233" s="8"/>
      <c r="J1233" s="5" t="str">
        <f t="shared" si="99"/>
        <v/>
      </c>
      <c r="K1233" s="3"/>
      <c r="L1233" s="3" t="str">
        <f t="shared" si="98"/>
        <v/>
      </c>
      <c r="N1233" s="3" t="str">
        <f t="shared" si="97"/>
        <v/>
      </c>
      <c r="O1233" s="6" t="str">
        <f t="shared" si="100"/>
        <v/>
      </c>
      <c r="P1233" s="7">
        <f ca="1">SUMIFS($N$2:$N1233,$B$2:$B1233,"&lt;&gt;"&amp;B1233)+SUM($Q$2:$Q1233)</f>
        <v>135.05500000000001</v>
      </c>
      <c r="R1233" t="b">
        <f>AND(ISNUMBER(FIND($E1233,Tables!$I$2)), ISNUMBER(FIND($D1233,Tables!$J$2)), $E1233&lt;&gt;"")</f>
        <v>0</v>
      </c>
    </row>
    <row r="1234" spans="1:18" x14ac:dyDescent="0.3">
      <c r="A1234">
        <f t="shared" si="96"/>
        <v>1217</v>
      </c>
      <c r="B1234" s="4"/>
      <c r="I1234" s="8"/>
      <c r="J1234" s="5" t="str">
        <f t="shared" si="99"/>
        <v/>
      </c>
      <c r="K1234" s="3"/>
      <c r="L1234" s="3" t="str">
        <f t="shared" si="98"/>
        <v/>
      </c>
      <c r="N1234" s="3" t="str">
        <f t="shared" si="97"/>
        <v/>
      </c>
      <c r="O1234" s="6" t="str">
        <f t="shared" si="100"/>
        <v/>
      </c>
      <c r="P1234" s="7">
        <f ca="1">SUMIFS($N$2:$N1234,$B$2:$B1234,"&lt;&gt;"&amp;B1234)+SUM($Q$2:$Q1234)</f>
        <v>135.05500000000001</v>
      </c>
      <c r="R1234" t="b">
        <f>AND(ISNUMBER(FIND($E1234,Tables!$I$2)), ISNUMBER(FIND($D1234,Tables!$J$2)), $E1234&lt;&gt;"")</f>
        <v>0</v>
      </c>
    </row>
    <row r="1235" spans="1:18" x14ac:dyDescent="0.3">
      <c r="A1235">
        <f t="shared" si="96"/>
        <v>1218</v>
      </c>
      <c r="B1235" s="4"/>
      <c r="I1235" s="8"/>
      <c r="J1235" s="5" t="str">
        <f t="shared" si="99"/>
        <v/>
      </c>
      <c r="K1235" s="3"/>
      <c r="L1235" s="3" t="str">
        <f t="shared" si="98"/>
        <v/>
      </c>
      <c r="N1235" s="3" t="str">
        <f t="shared" si="97"/>
        <v/>
      </c>
      <c r="O1235" s="6" t="str">
        <f t="shared" si="100"/>
        <v/>
      </c>
      <c r="P1235" s="7">
        <f ca="1">SUMIFS($N$2:$N1235,$B$2:$B1235,"&lt;&gt;"&amp;B1235)+SUM($Q$2:$Q1235)</f>
        <v>135.05500000000001</v>
      </c>
      <c r="R1235" t="b">
        <f>AND(ISNUMBER(FIND($E1235,Tables!$I$2)), ISNUMBER(FIND($D1235,Tables!$J$2)), $E1235&lt;&gt;"")</f>
        <v>0</v>
      </c>
    </row>
    <row r="1236" spans="1:18" x14ac:dyDescent="0.3">
      <c r="A1236">
        <f t="shared" si="96"/>
        <v>1219</v>
      </c>
      <c r="B1236" s="4"/>
      <c r="I1236" s="8"/>
      <c r="J1236" s="5" t="str">
        <f t="shared" si="99"/>
        <v/>
      </c>
      <c r="K1236" s="3"/>
      <c r="L1236" s="3" t="str">
        <f t="shared" si="98"/>
        <v/>
      </c>
      <c r="N1236" s="3" t="str">
        <f t="shared" si="97"/>
        <v/>
      </c>
      <c r="O1236" s="6" t="str">
        <f t="shared" si="100"/>
        <v/>
      </c>
      <c r="P1236" s="7">
        <f ca="1">SUMIFS($N$2:$N1236,$B$2:$B1236,"&lt;&gt;"&amp;B1236)+SUM($Q$2:$Q1236)</f>
        <v>135.05500000000001</v>
      </c>
      <c r="R1236" t="b">
        <f>AND(ISNUMBER(FIND($E1236,Tables!$I$2)), ISNUMBER(FIND($D1236,Tables!$J$2)), $E1236&lt;&gt;"")</f>
        <v>0</v>
      </c>
    </row>
    <row r="1237" spans="1:18" x14ac:dyDescent="0.3">
      <c r="A1237">
        <f t="shared" si="96"/>
        <v>1220</v>
      </c>
      <c r="B1237" s="4"/>
      <c r="I1237" s="8"/>
      <c r="J1237" s="5" t="str">
        <f t="shared" si="99"/>
        <v/>
      </c>
      <c r="K1237" s="3"/>
      <c r="L1237" s="3" t="str">
        <f t="shared" si="98"/>
        <v/>
      </c>
      <c r="N1237" s="3" t="str">
        <f t="shared" si="97"/>
        <v/>
      </c>
      <c r="O1237" s="6" t="str">
        <f t="shared" si="100"/>
        <v/>
      </c>
      <c r="P1237" s="7">
        <f ca="1">SUMIFS($N$2:$N1237,$B$2:$B1237,"&lt;&gt;"&amp;B1237)+SUM($Q$2:$Q1237)</f>
        <v>135.05500000000001</v>
      </c>
      <c r="R1237" t="b">
        <f>AND(ISNUMBER(FIND($E1237,Tables!$I$2)), ISNUMBER(FIND($D1237,Tables!$J$2)), $E1237&lt;&gt;"")</f>
        <v>0</v>
      </c>
    </row>
    <row r="1238" spans="1:18" x14ac:dyDescent="0.3">
      <c r="A1238">
        <f t="shared" si="96"/>
        <v>1221</v>
      </c>
      <c r="B1238" s="4"/>
      <c r="I1238" s="8"/>
      <c r="J1238" s="5" t="str">
        <f t="shared" si="99"/>
        <v/>
      </c>
      <c r="K1238" s="3"/>
      <c r="L1238" s="3" t="str">
        <f t="shared" si="98"/>
        <v/>
      </c>
      <c r="N1238" s="3" t="str">
        <f t="shared" si="97"/>
        <v/>
      </c>
      <c r="O1238" s="6" t="str">
        <f t="shared" si="100"/>
        <v/>
      </c>
      <c r="P1238" s="7">
        <f ca="1">SUMIFS($N$2:$N1238,$B$2:$B1238,"&lt;&gt;"&amp;B1238)+SUM($Q$2:$Q1238)</f>
        <v>135.05500000000001</v>
      </c>
      <c r="R1238" t="b">
        <f>AND(ISNUMBER(FIND($E1238,Tables!$I$2)), ISNUMBER(FIND($D1238,Tables!$J$2)), $E1238&lt;&gt;"")</f>
        <v>0</v>
      </c>
    </row>
    <row r="1239" spans="1:18" x14ac:dyDescent="0.3">
      <c r="A1239">
        <f t="shared" si="96"/>
        <v>1222</v>
      </c>
      <c r="B1239" s="4"/>
      <c r="I1239" s="8"/>
      <c r="J1239" s="5" t="str">
        <f t="shared" si="99"/>
        <v/>
      </c>
      <c r="K1239" s="3"/>
      <c r="L1239" s="3" t="str">
        <f t="shared" si="98"/>
        <v/>
      </c>
      <c r="N1239" s="3" t="str">
        <f t="shared" si="97"/>
        <v/>
      </c>
      <c r="O1239" s="6" t="str">
        <f t="shared" si="100"/>
        <v/>
      </c>
      <c r="P1239" s="7">
        <f ca="1">SUMIFS($N$2:$N1239,$B$2:$B1239,"&lt;&gt;"&amp;B1239)+SUM($Q$2:$Q1239)</f>
        <v>135.05500000000001</v>
      </c>
      <c r="R1239" t="b">
        <f>AND(ISNUMBER(FIND($E1239,Tables!$I$2)), ISNUMBER(FIND($D1239,Tables!$J$2)), $E1239&lt;&gt;"")</f>
        <v>0</v>
      </c>
    </row>
    <row r="1240" spans="1:18" x14ac:dyDescent="0.3">
      <c r="A1240">
        <f t="shared" si="96"/>
        <v>1223</v>
      </c>
      <c r="B1240" s="4"/>
      <c r="I1240" s="8"/>
      <c r="J1240" s="5" t="str">
        <f t="shared" si="99"/>
        <v/>
      </c>
      <c r="K1240" s="3"/>
      <c r="L1240" s="3" t="str">
        <f t="shared" si="98"/>
        <v/>
      </c>
      <c r="N1240" s="3" t="str">
        <f t="shared" si="97"/>
        <v/>
      </c>
      <c r="O1240" s="6" t="str">
        <f t="shared" si="100"/>
        <v/>
      </c>
      <c r="P1240" s="7">
        <f ca="1">SUMIFS($N$2:$N1240,$B$2:$B1240,"&lt;&gt;"&amp;B1240)+SUM($Q$2:$Q1240)</f>
        <v>135.05500000000001</v>
      </c>
      <c r="R1240" t="b">
        <f>AND(ISNUMBER(FIND($E1240,Tables!$I$2)), ISNUMBER(FIND($D1240,Tables!$J$2)), $E1240&lt;&gt;"")</f>
        <v>0</v>
      </c>
    </row>
    <row r="1241" spans="1:18" x14ac:dyDescent="0.3">
      <c r="A1241">
        <f t="shared" si="96"/>
        <v>1224</v>
      </c>
      <c r="B1241" s="4"/>
      <c r="I1241" s="8"/>
      <c r="J1241" s="5" t="str">
        <f t="shared" si="99"/>
        <v/>
      </c>
      <c r="K1241" s="3"/>
      <c r="L1241" s="3" t="str">
        <f t="shared" si="98"/>
        <v/>
      </c>
      <c r="N1241" s="3" t="str">
        <f t="shared" si="97"/>
        <v/>
      </c>
      <c r="O1241" s="6" t="str">
        <f t="shared" si="100"/>
        <v/>
      </c>
      <c r="P1241" s="7">
        <f ca="1">SUMIFS($N$2:$N1241,$B$2:$B1241,"&lt;&gt;"&amp;B1241)+SUM($Q$2:$Q1241)</f>
        <v>135.05500000000001</v>
      </c>
      <c r="R1241" t="b">
        <f>AND(ISNUMBER(FIND($E1241,Tables!$I$2)), ISNUMBER(FIND($D1241,Tables!$J$2)), $E1241&lt;&gt;"")</f>
        <v>0</v>
      </c>
    </row>
    <row r="1242" spans="1:18" x14ac:dyDescent="0.3">
      <c r="A1242">
        <f t="shared" si="96"/>
        <v>1225</v>
      </c>
      <c r="B1242" s="4"/>
      <c r="I1242" s="8"/>
      <c r="J1242" s="5" t="str">
        <f t="shared" si="99"/>
        <v/>
      </c>
      <c r="K1242" s="3"/>
      <c r="L1242" s="3" t="str">
        <f t="shared" si="98"/>
        <v/>
      </c>
      <c r="N1242" s="3" t="str">
        <f t="shared" si="97"/>
        <v/>
      </c>
      <c r="O1242" s="6" t="str">
        <f t="shared" si="100"/>
        <v/>
      </c>
      <c r="P1242" s="7">
        <f ca="1">SUMIFS($N$2:$N1242,$B$2:$B1242,"&lt;&gt;"&amp;B1242)+SUM($Q$2:$Q1242)</f>
        <v>135.05500000000001</v>
      </c>
      <c r="R1242" t="b">
        <f>AND(ISNUMBER(FIND($E1242,Tables!$I$2)), ISNUMBER(FIND($D1242,Tables!$J$2)), $E1242&lt;&gt;"")</f>
        <v>0</v>
      </c>
    </row>
    <row r="1243" spans="1:18" x14ac:dyDescent="0.3">
      <c r="A1243">
        <f t="shared" si="96"/>
        <v>1226</v>
      </c>
      <c r="B1243" s="4"/>
      <c r="I1243" s="8"/>
      <c r="J1243" s="5" t="str">
        <f t="shared" si="99"/>
        <v/>
      </c>
      <c r="K1243" s="3"/>
      <c r="L1243" s="3" t="str">
        <f t="shared" si="98"/>
        <v/>
      </c>
      <c r="N1243" s="3" t="str">
        <f t="shared" si="97"/>
        <v/>
      </c>
      <c r="O1243" s="6" t="str">
        <f t="shared" si="100"/>
        <v/>
      </c>
      <c r="P1243" s="7">
        <f ca="1">SUMIFS($N$2:$N1243,$B$2:$B1243,"&lt;&gt;"&amp;B1243)+SUM($Q$2:$Q1243)</f>
        <v>135.05500000000001</v>
      </c>
      <c r="R1243" t="b">
        <f>AND(ISNUMBER(FIND($E1243,Tables!$I$2)), ISNUMBER(FIND($D1243,Tables!$J$2)), $E1243&lt;&gt;"")</f>
        <v>0</v>
      </c>
    </row>
    <row r="1244" spans="1:18" x14ac:dyDescent="0.3">
      <c r="A1244">
        <f t="shared" si="96"/>
        <v>1227</v>
      </c>
      <c r="B1244" s="4"/>
      <c r="I1244" s="8"/>
      <c r="J1244" s="5" t="str">
        <f t="shared" si="99"/>
        <v/>
      </c>
      <c r="K1244" s="3"/>
      <c r="L1244" s="3" t="str">
        <f t="shared" si="98"/>
        <v/>
      </c>
      <c r="N1244" s="3" t="str">
        <f t="shared" si="97"/>
        <v/>
      </c>
      <c r="O1244" s="6" t="str">
        <f t="shared" si="100"/>
        <v/>
      </c>
      <c r="P1244" s="7">
        <f ca="1">SUMIFS($N$2:$N1244,$B$2:$B1244,"&lt;&gt;"&amp;B1244)+SUM($Q$2:$Q1244)</f>
        <v>135.05500000000001</v>
      </c>
      <c r="R1244" t="b">
        <f>AND(ISNUMBER(FIND($E1244,Tables!$I$2)), ISNUMBER(FIND($D1244,Tables!$J$2)), $E1244&lt;&gt;"")</f>
        <v>0</v>
      </c>
    </row>
    <row r="1245" spans="1:18" x14ac:dyDescent="0.3">
      <c r="A1245">
        <f t="shared" si="96"/>
        <v>1228</v>
      </c>
      <c r="B1245" s="4"/>
      <c r="I1245" s="8"/>
      <c r="J1245" s="5" t="str">
        <f t="shared" si="99"/>
        <v/>
      </c>
      <c r="K1245" s="3"/>
      <c r="L1245" s="3" t="str">
        <f t="shared" si="98"/>
        <v/>
      </c>
      <c r="N1245" s="3" t="str">
        <f t="shared" si="97"/>
        <v/>
      </c>
      <c r="O1245" s="6" t="str">
        <f t="shared" si="100"/>
        <v/>
      </c>
      <c r="P1245" s="7">
        <f ca="1">SUMIFS($N$2:$N1245,$B$2:$B1245,"&lt;&gt;"&amp;B1245)+SUM($Q$2:$Q1245)</f>
        <v>135.05500000000001</v>
      </c>
      <c r="R1245" t="b">
        <f>AND(ISNUMBER(FIND($E1245,Tables!$I$2)), ISNUMBER(FIND($D1245,Tables!$J$2)), $E1245&lt;&gt;"")</f>
        <v>0</v>
      </c>
    </row>
    <row r="1246" spans="1:18" x14ac:dyDescent="0.3">
      <c r="A1246">
        <f t="shared" si="96"/>
        <v>1229</v>
      </c>
      <c r="B1246" s="4"/>
      <c r="I1246" s="8"/>
      <c r="J1246" s="5" t="str">
        <f t="shared" si="99"/>
        <v/>
      </c>
      <c r="K1246" s="3"/>
      <c r="L1246" s="3" t="str">
        <f t="shared" si="98"/>
        <v/>
      </c>
      <c r="N1246" s="3" t="str">
        <f t="shared" si="97"/>
        <v/>
      </c>
      <c r="O1246" s="6" t="str">
        <f t="shared" si="100"/>
        <v/>
      </c>
      <c r="P1246" s="7">
        <f ca="1">SUMIFS($N$2:$N1246,$B$2:$B1246,"&lt;&gt;"&amp;B1246)+SUM($Q$2:$Q1246)</f>
        <v>135.05500000000001</v>
      </c>
      <c r="R1246" t="b">
        <f>AND(ISNUMBER(FIND($E1246,Tables!$I$2)), ISNUMBER(FIND($D1246,Tables!$J$2)), $E1246&lt;&gt;"")</f>
        <v>0</v>
      </c>
    </row>
    <row r="1247" spans="1:18" x14ac:dyDescent="0.3">
      <c r="A1247">
        <f t="shared" si="96"/>
        <v>1230</v>
      </c>
      <c r="B1247" s="4"/>
      <c r="I1247" s="8"/>
      <c r="J1247" s="5" t="str">
        <f t="shared" si="99"/>
        <v/>
      </c>
      <c r="K1247" s="3"/>
      <c r="L1247" s="3" t="str">
        <f t="shared" si="98"/>
        <v/>
      </c>
      <c r="N1247" s="3" t="str">
        <f t="shared" si="97"/>
        <v/>
      </c>
      <c r="O1247" s="6" t="str">
        <f t="shared" si="100"/>
        <v/>
      </c>
      <c r="P1247" s="7">
        <f ca="1">SUMIFS($N$2:$N1247,$B$2:$B1247,"&lt;&gt;"&amp;B1247)+SUM($Q$2:$Q1247)</f>
        <v>135.05500000000001</v>
      </c>
      <c r="R1247" t="b">
        <f>AND(ISNUMBER(FIND($E1247,Tables!$I$2)), ISNUMBER(FIND($D1247,Tables!$J$2)), $E1247&lt;&gt;"")</f>
        <v>0</v>
      </c>
    </row>
    <row r="1248" spans="1:18" x14ac:dyDescent="0.3">
      <c r="A1248">
        <f t="shared" si="96"/>
        <v>1231</v>
      </c>
      <c r="B1248" s="4"/>
      <c r="I1248" s="8"/>
      <c r="J1248" s="5" t="str">
        <f t="shared" si="99"/>
        <v/>
      </c>
      <c r="K1248" s="3"/>
      <c r="L1248" s="3" t="str">
        <f t="shared" si="98"/>
        <v/>
      </c>
      <c r="N1248" s="3" t="str">
        <f t="shared" si="97"/>
        <v/>
      </c>
      <c r="O1248" s="6" t="str">
        <f t="shared" si="100"/>
        <v/>
      </c>
      <c r="P1248" s="7">
        <f ca="1">SUMIFS($N$2:$N1248,$B$2:$B1248,"&lt;&gt;"&amp;B1248)+SUM($Q$2:$Q1248)</f>
        <v>135.05500000000001</v>
      </c>
      <c r="R1248" t="b">
        <f>AND(ISNUMBER(FIND($E1248,Tables!$I$2)), ISNUMBER(FIND($D1248,Tables!$J$2)), $E1248&lt;&gt;"")</f>
        <v>0</v>
      </c>
    </row>
    <row r="1249" spans="1:18" x14ac:dyDescent="0.3">
      <c r="A1249">
        <f t="shared" si="96"/>
        <v>1232</v>
      </c>
      <c r="B1249" s="4"/>
      <c r="I1249" s="8"/>
      <c r="J1249" s="5" t="str">
        <f t="shared" si="99"/>
        <v/>
      </c>
      <c r="K1249" s="3"/>
      <c r="L1249" s="3" t="str">
        <f t="shared" si="98"/>
        <v/>
      </c>
      <c r="N1249" s="3" t="str">
        <f t="shared" si="97"/>
        <v/>
      </c>
      <c r="O1249" s="6" t="str">
        <f t="shared" si="100"/>
        <v/>
      </c>
      <c r="P1249" s="7">
        <f ca="1">SUMIFS($N$2:$N1249,$B$2:$B1249,"&lt;&gt;"&amp;B1249)+SUM($Q$2:$Q1249)</f>
        <v>135.05500000000001</v>
      </c>
      <c r="R1249" t="b">
        <f>AND(ISNUMBER(FIND($E1249,Tables!$I$2)), ISNUMBER(FIND($D1249,Tables!$J$2)), $E1249&lt;&gt;"")</f>
        <v>0</v>
      </c>
    </row>
    <row r="1250" spans="1:18" x14ac:dyDescent="0.3">
      <c r="A1250">
        <f t="shared" ref="A1250:A1313" si="101">IF(AND(B1250="", D1250&lt;&gt;""), A1249, A1249+1)</f>
        <v>1233</v>
      </c>
      <c r="B1250" s="4"/>
      <c r="I1250" s="8"/>
      <c r="J1250" s="5" t="str">
        <f t="shared" si="99"/>
        <v/>
      </c>
      <c r="K1250" s="3"/>
      <c r="L1250" s="3" t="str">
        <f t="shared" si="98"/>
        <v/>
      </c>
      <c r="N1250" s="3" t="str">
        <f t="shared" si="97"/>
        <v/>
      </c>
      <c r="O1250" s="6" t="str">
        <f t="shared" si="100"/>
        <v/>
      </c>
      <c r="P1250" s="7">
        <f ca="1">SUMIFS($N$2:$N1250,$B$2:$B1250,"&lt;&gt;"&amp;B1250)+SUM($Q$2:$Q1250)</f>
        <v>135.05500000000001</v>
      </c>
      <c r="R1250" t="b">
        <f>AND(ISNUMBER(FIND($E1250,Tables!$I$2)), ISNUMBER(FIND($D1250,Tables!$J$2)), $E1250&lt;&gt;"")</f>
        <v>0</v>
      </c>
    </row>
    <row r="1251" spans="1:18" x14ac:dyDescent="0.3">
      <c r="A1251">
        <f t="shared" si="101"/>
        <v>1234</v>
      </c>
      <c r="B1251" s="4"/>
      <c r="I1251" s="8"/>
      <c r="J1251" s="5" t="str">
        <f t="shared" si="99"/>
        <v/>
      </c>
      <c r="K1251" s="3"/>
      <c r="L1251" s="3" t="str">
        <f t="shared" si="98"/>
        <v/>
      </c>
      <c r="N1251" s="3" t="str">
        <f t="shared" si="97"/>
        <v/>
      </c>
      <c r="O1251" s="6" t="str">
        <f t="shared" si="100"/>
        <v/>
      </c>
      <c r="P1251" s="7">
        <f ca="1">SUMIFS($N$2:$N1251,$B$2:$B1251,"&lt;&gt;"&amp;B1251)+SUM($Q$2:$Q1251)</f>
        <v>135.05500000000001</v>
      </c>
      <c r="R1251" t="b">
        <f>AND(ISNUMBER(FIND($E1251,Tables!$I$2)), ISNUMBER(FIND($D1251,Tables!$J$2)), $E1251&lt;&gt;"")</f>
        <v>0</v>
      </c>
    </row>
    <row r="1252" spans="1:18" x14ac:dyDescent="0.3">
      <c r="A1252">
        <f t="shared" si="101"/>
        <v>1235</v>
      </c>
      <c r="B1252" s="4"/>
      <c r="I1252" s="8"/>
      <c r="J1252" s="5" t="str">
        <f t="shared" si="99"/>
        <v/>
      </c>
      <c r="K1252" s="3"/>
      <c r="L1252" s="3" t="str">
        <f t="shared" si="98"/>
        <v/>
      </c>
      <c r="N1252" s="3" t="str">
        <f t="shared" si="97"/>
        <v/>
      </c>
      <c r="O1252" s="6" t="str">
        <f t="shared" si="100"/>
        <v/>
      </c>
      <c r="P1252" s="7">
        <f ca="1">SUMIFS($N$2:$N1252,$B$2:$B1252,"&lt;&gt;"&amp;B1252)+SUM($Q$2:$Q1252)</f>
        <v>135.05500000000001</v>
      </c>
      <c r="R1252" t="b">
        <f>AND(ISNUMBER(FIND($E1252,Tables!$I$2)), ISNUMBER(FIND($D1252,Tables!$J$2)), $E1252&lt;&gt;"")</f>
        <v>0</v>
      </c>
    </row>
    <row r="1253" spans="1:18" x14ac:dyDescent="0.3">
      <c r="A1253">
        <f t="shared" si="101"/>
        <v>1236</v>
      </c>
      <c r="B1253" s="4"/>
      <c r="I1253" s="8"/>
      <c r="J1253" s="5" t="str">
        <f t="shared" si="99"/>
        <v/>
      </c>
      <c r="K1253" s="3"/>
      <c r="L1253" s="3" t="str">
        <f t="shared" si="98"/>
        <v/>
      </c>
      <c r="N1253" s="3" t="str">
        <f t="shared" si="97"/>
        <v/>
      </c>
      <c r="O1253" s="6" t="str">
        <f t="shared" si="100"/>
        <v/>
      </c>
      <c r="P1253" s="7">
        <f ca="1">SUMIFS($N$2:$N1253,$B$2:$B1253,"&lt;&gt;"&amp;B1253)+SUM($Q$2:$Q1253)</f>
        <v>135.05500000000001</v>
      </c>
      <c r="R1253" t="b">
        <f>AND(ISNUMBER(FIND($E1253,Tables!$I$2)), ISNUMBER(FIND($D1253,Tables!$J$2)), $E1253&lt;&gt;"")</f>
        <v>0</v>
      </c>
    </row>
    <row r="1254" spans="1:18" x14ac:dyDescent="0.3">
      <c r="A1254">
        <f t="shared" si="101"/>
        <v>1237</v>
      </c>
      <c r="B1254" s="4"/>
      <c r="I1254" s="8"/>
      <c r="J1254" s="5" t="str">
        <f t="shared" si="99"/>
        <v/>
      </c>
      <c r="K1254" s="3"/>
      <c r="L1254" s="3" t="str">
        <f t="shared" si="98"/>
        <v/>
      </c>
      <c r="N1254" s="3" t="str">
        <f t="shared" si="97"/>
        <v/>
      </c>
      <c r="O1254" s="6" t="str">
        <f t="shared" si="100"/>
        <v/>
      </c>
      <c r="P1254" s="7">
        <f ca="1">SUMIFS($N$2:$N1254,$B$2:$B1254,"&lt;&gt;"&amp;B1254)+SUM($Q$2:$Q1254)</f>
        <v>135.05500000000001</v>
      </c>
      <c r="R1254" t="b">
        <f>AND(ISNUMBER(FIND($E1254,Tables!$I$2)), ISNUMBER(FIND($D1254,Tables!$J$2)), $E1254&lt;&gt;"")</f>
        <v>0</v>
      </c>
    </row>
    <row r="1255" spans="1:18" x14ac:dyDescent="0.3">
      <c r="A1255">
        <f t="shared" si="101"/>
        <v>1238</v>
      </c>
      <c r="B1255" s="4"/>
      <c r="I1255" s="8"/>
      <c r="J1255" s="5" t="str">
        <f t="shared" si="99"/>
        <v/>
      </c>
      <c r="K1255" s="3"/>
      <c r="L1255" s="3" t="str">
        <f t="shared" si="98"/>
        <v/>
      </c>
      <c r="N1255" s="3" t="str">
        <f t="shared" si="97"/>
        <v/>
      </c>
      <c r="O1255" s="6" t="str">
        <f t="shared" si="100"/>
        <v/>
      </c>
      <c r="P1255" s="7">
        <f ca="1">SUMIFS($N$2:$N1255,$B$2:$B1255,"&lt;&gt;"&amp;B1255)+SUM($Q$2:$Q1255)</f>
        <v>135.05500000000001</v>
      </c>
      <c r="R1255" t="b">
        <f>AND(ISNUMBER(FIND($E1255,Tables!$I$2)), ISNUMBER(FIND($D1255,Tables!$J$2)), $E1255&lt;&gt;"")</f>
        <v>0</v>
      </c>
    </row>
    <row r="1256" spans="1:18" x14ac:dyDescent="0.3">
      <c r="A1256">
        <f t="shared" si="101"/>
        <v>1239</v>
      </c>
      <c r="B1256" s="4"/>
      <c r="I1256" s="8"/>
      <c r="J1256" s="5" t="str">
        <f t="shared" si="99"/>
        <v/>
      </c>
      <c r="K1256" s="3"/>
      <c r="L1256" s="3" t="str">
        <f t="shared" si="98"/>
        <v/>
      </c>
      <c r="N1256" s="3" t="str">
        <f t="shared" ref="N1256:N1319" si="102">IF(L1256 = "", "", IF(M1256="", "", IF(OR(M1256="Draw",M1256="NC"), 0, IF(M1256="win", L1256, -1*K1256))))</f>
        <v/>
      </c>
      <c r="O1256" s="6" t="str">
        <f t="shared" si="100"/>
        <v/>
      </c>
      <c r="P1256" s="7">
        <f ca="1">SUMIFS($N$2:$N1256,$B$2:$B1256,"&lt;&gt;"&amp;B1256)+SUM($Q$2:$Q1256)</f>
        <v>135.05500000000001</v>
      </c>
      <c r="R1256" t="b">
        <f>AND(ISNUMBER(FIND($E1256,Tables!$I$2)), ISNUMBER(FIND($D1256,Tables!$J$2)), $E1256&lt;&gt;"")</f>
        <v>0</v>
      </c>
    </row>
    <row r="1257" spans="1:18" x14ac:dyDescent="0.3">
      <c r="A1257">
        <f t="shared" si="101"/>
        <v>1240</v>
      </c>
      <c r="B1257" s="4"/>
      <c r="I1257" s="8"/>
      <c r="J1257" s="5" t="str">
        <f t="shared" si="99"/>
        <v/>
      </c>
      <c r="K1257" s="3"/>
      <c r="L1257" s="3" t="str">
        <f t="shared" si="98"/>
        <v/>
      </c>
      <c r="N1257" s="3" t="str">
        <f t="shared" si="102"/>
        <v/>
      </c>
      <c r="O1257" s="6" t="str">
        <f t="shared" si="100"/>
        <v/>
      </c>
      <c r="P1257" s="7">
        <f ca="1">SUMIFS($N$2:$N1257,$B$2:$B1257,"&lt;&gt;"&amp;B1257)+SUM($Q$2:$Q1257)</f>
        <v>135.05500000000001</v>
      </c>
      <c r="R1257" t="b">
        <f>AND(ISNUMBER(FIND($E1257,Tables!$I$2)), ISNUMBER(FIND($D1257,Tables!$J$2)), $E1257&lt;&gt;"")</f>
        <v>0</v>
      </c>
    </row>
    <row r="1258" spans="1:18" x14ac:dyDescent="0.3">
      <c r="A1258">
        <f t="shared" si="101"/>
        <v>1241</v>
      </c>
      <c r="B1258" s="4"/>
      <c r="I1258" s="8"/>
      <c r="J1258" s="5" t="str">
        <f t="shared" si="99"/>
        <v/>
      </c>
      <c r="K1258" s="3"/>
      <c r="L1258" s="3" t="str">
        <f t="shared" si="98"/>
        <v/>
      </c>
      <c r="N1258" s="3" t="str">
        <f t="shared" si="102"/>
        <v/>
      </c>
      <c r="O1258" s="6" t="str">
        <f t="shared" si="100"/>
        <v/>
      </c>
      <c r="P1258" s="7">
        <f ca="1">SUMIFS($N$2:$N1258,$B$2:$B1258,"&lt;&gt;"&amp;B1258)+SUM($Q$2:$Q1258)</f>
        <v>135.05500000000001</v>
      </c>
      <c r="R1258" t="b">
        <f>AND(ISNUMBER(FIND($E1258,Tables!$I$2)), ISNUMBER(FIND($D1258,Tables!$J$2)), $E1258&lt;&gt;"")</f>
        <v>0</v>
      </c>
    </row>
    <row r="1259" spans="1:18" x14ac:dyDescent="0.3">
      <c r="A1259">
        <f t="shared" si="101"/>
        <v>1242</v>
      </c>
      <c r="B1259" s="4"/>
      <c r="I1259" s="8"/>
      <c r="J1259" s="5" t="str">
        <f t="shared" si="99"/>
        <v/>
      </c>
      <c r="K1259" s="3"/>
      <c r="L1259" s="3" t="str">
        <f t="shared" si="98"/>
        <v/>
      </c>
      <c r="N1259" s="3" t="str">
        <f t="shared" si="102"/>
        <v/>
      </c>
      <c r="O1259" s="6" t="str">
        <f t="shared" si="100"/>
        <v/>
      </c>
      <c r="P1259" s="7">
        <f ca="1">SUMIFS($N$2:$N1259,$B$2:$B1259,"&lt;&gt;"&amp;B1259)+SUM($Q$2:$Q1259)</f>
        <v>135.05500000000001</v>
      </c>
      <c r="R1259" t="b">
        <f>AND(ISNUMBER(FIND($E1259,Tables!$I$2)), ISNUMBER(FIND($D1259,Tables!$J$2)), $E1259&lt;&gt;"")</f>
        <v>0</v>
      </c>
    </row>
    <row r="1260" spans="1:18" x14ac:dyDescent="0.3">
      <c r="A1260">
        <f t="shared" si="101"/>
        <v>1243</v>
      </c>
      <c r="B1260" s="4"/>
      <c r="I1260" s="8"/>
      <c r="J1260" s="5" t="str">
        <f t="shared" si="99"/>
        <v/>
      </c>
      <c r="K1260" s="3"/>
      <c r="L1260" s="3" t="str">
        <f t="shared" si="98"/>
        <v/>
      </c>
      <c r="N1260" s="3" t="str">
        <f t="shared" si="102"/>
        <v/>
      </c>
      <c r="O1260" s="6" t="str">
        <f t="shared" si="100"/>
        <v/>
      </c>
      <c r="P1260" s="7">
        <f ca="1">SUMIFS($N$2:$N1260,$B$2:$B1260,"&lt;&gt;"&amp;B1260)+SUM($Q$2:$Q1260)</f>
        <v>135.05500000000001</v>
      </c>
      <c r="R1260" t="b">
        <f>AND(ISNUMBER(FIND($E1260,Tables!$I$2)), ISNUMBER(FIND($D1260,Tables!$J$2)), $E1260&lt;&gt;"")</f>
        <v>0</v>
      </c>
    </row>
    <row r="1261" spans="1:18" x14ac:dyDescent="0.3">
      <c r="A1261">
        <f t="shared" si="101"/>
        <v>1244</v>
      </c>
      <c r="B1261" s="4"/>
      <c r="I1261" s="8"/>
      <c r="J1261" s="5" t="str">
        <f t="shared" si="99"/>
        <v/>
      </c>
      <c r="K1261" s="3"/>
      <c r="L1261" s="3" t="str">
        <f t="shared" si="98"/>
        <v/>
      </c>
      <c r="N1261" s="3" t="str">
        <f t="shared" si="102"/>
        <v/>
      </c>
      <c r="O1261" s="6" t="str">
        <f t="shared" si="100"/>
        <v/>
      </c>
      <c r="P1261" s="7">
        <f ca="1">SUMIFS($N$2:$N1261,$B$2:$B1261,"&lt;&gt;"&amp;B1261)+SUM($Q$2:$Q1261)</f>
        <v>135.05500000000001</v>
      </c>
      <c r="R1261" t="b">
        <f>AND(ISNUMBER(FIND($E1261,Tables!$I$2)), ISNUMBER(FIND($D1261,Tables!$J$2)), $E1261&lt;&gt;"")</f>
        <v>0</v>
      </c>
    </row>
    <row r="1262" spans="1:18" x14ac:dyDescent="0.3">
      <c r="A1262">
        <f t="shared" si="101"/>
        <v>1245</v>
      </c>
      <c r="B1262" s="4"/>
      <c r="I1262" s="8"/>
      <c r="J1262" s="5" t="str">
        <f t="shared" si="99"/>
        <v/>
      </c>
      <c r="K1262" s="3"/>
      <c r="L1262" s="3" t="str">
        <f t="shared" si="98"/>
        <v/>
      </c>
      <c r="N1262" s="3" t="str">
        <f t="shared" si="102"/>
        <v/>
      </c>
      <c r="O1262" s="6" t="str">
        <f t="shared" si="100"/>
        <v/>
      </c>
      <c r="P1262" s="7">
        <f ca="1">SUMIFS($N$2:$N1262,$B$2:$B1262,"&lt;&gt;"&amp;B1262)+SUM($Q$2:$Q1262)</f>
        <v>135.05500000000001</v>
      </c>
      <c r="R1262" t="b">
        <f>AND(ISNUMBER(FIND($E1262,Tables!$I$2)), ISNUMBER(FIND($D1262,Tables!$J$2)), $E1262&lt;&gt;"")</f>
        <v>0</v>
      </c>
    </row>
    <row r="1263" spans="1:18" x14ac:dyDescent="0.3">
      <c r="A1263">
        <f t="shared" si="101"/>
        <v>1246</v>
      </c>
      <c r="B1263" s="4"/>
      <c r="I1263" s="8"/>
      <c r="J1263" s="5" t="str">
        <f t="shared" si="99"/>
        <v/>
      </c>
      <c r="K1263" s="3"/>
      <c r="L1263" s="3" t="str">
        <f t="shared" si="98"/>
        <v/>
      </c>
      <c r="N1263" s="3" t="str">
        <f t="shared" si="102"/>
        <v/>
      </c>
      <c r="O1263" s="6" t="str">
        <f t="shared" si="100"/>
        <v/>
      </c>
      <c r="P1263" s="7">
        <f ca="1">SUMIFS($N$2:$N1263,$B$2:$B1263,"&lt;&gt;"&amp;B1263)+SUM($Q$2:$Q1263)</f>
        <v>135.05500000000001</v>
      </c>
      <c r="R1263" t="b">
        <f>AND(ISNUMBER(FIND($E1263,Tables!$I$2)), ISNUMBER(FIND($D1263,Tables!$J$2)), $E1263&lt;&gt;"")</f>
        <v>0</v>
      </c>
    </row>
    <row r="1264" spans="1:18" x14ac:dyDescent="0.3">
      <c r="A1264">
        <f t="shared" si="101"/>
        <v>1247</v>
      </c>
      <c r="B1264" s="4"/>
      <c r="I1264" s="8"/>
      <c r="J1264" s="5" t="str">
        <f t="shared" si="99"/>
        <v/>
      </c>
      <c r="K1264" s="3"/>
      <c r="L1264" s="3" t="str">
        <f t="shared" si="98"/>
        <v/>
      </c>
      <c r="N1264" s="3" t="str">
        <f t="shared" si="102"/>
        <v/>
      </c>
      <c r="O1264" s="6" t="str">
        <f t="shared" si="100"/>
        <v/>
      </c>
      <c r="P1264" s="7">
        <f ca="1">SUMIFS($N$2:$N1264,$B$2:$B1264,"&lt;&gt;"&amp;B1264)+SUM($Q$2:$Q1264)</f>
        <v>135.05500000000001</v>
      </c>
      <c r="R1264" t="b">
        <f>AND(ISNUMBER(FIND($E1264,Tables!$I$2)), ISNUMBER(FIND($D1264,Tables!$J$2)), $E1264&lt;&gt;"")</f>
        <v>0</v>
      </c>
    </row>
    <row r="1265" spans="1:18" x14ac:dyDescent="0.3">
      <c r="A1265">
        <f t="shared" si="101"/>
        <v>1248</v>
      </c>
      <c r="B1265" s="4"/>
      <c r="I1265" s="8"/>
      <c r="J1265" s="5" t="str">
        <f t="shared" si="99"/>
        <v/>
      </c>
      <c r="K1265" s="3"/>
      <c r="L1265" s="3" t="str">
        <f t="shared" si="98"/>
        <v/>
      </c>
      <c r="N1265" s="3" t="str">
        <f t="shared" si="102"/>
        <v/>
      </c>
      <c r="O1265" s="6" t="str">
        <f t="shared" si="100"/>
        <v/>
      </c>
      <c r="P1265" s="7">
        <f ca="1">SUMIFS($N$2:$N1265,$B$2:$B1265,"&lt;&gt;"&amp;B1265)+SUM($Q$2:$Q1265)</f>
        <v>135.05500000000001</v>
      </c>
      <c r="R1265" t="b">
        <f>AND(ISNUMBER(FIND($E1265,Tables!$I$2)), ISNUMBER(FIND($D1265,Tables!$J$2)), $E1265&lt;&gt;"")</f>
        <v>0</v>
      </c>
    </row>
    <row r="1266" spans="1:18" x14ac:dyDescent="0.3">
      <c r="A1266">
        <f t="shared" si="101"/>
        <v>1249</v>
      </c>
      <c r="B1266" s="4"/>
      <c r="I1266" s="8"/>
      <c r="J1266" s="5" t="str">
        <f t="shared" si="99"/>
        <v/>
      </c>
      <c r="K1266" s="3"/>
      <c r="L1266" s="3" t="str">
        <f t="shared" ref="L1266:L1329" si="103">IFERROR(IF(K1266=0, "", IF(I1266&gt;0, K1266/100*I1266,K1266/I1266*-100)), "")</f>
        <v/>
      </c>
      <c r="N1266" s="3" t="str">
        <f t="shared" si="102"/>
        <v/>
      </c>
      <c r="O1266" s="6" t="str">
        <f t="shared" si="100"/>
        <v/>
      </c>
      <c r="P1266" s="7">
        <f ca="1">SUMIFS($N$2:$N1266,$B$2:$B1266,"&lt;&gt;"&amp;B1266)+SUM($Q$2:$Q1266)</f>
        <v>135.05500000000001</v>
      </c>
      <c r="R1266" t="b">
        <f>AND(ISNUMBER(FIND($E1266,Tables!$I$2)), ISNUMBER(FIND($D1266,Tables!$J$2)), $E1266&lt;&gt;"")</f>
        <v>0</v>
      </c>
    </row>
    <row r="1267" spans="1:18" x14ac:dyDescent="0.3">
      <c r="A1267">
        <f t="shared" si="101"/>
        <v>1250</v>
      </c>
      <c r="B1267" s="4"/>
      <c r="I1267" s="8"/>
      <c r="J1267" s="5" t="str">
        <f t="shared" si="99"/>
        <v/>
      </c>
      <c r="K1267" s="3"/>
      <c r="L1267" s="3" t="str">
        <f t="shared" si="103"/>
        <v/>
      </c>
      <c r="N1267" s="3" t="str">
        <f t="shared" si="102"/>
        <v/>
      </c>
      <c r="O1267" s="6" t="str">
        <f t="shared" si="100"/>
        <v/>
      </c>
      <c r="P1267" s="7">
        <f ca="1">SUMIFS($N$2:$N1267,$B$2:$B1267,"&lt;&gt;"&amp;B1267)+SUM($Q$2:$Q1267)</f>
        <v>135.05500000000001</v>
      </c>
      <c r="R1267" t="b">
        <f>AND(ISNUMBER(FIND($E1267,Tables!$I$2)), ISNUMBER(FIND($D1267,Tables!$J$2)), $E1267&lt;&gt;"")</f>
        <v>0</v>
      </c>
    </row>
    <row r="1268" spans="1:18" x14ac:dyDescent="0.3">
      <c r="A1268">
        <f t="shared" si="101"/>
        <v>1251</v>
      </c>
      <c r="B1268" s="4"/>
      <c r="I1268" s="8"/>
      <c r="J1268" s="5" t="str">
        <f t="shared" si="99"/>
        <v/>
      </c>
      <c r="K1268" s="3"/>
      <c r="L1268" s="3" t="str">
        <f t="shared" si="103"/>
        <v/>
      </c>
      <c r="N1268" s="3" t="str">
        <f t="shared" si="102"/>
        <v/>
      </c>
      <c r="O1268" s="6" t="str">
        <f t="shared" si="100"/>
        <v/>
      </c>
      <c r="P1268" s="7">
        <f ca="1">SUMIFS($N$2:$N1268,$B$2:$B1268,"&lt;&gt;"&amp;B1268)+SUM($Q$2:$Q1268)</f>
        <v>135.05500000000001</v>
      </c>
      <c r="R1268" t="b">
        <f>AND(ISNUMBER(FIND($E1268,Tables!$I$2)), ISNUMBER(FIND($D1268,Tables!$J$2)), $E1268&lt;&gt;"")</f>
        <v>0</v>
      </c>
    </row>
    <row r="1269" spans="1:18" x14ac:dyDescent="0.3">
      <c r="A1269">
        <f t="shared" si="101"/>
        <v>1252</v>
      </c>
      <c r="B1269" s="4"/>
      <c r="I1269" s="8"/>
      <c r="J1269" s="5" t="str">
        <f t="shared" si="99"/>
        <v/>
      </c>
      <c r="K1269" s="3"/>
      <c r="L1269" s="3" t="str">
        <f t="shared" si="103"/>
        <v/>
      </c>
      <c r="N1269" s="3" t="str">
        <f t="shared" si="102"/>
        <v/>
      </c>
      <c r="O1269" s="6" t="str">
        <f t="shared" si="100"/>
        <v/>
      </c>
      <c r="P1269" s="7">
        <f ca="1">SUMIFS($N$2:$N1269,$B$2:$B1269,"&lt;&gt;"&amp;B1269)+SUM($Q$2:$Q1269)</f>
        <v>135.05500000000001</v>
      </c>
      <c r="R1269" t="b">
        <f>AND(ISNUMBER(FIND($E1269,Tables!$I$2)), ISNUMBER(FIND($D1269,Tables!$J$2)), $E1269&lt;&gt;"")</f>
        <v>0</v>
      </c>
    </row>
    <row r="1270" spans="1:18" x14ac:dyDescent="0.3">
      <c r="A1270">
        <f t="shared" si="101"/>
        <v>1253</v>
      </c>
      <c r="B1270" s="4"/>
      <c r="I1270" s="8"/>
      <c r="J1270" s="5" t="str">
        <f t="shared" si="99"/>
        <v/>
      </c>
      <c r="K1270" s="3"/>
      <c r="L1270" s="3" t="str">
        <f t="shared" si="103"/>
        <v/>
      </c>
      <c r="N1270" s="3" t="str">
        <f t="shared" si="102"/>
        <v/>
      </c>
      <c r="O1270" s="6" t="str">
        <f t="shared" si="100"/>
        <v/>
      </c>
      <c r="P1270" s="7">
        <f ca="1">SUMIFS($N$2:$N1270,$B$2:$B1270,"&lt;&gt;"&amp;B1270)+SUM($Q$2:$Q1270)</f>
        <v>135.05500000000001</v>
      </c>
      <c r="R1270" t="b">
        <f>AND(ISNUMBER(FIND($E1270,Tables!$I$2)), ISNUMBER(FIND($D1270,Tables!$J$2)), $E1270&lt;&gt;"")</f>
        <v>0</v>
      </c>
    </row>
    <row r="1271" spans="1:18" x14ac:dyDescent="0.3">
      <c r="A1271">
        <f t="shared" si="101"/>
        <v>1254</v>
      </c>
      <c r="B1271" s="4"/>
      <c r="I1271" s="8"/>
      <c r="J1271" s="5" t="str">
        <f t="shared" si="99"/>
        <v/>
      </c>
      <c r="K1271" s="3"/>
      <c r="L1271" s="3" t="str">
        <f t="shared" si="103"/>
        <v/>
      </c>
      <c r="N1271" s="3" t="str">
        <f t="shared" si="102"/>
        <v/>
      </c>
      <c r="O1271" s="6" t="str">
        <f t="shared" si="100"/>
        <v/>
      </c>
      <c r="P1271" s="7">
        <f ca="1">SUMIFS($N$2:$N1271,$B$2:$B1271,"&lt;&gt;"&amp;B1271)+SUM($Q$2:$Q1271)</f>
        <v>135.05500000000001</v>
      </c>
      <c r="R1271" t="b">
        <f>AND(ISNUMBER(FIND($E1271,Tables!$I$2)), ISNUMBER(FIND($D1271,Tables!$J$2)), $E1271&lt;&gt;"")</f>
        <v>0</v>
      </c>
    </row>
    <row r="1272" spans="1:18" x14ac:dyDescent="0.3">
      <c r="A1272">
        <f t="shared" si="101"/>
        <v>1255</v>
      </c>
      <c r="B1272" s="4"/>
      <c r="I1272" s="8"/>
      <c r="J1272" s="5" t="str">
        <f t="shared" si="99"/>
        <v/>
      </c>
      <c r="K1272" s="3"/>
      <c r="L1272" s="3" t="str">
        <f t="shared" si="103"/>
        <v/>
      </c>
      <c r="N1272" s="3" t="str">
        <f t="shared" si="102"/>
        <v/>
      </c>
      <c r="O1272" s="6" t="str">
        <f t="shared" si="100"/>
        <v/>
      </c>
      <c r="P1272" s="7">
        <f ca="1">SUMIFS($N$2:$N1272,$B$2:$B1272,"&lt;&gt;"&amp;B1272)+SUM($Q$2:$Q1272)</f>
        <v>135.05500000000001</v>
      </c>
      <c r="R1272" t="b">
        <f>AND(ISNUMBER(FIND($E1272,Tables!$I$2)), ISNUMBER(FIND($D1272,Tables!$J$2)), $E1272&lt;&gt;"")</f>
        <v>0</v>
      </c>
    </row>
    <row r="1273" spans="1:18" x14ac:dyDescent="0.3">
      <c r="A1273">
        <f t="shared" si="101"/>
        <v>1256</v>
      </c>
      <c r="B1273" s="4"/>
      <c r="I1273" s="8"/>
      <c r="J1273" s="5" t="str">
        <f t="shared" si="99"/>
        <v/>
      </c>
      <c r="K1273" s="3"/>
      <c r="L1273" s="3" t="str">
        <f t="shared" si="103"/>
        <v/>
      </c>
      <c r="N1273" s="3" t="str">
        <f t="shared" si="102"/>
        <v/>
      </c>
      <c r="O1273" s="6" t="str">
        <f t="shared" si="100"/>
        <v/>
      </c>
      <c r="P1273" s="7">
        <f ca="1">SUMIFS($N$2:$N1273,$B$2:$B1273,"&lt;&gt;"&amp;B1273)+SUM($Q$2:$Q1273)</f>
        <v>135.05500000000001</v>
      </c>
      <c r="R1273" t="b">
        <f>AND(ISNUMBER(FIND($E1273,Tables!$I$2)), ISNUMBER(FIND($D1273,Tables!$J$2)), $E1273&lt;&gt;"")</f>
        <v>0</v>
      </c>
    </row>
    <row r="1274" spans="1:18" x14ac:dyDescent="0.3">
      <c r="A1274">
        <f t="shared" si="101"/>
        <v>1257</v>
      </c>
      <c r="B1274" s="4"/>
      <c r="I1274" s="8"/>
      <c r="J1274" s="5" t="str">
        <f t="shared" si="99"/>
        <v/>
      </c>
      <c r="K1274" s="3"/>
      <c r="L1274" s="3" t="str">
        <f t="shared" si="103"/>
        <v/>
      </c>
      <c r="N1274" s="3" t="str">
        <f t="shared" si="102"/>
        <v/>
      </c>
      <c r="O1274" s="6" t="str">
        <f t="shared" si="100"/>
        <v/>
      </c>
      <c r="P1274" s="7">
        <f ca="1">SUMIFS($N$2:$N1274,$B$2:$B1274,"&lt;&gt;"&amp;B1274)+SUM($Q$2:$Q1274)</f>
        <v>135.05500000000001</v>
      </c>
      <c r="R1274" t="b">
        <f>AND(ISNUMBER(FIND($E1274,Tables!$I$2)), ISNUMBER(FIND($D1274,Tables!$J$2)), $E1274&lt;&gt;"")</f>
        <v>0</v>
      </c>
    </row>
    <row r="1275" spans="1:18" x14ac:dyDescent="0.3">
      <c r="A1275">
        <f t="shared" si="101"/>
        <v>1258</v>
      </c>
      <c r="B1275" s="4"/>
      <c r="I1275" s="8"/>
      <c r="J1275" s="5" t="str">
        <f t="shared" si="99"/>
        <v/>
      </c>
      <c r="K1275" s="3"/>
      <c r="L1275" s="3" t="str">
        <f t="shared" si="103"/>
        <v/>
      </c>
      <c r="N1275" s="3" t="str">
        <f t="shared" si="102"/>
        <v/>
      </c>
      <c r="O1275" s="6" t="str">
        <f t="shared" si="100"/>
        <v/>
      </c>
      <c r="P1275" s="7">
        <f ca="1">SUMIFS($N$2:$N1275,$B$2:$B1275,"&lt;&gt;"&amp;B1275)+SUM($Q$2:$Q1275)</f>
        <v>135.05500000000001</v>
      </c>
      <c r="R1275" t="b">
        <f>AND(ISNUMBER(FIND($E1275,Tables!$I$2)), ISNUMBER(FIND($D1275,Tables!$J$2)), $E1275&lt;&gt;"")</f>
        <v>0</v>
      </c>
    </row>
    <row r="1276" spans="1:18" x14ac:dyDescent="0.3">
      <c r="A1276">
        <f t="shared" si="101"/>
        <v>1259</v>
      </c>
      <c r="B1276" s="4"/>
      <c r="I1276" s="8"/>
      <c r="J1276" s="5" t="str">
        <f t="shared" si="99"/>
        <v/>
      </c>
      <c r="K1276" s="3"/>
      <c r="L1276" s="3" t="str">
        <f t="shared" si="103"/>
        <v/>
      </c>
      <c r="N1276" s="3" t="str">
        <f t="shared" si="102"/>
        <v/>
      </c>
      <c r="O1276" s="6" t="str">
        <f t="shared" si="100"/>
        <v/>
      </c>
      <c r="P1276" s="7">
        <f ca="1">SUMIFS($N$2:$N1276,$B$2:$B1276,"&lt;&gt;"&amp;B1276)+SUM($Q$2:$Q1276)</f>
        <v>135.05500000000001</v>
      </c>
      <c r="R1276" t="b">
        <f>AND(ISNUMBER(FIND($E1276,Tables!$I$2)), ISNUMBER(FIND($D1276,Tables!$J$2)), $E1276&lt;&gt;"")</f>
        <v>0</v>
      </c>
    </row>
    <row r="1277" spans="1:18" x14ac:dyDescent="0.3">
      <c r="A1277">
        <f t="shared" si="101"/>
        <v>1260</v>
      </c>
      <c r="B1277" s="4"/>
      <c r="I1277" s="8"/>
      <c r="J1277" s="5" t="str">
        <f t="shared" si="99"/>
        <v/>
      </c>
      <c r="K1277" s="3"/>
      <c r="L1277" s="3" t="str">
        <f t="shared" si="103"/>
        <v/>
      </c>
      <c r="N1277" s="3" t="str">
        <f t="shared" si="102"/>
        <v/>
      </c>
      <c r="O1277" s="6" t="str">
        <f t="shared" si="100"/>
        <v/>
      </c>
      <c r="P1277" s="7">
        <f ca="1">SUMIFS($N$2:$N1277,$B$2:$B1277,"&lt;&gt;"&amp;B1277)+SUM($Q$2:$Q1277)</f>
        <v>135.05500000000001</v>
      </c>
      <c r="R1277" t="b">
        <f>AND(ISNUMBER(FIND($E1277,Tables!$I$2)), ISNUMBER(FIND($D1277,Tables!$J$2)), $E1277&lt;&gt;"")</f>
        <v>0</v>
      </c>
    </row>
    <row r="1278" spans="1:18" x14ac:dyDescent="0.3">
      <c r="A1278">
        <f t="shared" si="101"/>
        <v>1261</v>
      </c>
      <c r="B1278" s="4"/>
      <c r="I1278" s="8"/>
      <c r="J1278" s="5" t="str">
        <f t="shared" si="99"/>
        <v/>
      </c>
      <c r="K1278" s="3"/>
      <c r="L1278" s="3" t="str">
        <f t="shared" si="103"/>
        <v/>
      </c>
      <c r="N1278" s="3" t="str">
        <f t="shared" si="102"/>
        <v/>
      </c>
      <c r="O1278" s="6" t="str">
        <f t="shared" si="100"/>
        <v/>
      </c>
      <c r="P1278" s="7">
        <f ca="1">SUMIFS($N$2:$N1278,$B$2:$B1278,"&lt;&gt;"&amp;B1278)+SUM($Q$2:$Q1278)</f>
        <v>135.05500000000001</v>
      </c>
      <c r="R1278" t="b">
        <f>AND(ISNUMBER(FIND($E1278,Tables!$I$2)), ISNUMBER(FIND($D1278,Tables!$J$2)), $E1278&lt;&gt;"")</f>
        <v>0</v>
      </c>
    </row>
    <row r="1279" spans="1:18" x14ac:dyDescent="0.3">
      <c r="A1279">
        <f t="shared" si="101"/>
        <v>1262</v>
      </c>
      <c r="B1279" s="4"/>
      <c r="I1279" s="8"/>
      <c r="J1279" s="5" t="str">
        <f t="shared" si="99"/>
        <v/>
      </c>
      <c r="K1279" s="3"/>
      <c r="L1279" s="3" t="str">
        <f t="shared" si="103"/>
        <v/>
      </c>
      <c r="N1279" s="3" t="str">
        <f t="shared" si="102"/>
        <v/>
      </c>
      <c r="O1279" s="6" t="str">
        <f t="shared" si="100"/>
        <v/>
      </c>
      <c r="P1279" s="7">
        <f ca="1">SUMIFS($N$2:$N1279,$B$2:$B1279,"&lt;&gt;"&amp;B1279)+SUM($Q$2:$Q1279)</f>
        <v>135.05500000000001</v>
      </c>
      <c r="R1279" t="b">
        <f>AND(ISNUMBER(FIND($E1279,Tables!$I$2)), ISNUMBER(FIND($D1279,Tables!$J$2)), $E1279&lt;&gt;"")</f>
        <v>0</v>
      </c>
    </row>
    <row r="1280" spans="1:18" x14ac:dyDescent="0.3">
      <c r="A1280">
        <f t="shared" si="101"/>
        <v>1263</v>
      </c>
      <c r="B1280" s="4"/>
      <c r="I1280" s="8"/>
      <c r="J1280" s="5" t="str">
        <f t="shared" si="99"/>
        <v/>
      </c>
      <c r="K1280" s="3"/>
      <c r="L1280" s="3" t="str">
        <f t="shared" si="103"/>
        <v/>
      </c>
      <c r="N1280" s="3" t="str">
        <f t="shared" si="102"/>
        <v/>
      </c>
      <c r="O1280" s="6" t="str">
        <f t="shared" si="100"/>
        <v/>
      </c>
      <c r="P1280" s="7">
        <f ca="1">SUMIFS($N$2:$N1280,$B$2:$B1280,"&lt;&gt;"&amp;B1280)+SUM($Q$2:$Q1280)</f>
        <v>135.05500000000001</v>
      </c>
      <c r="R1280" t="b">
        <f>AND(ISNUMBER(FIND($E1280,Tables!$I$2)), ISNUMBER(FIND($D1280,Tables!$J$2)), $E1280&lt;&gt;"")</f>
        <v>0</v>
      </c>
    </row>
    <row r="1281" spans="1:18" x14ac:dyDescent="0.3">
      <c r="A1281">
        <f t="shared" si="101"/>
        <v>1264</v>
      </c>
      <c r="B1281" s="4"/>
      <c r="I1281" s="8"/>
      <c r="J1281" s="5" t="str">
        <f t="shared" si="99"/>
        <v/>
      </c>
      <c r="K1281" s="3"/>
      <c r="L1281" s="3" t="str">
        <f t="shared" si="103"/>
        <v/>
      </c>
      <c r="N1281" s="3" t="str">
        <f t="shared" si="102"/>
        <v/>
      </c>
      <c r="O1281" s="6" t="str">
        <f t="shared" si="100"/>
        <v/>
      </c>
      <c r="P1281" s="7">
        <f ca="1">SUMIFS($N$2:$N1281,$B$2:$B1281,"&lt;&gt;"&amp;B1281)+SUM($Q$2:$Q1281)</f>
        <v>135.05500000000001</v>
      </c>
      <c r="R1281" t="b">
        <f>AND(ISNUMBER(FIND($E1281,Tables!$I$2)), ISNUMBER(FIND($D1281,Tables!$J$2)), $E1281&lt;&gt;"")</f>
        <v>0</v>
      </c>
    </row>
    <row r="1282" spans="1:18" x14ac:dyDescent="0.3">
      <c r="A1282">
        <f t="shared" si="101"/>
        <v>1265</v>
      </c>
      <c r="B1282" s="4"/>
      <c r="I1282" s="8"/>
      <c r="J1282" s="5" t="str">
        <f t="shared" ref="J1282:J1345" si="104">IF(I1282="", "", IF(I1282&gt;0, I1282/100 +1, -100/I1282 +1))</f>
        <v/>
      </c>
      <c r="K1282" s="3"/>
      <c r="L1282" s="3" t="str">
        <f t="shared" si="103"/>
        <v/>
      </c>
      <c r="N1282" s="3" t="str">
        <f t="shared" si="102"/>
        <v/>
      </c>
      <c r="O1282" s="6" t="str">
        <f t="shared" ref="O1282:O1345" si="105">IFERROR(K1282/VLOOKUP(_xlfn.MINIFS(A:A,B:B,B1282,C:C,C1282),A:P,16),"")</f>
        <v/>
      </c>
      <c r="P1282" s="7">
        <f ca="1">SUMIFS($N$2:$N1282,$B$2:$B1282,"&lt;&gt;"&amp;B1282)+SUM($Q$2:$Q1282)</f>
        <v>135.05500000000001</v>
      </c>
      <c r="R1282" t="b">
        <f>AND(ISNUMBER(FIND($E1282,Tables!$I$2)), ISNUMBER(FIND($D1282,Tables!$J$2)), $E1282&lt;&gt;"")</f>
        <v>0</v>
      </c>
    </row>
    <row r="1283" spans="1:18" x14ac:dyDescent="0.3">
      <c r="A1283">
        <f t="shared" si="101"/>
        <v>1266</v>
      </c>
      <c r="B1283" s="4"/>
      <c r="I1283" s="8"/>
      <c r="J1283" s="5" t="str">
        <f t="shared" si="104"/>
        <v/>
      </c>
      <c r="K1283" s="3"/>
      <c r="L1283" s="3" t="str">
        <f t="shared" si="103"/>
        <v/>
      </c>
      <c r="N1283" s="3" t="str">
        <f t="shared" si="102"/>
        <v/>
      </c>
      <c r="O1283" s="6" t="str">
        <f t="shared" si="105"/>
        <v/>
      </c>
      <c r="P1283" s="7">
        <f ca="1">SUMIFS($N$2:$N1283,$B$2:$B1283,"&lt;&gt;"&amp;B1283)+SUM($Q$2:$Q1283)</f>
        <v>135.05500000000001</v>
      </c>
      <c r="R1283" t="b">
        <f>AND(ISNUMBER(FIND($E1283,Tables!$I$2)), ISNUMBER(FIND($D1283,Tables!$J$2)), $E1283&lt;&gt;"")</f>
        <v>0</v>
      </c>
    </row>
    <row r="1284" spans="1:18" x14ac:dyDescent="0.3">
      <c r="A1284">
        <f t="shared" si="101"/>
        <v>1267</v>
      </c>
      <c r="B1284" s="4"/>
      <c r="I1284" s="8"/>
      <c r="J1284" s="5" t="str">
        <f t="shared" si="104"/>
        <v/>
      </c>
      <c r="K1284" s="3"/>
      <c r="L1284" s="3" t="str">
        <f t="shared" si="103"/>
        <v/>
      </c>
      <c r="N1284" s="3" t="str">
        <f t="shared" si="102"/>
        <v/>
      </c>
      <c r="O1284" s="6" t="str">
        <f t="shared" si="105"/>
        <v/>
      </c>
      <c r="P1284" s="7">
        <f ca="1">SUMIFS($N$2:$N1284,$B$2:$B1284,"&lt;&gt;"&amp;B1284)+SUM($Q$2:$Q1284)</f>
        <v>135.05500000000001</v>
      </c>
      <c r="R1284" t="b">
        <f>AND(ISNUMBER(FIND($E1284,Tables!$I$2)), ISNUMBER(FIND($D1284,Tables!$J$2)), $E1284&lt;&gt;"")</f>
        <v>0</v>
      </c>
    </row>
    <row r="1285" spans="1:18" x14ac:dyDescent="0.3">
      <c r="A1285">
        <f t="shared" si="101"/>
        <v>1268</v>
      </c>
      <c r="B1285" s="4"/>
      <c r="I1285" s="8"/>
      <c r="J1285" s="5" t="str">
        <f t="shared" si="104"/>
        <v/>
      </c>
      <c r="K1285" s="3"/>
      <c r="L1285" s="3" t="str">
        <f t="shared" si="103"/>
        <v/>
      </c>
      <c r="N1285" s="3" t="str">
        <f t="shared" si="102"/>
        <v/>
      </c>
      <c r="O1285" s="6" t="str">
        <f t="shared" si="105"/>
        <v/>
      </c>
      <c r="P1285" s="7">
        <f ca="1">SUMIFS($N$2:$N1285,$B$2:$B1285,"&lt;&gt;"&amp;B1285)+SUM($Q$2:$Q1285)</f>
        <v>135.05500000000001</v>
      </c>
      <c r="R1285" t="b">
        <f>AND(ISNUMBER(FIND($E1285,Tables!$I$2)), ISNUMBER(FIND($D1285,Tables!$J$2)), $E1285&lt;&gt;"")</f>
        <v>0</v>
      </c>
    </row>
    <row r="1286" spans="1:18" x14ac:dyDescent="0.3">
      <c r="A1286">
        <f t="shared" si="101"/>
        <v>1269</v>
      </c>
      <c r="B1286" s="4"/>
      <c r="I1286" s="8"/>
      <c r="J1286" s="5" t="str">
        <f t="shared" si="104"/>
        <v/>
      </c>
      <c r="K1286" s="3"/>
      <c r="L1286" s="3" t="str">
        <f t="shared" si="103"/>
        <v/>
      </c>
      <c r="N1286" s="3" t="str">
        <f t="shared" si="102"/>
        <v/>
      </c>
      <c r="O1286" s="6" t="str">
        <f t="shared" si="105"/>
        <v/>
      </c>
      <c r="P1286" s="7">
        <f ca="1">SUMIFS($N$2:$N1286,$B$2:$B1286,"&lt;&gt;"&amp;B1286)+SUM($Q$2:$Q1286)</f>
        <v>135.05500000000001</v>
      </c>
      <c r="R1286" t="b">
        <f>AND(ISNUMBER(FIND($E1286,Tables!$I$2)), ISNUMBER(FIND($D1286,Tables!$J$2)), $E1286&lt;&gt;"")</f>
        <v>0</v>
      </c>
    </row>
    <row r="1287" spans="1:18" x14ac:dyDescent="0.3">
      <c r="A1287">
        <f t="shared" si="101"/>
        <v>1270</v>
      </c>
      <c r="B1287" s="4"/>
      <c r="I1287" s="8"/>
      <c r="J1287" s="5" t="str">
        <f t="shared" si="104"/>
        <v/>
      </c>
      <c r="K1287" s="3"/>
      <c r="L1287" s="3" t="str">
        <f t="shared" si="103"/>
        <v/>
      </c>
      <c r="N1287" s="3" t="str">
        <f t="shared" si="102"/>
        <v/>
      </c>
      <c r="O1287" s="6" t="str">
        <f t="shared" si="105"/>
        <v/>
      </c>
      <c r="P1287" s="7">
        <f ca="1">SUMIFS($N$2:$N1287,$B$2:$B1287,"&lt;&gt;"&amp;B1287)+SUM($Q$2:$Q1287)</f>
        <v>135.05500000000001</v>
      </c>
      <c r="R1287" t="b">
        <f>AND(ISNUMBER(FIND($E1287,Tables!$I$2)), ISNUMBER(FIND($D1287,Tables!$J$2)), $E1287&lt;&gt;"")</f>
        <v>0</v>
      </c>
    </row>
    <row r="1288" spans="1:18" x14ac:dyDescent="0.3">
      <c r="A1288">
        <f t="shared" si="101"/>
        <v>1271</v>
      </c>
      <c r="B1288" s="4"/>
      <c r="I1288" s="8"/>
      <c r="J1288" s="5" t="str">
        <f t="shared" si="104"/>
        <v/>
      </c>
      <c r="K1288" s="3"/>
      <c r="L1288" s="3" t="str">
        <f t="shared" si="103"/>
        <v/>
      </c>
      <c r="N1288" s="3" t="str">
        <f t="shared" si="102"/>
        <v/>
      </c>
      <c r="O1288" s="6" t="str">
        <f t="shared" si="105"/>
        <v/>
      </c>
      <c r="P1288" s="7">
        <f ca="1">SUMIFS($N$2:$N1288,$B$2:$B1288,"&lt;&gt;"&amp;B1288)+SUM($Q$2:$Q1288)</f>
        <v>135.05500000000001</v>
      </c>
      <c r="R1288" t="b">
        <f>AND(ISNUMBER(FIND($E1288,Tables!$I$2)), ISNUMBER(FIND($D1288,Tables!$J$2)), $E1288&lt;&gt;"")</f>
        <v>0</v>
      </c>
    </row>
    <row r="1289" spans="1:18" x14ac:dyDescent="0.3">
      <c r="A1289">
        <f t="shared" si="101"/>
        <v>1272</v>
      </c>
      <c r="B1289" s="4"/>
      <c r="I1289" s="8"/>
      <c r="J1289" s="5" t="str">
        <f t="shared" si="104"/>
        <v/>
      </c>
      <c r="K1289" s="3"/>
      <c r="L1289" s="3" t="str">
        <f t="shared" si="103"/>
        <v/>
      </c>
      <c r="N1289" s="3" t="str">
        <f t="shared" si="102"/>
        <v/>
      </c>
      <c r="O1289" s="6" t="str">
        <f t="shared" si="105"/>
        <v/>
      </c>
      <c r="P1289" s="7">
        <f ca="1">SUMIFS($N$2:$N1289,$B$2:$B1289,"&lt;&gt;"&amp;B1289)+SUM($Q$2:$Q1289)</f>
        <v>135.05500000000001</v>
      </c>
      <c r="R1289" t="b">
        <f>AND(ISNUMBER(FIND($E1289,Tables!$I$2)), ISNUMBER(FIND($D1289,Tables!$J$2)), $E1289&lt;&gt;"")</f>
        <v>0</v>
      </c>
    </row>
    <row r="1290" spans="1:18" x14ac:dyDescent="0.3">
      <c r="A1290">
        <f t="shared" si="101"/>
        <v>1273</v>
      </c>
      <c r="B1290" s="4"/>
      <c r="I1290" s="8"/>
      <c r="J1290" s="5" t="str">
        <f t="shared" si="104"/>
        <v/>
      </c>
      <c r="K1290" s="3"/>
      <c r="L1290" s="3" t="str">
        <f t="shared" si="103"/>
        <v/>
      </c>
      <c r="N1290" s="3" t="str">
        <f t="shared" si="102"/>
        <v/>
      </c>
      <c r="O1290" s="6" t="str">
        <f t="shared" si="105"/>
        <v/>
      </c>
      <c r="P1290" s="7">
        <f ca="1">SUMIFS($N$2:$N1290,$B$2:$B1290,"&lt;&gt;"&amp;B1290)+SUM($Q$2:$Q1290)</f>
        <v>135.05500000000001</v>
      </c>
      <c r="R1290" t="b">
        <f>AND(ISNUMBER(FIND($E1290,Tables!$I$2)), ISNUMBER(FIND($D1290,Tables!$J$2)), $E1290&lt;&gt;"")</f>
        <v>0</v>
      </c>
    </row>
    <row r="1291" spans="1:18" x14ac:dyDescent="0.3">
      <c r="A1291">
        <f t="shared" si="101"/>
        <v>1274</v>
      </c>
      <c r="B1291" s="4"/>
      <c r="I1291" s="8"/>
      <c r="J1291" s="5" t="str">
        <f t="shared" si="104"/>
        <v/>
      </c>
      <c r="K1291" s="3"/>
      <c r="L1291" s="3" t="str">
        <f t="shared" si="103"/>
        <v/>
      </c>
      <c r="N1291" s="3" t="str">
        <f t="shared" si="102"/>
        <v/>
      </c>
      <c r="O1291" s="6" t="str">
        <f t="shared" si="105"/>
        <v/>
      </c>
      <c r="P1291" s="7">
        <f ca="1">SUMIFS($N$2:$N1291,$B$2:$B1291,"&lt;&gt;"&amp;B1291)+SUM($Q$2:$Q1291)</f>
        <v>135.05500000000001</v>
      </c>
      <c r="R1291" t="b">
        <f>AND(ISNUMBER(FIND($E1291,Tables!$I$2)), ISNUMBER(FIND($D1291,Tables!$J$2)), $E1291&lt;&gt;"")</f>
        <v>0</v>
      </c>
    </row>
    <row r="1292" spans="1:18" x14ac:dyDescent="0.3">
      <c r="A1292">
        <f t="shared" si="101"/>
        <v>1275</v>
      </c>
      <c r="B1292" s="4"/>
      <c r="I1292" s="8"/>
      <c r="J1292" s="5" t="str">
        <f t="shared" si="104"/>
        <v/>
      </c>
      <c r="K1292" s="3"/>
      <c r="L1292" s="3" t="str">
        <f t="shared" si="103"/>
        <v/>
      </c>
      <c r="N1292" s="3" t="str">
        <f t="shared" si="102"/>
        <v/>
      </c>
      <c r="O1292" s="6" t="str">
        <f t="shared" si="105"/>
        <v/>
      </c>
      <c r="P1292" s="7">
        <f ca="1">SUMIFS($N$2:$N1292,$B$2:$B1292,"&lt;&gt;"&amp;B1292)+SUM($Q$2:$Q1292)</f>
        <v>135.05500000000001</v>
      </c>
      <c r="R1292" t="b">
        <f>AND(ISNUMBER(FIND($E1292,Tables!$I$2)), ISNUMBER(FIND($D1292,Tables!$J$2)), $E1292&lt;&gt;"")</f>
        <v>0</v>
      </c>
    </row>
    <row r="1293" spans="1:18" x14ac:dyDescent="0.3">
      <c r="A1293">
        <f t="shared" si="101"/>
        <v>1276</v>
      </c>
      <c r="B1293" s="4"/>
      <c r="I1293" s="8"/>
      <c r="J1293" s="5" t="str">
        <f t="shared" si="104"/>
        <v/>
      </c>
      <c r="K1293" s="3"/>
      <c r="L1293" s="3" t="str">
        <f t="shared" si="103"/>
        <v/>
      </c>
      <c r="N1293" s="3" t="str">
        <f t="shared" si="102"/>
        <v/>
      </c>
      <c r="O1293" s="6" t="str">
        <f t="shared" si="105"/>
        <v/>
      </c>
      <c r="P1293" s="7">
        <f ca="1">SUMIFS($N$2:$N1293,$B$2:$B1293,"&lt;&gt;"&amp;B1293)+SUM($Q$2:$Q1293)</f>
        <v>135.05500000000001</v>
      </c>
      <c r="R1293" t="b">
        <f>AND(ISNUMBER(FIND($E1293,Tables!$I$2)), ISNUMBER(FIND($D1293,Tables!$J$2)), $E1293&lt;&gt;"")</f>
        <v>0</v>
      </c>
    </row>
    <row r="1294" spans="1:18" x14ac:dyDescent="0.3">
      <c r="A1294">
        <f t="shared" si="101"/>
        <v>1277</v>
      </c>
      <c r="B1294" s="4"/>
      <c r="I1294" s="8"/>
      <c r="J1294" s="5" t="str">
        <f t="shared" si="104"/>
        <v/>
      </c>
      <c r="K1294" s="3"/>
      <c r="L1294" s="3" t="str">
        <f t="shared" si="103"/>
        <v/>
      </c>
      <c r="N1294" s="3" t="str">
        <f t="shared" si="102"/>
        <v/>
      </c>
      <c r="O1294" s="6" t="str">
        <f t="shared" si="105"/>
        <v/>
      </c>
      <c r="P1294" s="7">
        <f ca="1">SUMIFS($N$2:$N1294,$B$2:$B1294,"&lt;&gt;"&amp;B1294)+SUM($Q$2:$Q1294)</f>
        <v>135.05500000000001</v>
      </c>
      <c r="R1294" t="b">
        <f>AND(ISNUMBER(FIND($E1294,Tables!$I$2)), ISNUMBER(FIND($D1294,Tables!$J$2)), $E1294&lt;&gt;"")</f>
        <v>0</v>
      </c>
    </row>
    <row r="1295" spans="1:18" x14ac:dyDescent="0.3">
      <c r="A1295">
        <f t="shared" si="101"/>
        <v>1278</v>
      </c>
      <c r="B1295" s="4"/>
      <c r="I1295" s="8"/>
      <c r="J1295" s="5" t="str">
        <f t="shared" si="104"/>
        <v/>
      </c>
      <c r="K1295" s="3"/>
      <c r="L1295" s="3" t="str">
        <f t="shared" si="103"/>
        <v/>
      </c>
      <c r="N1295" s="3" t="str">
        <f t="shared" si="102"/>
        <v/>
      </c>
      <c r="O1295" s="6" t="str">
        <f t="shared" si="105"/>
        <v/>
      </c>
      <c r="P1295" s="7">
        <f ca="1">SUMIFS($N$2:$N1295,$B$2:$B1295,"&lt;&gt;"&amp;B1295)+SUM($Q$2:$Q1295)</f>
        <v>135.05500000000001</v>
      </c>
      <c r="R1295" t="b">
        <f>AND(ISNUMBER(FIND($E1295,Tables!$I$2)), ISNUMBER(FIND($D1295,Tables!$J$2)), $E1295&lt;&gt;"")</f>
        <v>0</v>
      </c>
    </row>
    <row r="1296" spans="1:18" x14ac:dyDescent="0.3">
      <c r="A1296">
        <f t="shared" si="101"/>
        <v>1279</v>
      </c>
      <c r="B1296" s="4"/>
      <c r="I1296" s="8"/>
      <c r="J1296" s="5" t="str">
        <f t="shared" si="104"/>
        <v/>
      </c>
      <c r="K1296" s="3"/>
      <c r="L1296" s="3" t="str">
        <f t="shared" si="103"/>
        <v/>
      </c>
      <c r="N1296" s="3" t="str">
        <f t="shared" si="102"/>
        <v/>
      </c>
      <c r="O1296" s="6" t="str">
        <f t="shared" si="105"/>
        <v/>
      </c>
      <c r="P1296" s="7">
        <f ca="1">SUMIFS($N$2:$N1296,$B$2:$B1296,"&lt;&gt;"&amp;B1296)+SUM($Q$2:$Q1296)</f>
        <v>135.05500000000001</v>
      </c>
      <c r="R1296" t="b">
        <f>AND(ISNUMBER(FIND($E1296,Tables!$I$2)), ISNUMBER(FIND($D1296,Tables!$J$2)), $E1296&lt;&gt;"")</f>
        <v>0</v>
      </c>
    </row>
    <row r="1297" spans="1:18" x14ac:dyDescent="0.3">
      <c r="A1297">
        <f t="shared" si="101"/>
        <v>1280</v>
      </c>
      <c r="B1297" s="4"/>
      <c r="I1297" s="8"/>
      <c r="J1297" s="5" t="str">
        <f t="shared" si="104"/>
        <v/>
      </c>
      <c r="K1297" s="3"/>
      <c r="L1297" s="3" t="str">
        <f t="shared" si="103"/>
        <v/>
      </c>
      <c r="N1297" s="3" t="str">
        <f t="shared" si="102"/>
        <v/>
      </c>
      <c r="O1297" s="6" t="str">
        <f t="shared" si="105"/>
        <v/>
      </c>
      <c r="P1297" s="7">
        <f ca="1">SUMIFS($N$2:$N1297,$B$2:$B1297,"&lt;&gt;"&amp;B1297)+SUM($Q$2:$Q1297)</f>
        <v>135.05500000000001</v>
      </c>
      <c r="R1297" t="b">
        <f>AND(ISNUMBER(FIND($E1297,Tables!$I$2)), ISNUMBER(FIND($D1297,Tables!$J$2)), $E1297&lt;&gt;"")</f>
        <v>0</v>
      </c>
    </row>
    <row r="1298" spans="1:18" x14ac:dyDescent="0.3">
      <c r="A1298">
        <f t="shared" si="101"/>
        <v>1281</v>
      </c>
      <c r="B1298" s="4"/>
      <c r="I1298" s="8"/>
      <c r="J1298" s="5" t="str">
        <f t="shared" si="104"/>
        <v/>
      </c>
      <c r="K1298" s="3"/>
      <c r="L1298" s="3" t="str">
        <f t="shared" si="103"/>
        <v/>
      </c>
      <c r="N1298" s="3" t="str">
        <f t="shared" si="102"/>
        <v/>
      </c>
      <c r="O1298" s="6" t="str">
        <f t="shared" si="105"/>
        <v/>
      </c>
      <c r="P1298" s="7">
        <f ca="1">SUMIFS($N$2:$N1298,$B$2:$B1298,"&lt;&gt;"&amp;B1298)+SUM($Q$2:$Q1298)</f>
        <v>135.05500000000001</v>
      </c>
      <c r="R1298" t="b">
        <f>AND(ISNUMBER(FIND($E1298,Tables!$I$2)), ISNUMBER(FIND($D1298,Tables!$J$2)), $E1298&lt;&gt;"")</f>
        <v>0</v>
      </c>
    </row>
    <row r="1299" spans="1:18" x14ac:dyDescent="0.3">
      <c r="A1299">
        <f t="shared" si="101"/>
        <v>1282</v>
      </c>
      <c r="B1299" s="4"/>
      <c r="I1299" s="8"/>
      <c r="J1299" s="5" t="str">
        <f t="shared" si="104"/>
        <v/>
      </c>
      <c r="K1299" s="3"/>
      <c r="L1299" s="3" t="str">
        <f t="shared" si="103"/>
        <v/>
      </c>
      <c r="N1299" s="3" t="str">
        <f t="shared" si="102"/>
        <v/>
      </c>
      <c r="O1299" s="6" t="str">
        <f t="shared" si="105"/>
        <v/>
      </c>
      <c r="P1299" s="7">
        <f ca="1">SUMIFS($N$2:$N1299,$B$2:$B1299,"&lt;&gt;"&amp;B1299)+SUM($Q$2:$Q1299)</f>
        <v>135.05500000000001</v>
      </c>
      <c r="R1299" t="b">
        <f>AND(ISNUMBER(FIND($E1299,Tables!$I$2)), ISNUMBER(FIND($D1299,Tables!$J$2)), $E1299&lt;&gt;"")</f>
        <v>0</v>
      </c>
    </row>
    <row r="1300" spans="1:18" x14ac:dyDescent="0.3">
      <c r="A1300">
        <f t="shared" si="101"/>
        <v>1283</v>
      </c>
      <c r="B1300" s="4"/>
      <c r="I1300" s="8"/>
      <c r="J1300" s="5" t="str">
        <f t="shared" si="104"/>
        <v/>
      </c>
      <c r="K1300" s="3"/>
      <c r="L1300" s="3" t="str">
        <f t="shared" si="103"/>
        <v/>
      </c>
      <c r="N1300" s="3" t="str">
        <f t="shared" si="102"/>
        <v/>
      </c>
      <c r="O1300" s="6" t="str">
        <f t="shared" si="105"/>
        <v/>
      </c>
      <c r="P1300" s="7">
        <f ca="1">SUMIFS($N$2:$N1300,$B$2:$B1300,"&lt;&gt;"&amp;B1300)+SUM($Q$2:$Q1300)</f>
        <v>135.05500000000001</v>
      </c>
      <c r="R1300" t="b">
        <f>AND(ISNUMBER(FIND($E1300,Tables!$I$2)), ISNUMBER(FIND($D1300,Tables!$J$2)), $E1300&lt;&gt;"")</f>
        <v>0</v>
      </c>
    </row>
    <row r="1301" spans="1:18" x14ac:dyDescent="0.3">
      <c r="A1301">
        <f t="shared" si="101"/>
        <v>1284</v>
      </c>
      <c r="B1301" s="4"/>
      <c r="I1301" s="8"/>
      <c r="J1301" s="5" t="str">
        <f t="shared" si="104"/>
        <v/>
      </c>
      <c r="K1301" s="3"/>
      <c r="L1301" s="3" t="str">
        <f t="shared" si="103"/>
        <v/>
      </c>
      <c r="N1301" s="3" t="str">
        <f t="shared" si="102"/>
        <v/>
      </c>
      <c r="O1301" s="6" t="str">
        <f t="shared" si="105"/>
        <v/>
      </c>
      <c r="P1301" s="7">
        <f ca="1">SUMIFS($N$2:$N1301,$B$2:$B1301,"&lt;&gt;"&amp;B1301)+SUM($Q$2:$Q1301)</f>
        <v>135.05500000000001</v>
      </c>
      <c r="R1301" t="b">
        <f>AND(ISNUMBER(FIND($E1301,Tables!$I$2)), ISNUMBER(FIND($D1301,Tables!$J$2)), $E1301&lt;&gt;"")</f>
        <v>0</v>
      </c>
    </row>
    <row r="1302" spans="1:18" x14ac:dyDescent="0.3">
      <c r="A1302">
        <f t="shared" si="101"/>
        <v>1285</v>
      </c>
      <c r="B1302" s="4"/>
      <c r="I1302" s="8"/>
      <c r="J1302" s="5" t="str">
        <f t="shared" si="104"/>
        <v/>
      </c>
      <c r="K1302" s="3"/>
      <c r="L1302" s="3" t="str">
        <f t="shared" si="103"/>
        <v/>
      </c>
      <c r="N1302" s="3" t="str">
        <f t="shared" si="102"/>
        <v/>
      </c>
      <c r="O1302" s="6" t="str">
        <f t="shared" si="105"/>
        <v/>
      </c>
      <c r="P1302" s="7">
        <f ca="1">SUMIFS($N$2:$N1302,$B$2:$B1302,"&lt;&gt;"&amp;B1302)+SUM($Q$2:$Q1302)</f>
        <v>135.05500000000001</v>
      </c>
      <c r="R1302" t="b">
        <f>AND(ISNUMBER(FIND($E1302,Tables!$I$2)), ISNUMBER(FIND($D1302,Tables!$J$2)), $E1302&lt;&gt;"")</f>
        <v>0</v>
      </c>
    </row>
    <row r="1303" spans="1:18" x14ac:dyDescent="0.3">
      <c r="A1303">
        <f t="shared" si="101"/>
        <v>1286</v>
      </c>
      <c r="B1303" s="4"/>
      <c r="I1303" s="8"/>
      <c r="J1303" s="5" t="str">
        <f t="shared" si="104"/>
        <v/>
      </c>
      <c r="K1303" s="3"/>
      <c r="L1303" s="3" t="str">
        <f t="shared" si="103"/>
        <v/>
      </c>
      <c r="N1303" s="3" t="str">
        <f t="shared" si="102"/>
        <v/>
      </c>
      <c r="O1303" s="6" t="str">
        <f t="shared" si="105"/>
        <v/>
      </c>
      <c r="P1303" s="7">
        <f ca="1">SUMIFS($N$2:$N1303,$B$2:$B1303,"&lt;&gt;"&amp;B1303)+SUM($Q$2:$Q1303)</f>
        <v>135.05500000000001</v>
      </c>
      <c r="R1303" t="b">
        <f>AND(ISNUMBER(FIND($E1303,Tables!$I$2)), ISNUMBER(FIND($D1303,Tables!$J$2)), $E1303&lt;&gt;"")</f>
        <v>0</v>
      </c>
    </row>
    <row r="1304" spans="1:18" x14ac:dyDescent="0.3">
      <c r="A1304">
        <f t="shared" si="101"/>
        <v>1287</v>
      </c>
      <c r="B1304" s="4"/>
      <c r="I1304" s="8"/>
      <c r="J1304" s="5" t="str">
        <f t="shared" si="104"/>
        <v/>
      </c>
      <c r="K1304" s="3"/>
      <c r="L1304" s="3" t="str">
        <f t="shared" si="103"/>
        <v/>
      </c>
      <c r="N1304" s="3" t="str">
        <f t="shared" si="102"/>
        <v/>
      </c>
      <c r="O1304" s="6" t="str">
        <f t="shared" si="105"/>
        <v/>
      </c>
      <c r="P1304" s="7">
        <f ca="1">SUMIFS($N$2:$N1304,$B$2:$B1304,"&lt;&gt;"&amp;B1304)+SUM($Q$2:$Q1304)</f>
        <v>135.05500000000001</v>
      </c>
      <c r="R1304" t="b">
        <f>AND(ISNUMBER(FIND($E1304,Tables!$I$2)), ISNUMBER(FIND($D1304,Tables!$J$2)), $E1304&lt;&gt;"")</f>
        <v>0</v>
      </c>
    </row>
    <row r="1305" spans="1:18" x14ac:dyDescent="0.3">
      <c r="A1305">
        <f t="shared" si="101"/>
        <v>1288</v>
      </c>
      <c r="B1305" s="4"/>
      <c r="I1305" s="8"/>
      <c r="J1305" s="5" t="str">
        <f t="shared" si="104"/>
        <v/>
      </c>
      <c r="K1305" s="3"/>
      <c r="L1305" s="3" t="str">
        <f t="shared" si="103"/>
        <v/>
      </c>
      <c r="N1305" s="3" t="str">
        <f t="shared" si="102"/>
        <v/>
      </c>
      <c r="O1305" s="6" t="str">
        <f t="shared" si="105"/>
        <v/>
      </c>
      <c r="P1305" s="7">
        <f ca="1">SUMIFS($N$2:$N1305,$B$2:$B1305,"&lt;&gt;"&amp;B1305)+SUM($Q$2:$Q1305)</f>
        <v>135.05500000000001</v>
      </c>
      <c r="R1305" t="b">
        <f>AND(ISNUMBER(FIND($E1305,Tables!$I$2)), ISNUMBER(FIND($D1305,Tables!$J$2)), $E1305&lt;&gt;"")</f>
        <v>0</v>
      </c>
    </row>
    <row r="1306" spans="1:18" x14ac:dyDescent="0.3">
      <c r="A1306">
        <f t="shared" si="101"/>
        <v>1289</v>
      </c>
      <c r="B1306" s="4"/>
      <c r="I1306" s="8"/>
      <c r="J1306" s="5" t="str">
        <f t="shared" si="104"/>
        <v/>
      </c>
      <c r="K1306" s="3"/>
      <c r="L1306" s="3" t="str">
        <f t="shared" si="103"/>
        <v/>
      </c>
      <c r="N1306" s="3" t="str">
        <f t="shared" si="102"/>
        <v/>
      </c>
      <c r="O1306" s="6" t="str">
        <f t="shared" si="105"/>
        <v/>
      </c>
      <c r="P1306" s="7">
        <f ca="1">SUMIFS($N$2:$N1306,$B$2:$B1306,"&lt;&gt;"&amp;B1306)+SUM($Q$2:$Q1306)</f>
        <v>135.05500000000001</v>
      </c>
      <c r="R1306" t="b">
        <f>AND(ISNUMBER(FIND($E1306,Tables!$I$2)), ISNUMBER(FIND($D1306,Tables!$J$2)), $E1306&lt;&gt;"")</f>
        <v>0</v>
      </c>
    </row>
    <row r="1307" spans="1:18" x14ac:dyDescent="0.3">
      <c r="A1307">
        <f t="shared" si="101"/>
        <v>1290</v>
      </c>
      <c r="B1307" s="4"/>
      <c r="I1307" s="8"/>
      <c r="J1307" s="5" t="str">
        <f t="shared" si="104"/>
        <v/>
      </c>
      <c r="K1307" s="3"/>
      <c r="L1307" s="3" t="str">
        <f t="shared" si="103"/>
        <v/>
      </c>
      <c r="N1307" s="3" t="str">
        <f t="shared" si="102"/>
        <v/>
      </c>
      <c r="O1307" s="6" t="str">
        <f t="shared" si="105"/>
        <v/>
      </c>
      <c r="P1307" s="7">
        <f ca="1">SUMIFS($N$2:$N1307,$B$2:$B1307,"&lt;&gt;"&amp;B1307)+SUM($Q$2:$Q1307)</f>
        <v>135.05500000000001</v>
      </c>
      <c r="R1307" t="b">
        <f>AND(ISNUMBER(FIND($E1307,Tables!$I$2)), ISNUMBER(FIND($D1307,Tables!$J$2)), $E1307&lt;&gt;"")</f>
        <v>0</v>
      </c>
    </row>
    <row r="1308" spans="1:18" x14ac:dyDescent="0.3">
      <c r="A1308">
        <f t="shared" si="101"/>
        <v>1291</v>
      </c>
      <c r="B1308" s="4"/>
      <c r="I1308" s="8"/>
      <c r="J1308" s="5" t="str">
        <f t="shared" si="104"/>
        <v/>
      </c>
      <c r="K1308" s="3"/>
      <c r="L1308" s="3" t="str">
        <f t="shared" si="103"/>
        <v/>
      </c>
      <c r="N1308" s="3" t="str">
        <f t="shared" si="102"/>
        <v/>
      </c>
      <c r="O1308" s="6" t="str">
        <f t="shared" si="105"/>
        <v/>
      </c>
      <c r="P1308" s="7">
        <f ca="1">SUMIFS($N$2:$N1308,$B$2:$B1308,"&lt;&gt;"&amp;B1308)+SUM($Q$2:$Q1308)</f>
        <v>135.05500000000001</v>
      </c>
      <c r="R1308" t="b">
        <f>AND(ISNUMBER(FIND($E1308,Tables!$I$2)), ISNUMBER(FIND($D1308,Tables!$J$2)), $E1308&lt;&gt;"")</f>
        <v>0</v>
      </c>
    </row>
    <row r="1309" spans="1:18" x14ac:dyDescent="0.3">
      <c r="A1309">
        <f t="shared" si="101"/>
        <v>1292</v>
      </c>
      <c r="B1309" s="4"/>
      <c r="I1309" s="8"/>
      <c r="J1309" s="5" t="str">
        <f t="shared" si="104"/>
        <v/>
      </c>
      <c r="K1309" s="3"/>
      <c r="L1309" s="3" t="str">
        <f t="shared" si="103"/>
        <v/>
      </c>
      <c r="N1309" s="3" t="str">
        <f t="shared" si="102"/>
        <v/>
      </c>
      <c r="O1309" s="6" t="str">
        <f t="shared" si="105"/>
        <v/>
      </c>
      <c r="P1309" s="7">
        <f ca="1">SUMIFS($N$2:$N1309,$B$2:$B1309,"&lt;&gt;"&amp;B1309)+SUM($Q$2:$Q1309)</f>
        <v>135.05500000000001</v>
      </c>
      <c r="R1309" t="b">
        <f>AND(ISNUMBER(FIND($E1309,Tables!$I$2)), ISNUMBER(FIND($D1309,Tables!$J$2)), $E1309&lt;&gt;"")</f>
        <v>0</v>
      </c>
    </row>
    <row r="1310" spans="1:18" x14ac:dyDescent="0.3">
      <c r="A1310">
        <f t="shared" si="101"/>
        <v>1293</v>
      </c>
      <c r="B1310" s="4"/>
      <c r="I1310" s="8"/>
      <c r="J1310" s="5" t="str">
        <f t="shared" si="104"/>
        <v/>
      </c>
      <c r="K1310" s="3"/>
      <c r="L1310" s="3" t="str">
        <f t="shared" si="103"/>
        <v/>
      </c>
      <c r="N1310" s="3" t="str">
        <f t="shared" si="102"/>
        <v/>
      </c>
      <c r="O1310" s="6" t="str">
        <f t="shared" si="105"/>
        <v/>
      </c>
      <c r="P1310" s="7">
        <f ca="1">SUMIFS($N$2:$N1310,$B$2:$B1310,"&lt;&gt;"&amp;B1310)+SUM($Q$2:$Q1310)</f>
        <v>135.05500000000001</v>
      </c>
      <c r="R1310" t="b">
        <f>AND(ISNUMBER(FIND($E1310,Tables!$I$2)), ISNUMBER(FIND($D1310,Tables!$J$2)), $E1310&lt;&gt;"")</f>
        <v>0</v>
      </c>
    </row>
    <row r="1311" spans="1:18" x14ac:dyDescent="0.3">
      <c r="A1311">
        <f t="shared" si="101"/>
        <v>1294</v>
      </c>
      <c r="B1311" s="4"/>
      <c r="I1311" s="8"/>
      <c r="J1311" s="5" t="str">
        <f t="shared" si="104"/>
        <v/>
      </c>
      <c r="K1311" s="3"/>
      <c r="L1311" s="3" t="str">
        <f t="shared" si="103"/>
        <v/>
      </c>
      <c r="N1311" s="3" t="str">
        <f t="shared" si="102"/>
        <v/>
      </c>
      <c r="O1311" s="6" t="str">
        <f t="shared" si="105"/>
        <v/>
      </c>
      <c r="P1311" s="7">
        <f ca="1">SUMIFS($N$2:$N1311,$B$2:$B1311,"&lt;&gt;"&amp;B1311)+SUM($Q$2:$Q1311)</f>
        <v>135.05500000000001</v>
      </c>
      <c r="R1311" t="b">
        <f>AND(ISNUMBER(FIND($E1311,Tables!$I$2)), ISNUMBER(FIND($D1311,Tables!$J$2)), $E1311&lt;&gt;"")</f>
        <v>0</v>
      </c>
    </row>
    <row r="1312" spans="1:18" x14ac:dyDescent="0.3">
      <c r="A1312">
        <f t="shared" si="101"/>
        <v>1295</v>
      </c>
      <c r="B1312" s="4"/>
      <c r="I1312" s="8"/>
      <c r="J1312" s="5" t="str">
        <f t="shared" si="104"/>
        <v/>
      </c>
      <c r="K1312" s="3"/>
      <c r="L1312" s="3" t="str">
        <f t="shared" si="103"/>
        <v/>
      </c>
      <c r="N1312" s="3" t="str">
        <f t="shared" si="102"/>
        <v/>
      </c>
      <c r="O1312" s="6" t="str">
        <f t="shared" si="105"/>
        <v/>
      </c>
      <c r="P1312" s="7">
        <f ca="1">SUMIFS($N$2:$N1312,$B$2:$B1312,"&lt;&gt;"&amp;B1312)+SUM($Q$2:$Q1312)</f>
        <v>135.05500000000001</v>
      </c>
      <c r="R1312" t="b">
        <f>AND(ISNUMBER(FIND($E1312,Tables!$I$2)), ISNUMBER(FIND($D1312,Tables!$J$2)), $E1312&lt;&gt;"")</f>
        <v>0</v>
      </c>
    </row>
    <row r="1313" spans="1:18" x14ac:dyDescent="0.3">
      <c r="A1313">
        <f t="shared" si="101"/>
        <v>1296</v>
      </c>
      <c r="B1313" s="4"/>
      <c r="I1313" s="8"/>
      <c r="J1313" s="5" t="str">
        <f t="shared" si="104"/>
        <v/>
      </c>
      <c r="K1313" s="3"/>
      <c r="L1313" s="3" t="str">
        <f t="shared" si="103"/>
        <v/>
      </c>
      <c r="N1313" s="3" t="str">
        <f t="shared" si="102"/>
        <v/>
      </c>
      <c r="O1313" s="6" t="str">
        <f t="shared" si="105"/>
        <v/>
      </c>
      <c r="P1313" s="7">
        <f ca="1">SUMIFS($N$2:$N1313,$B$2:$B1313,"&lt;&gt;"&amp;B1313)+SUM($Q$2:$Q1313)</f>
        <v>135.05500000000001</v>
      </c>
      <c r="R1313" t="b">
        <f>AND(ISNUMBER(FIND($E1313,Tables!$I$2)), ISNUMBER(FIND($D1313,Tables!$J$2)), $E1313&lt;&gt;"")</f>
        <v>0</v>
      </c>
    </row>
    <row r="1314" spans="1:18" x14ac:dyDescent="0.3">
      <c r="A1314">
        <f t="shared" ref="A1314:A1377" si="106">IF(AND(B1314="", D1314&lt;&gt;""), A1313, A1313+1)</f>
        <v>1297</v>
      </c>
      <c r="B1314" s="4"/>
      <c r="I1314" s="8"/>
      <c r="J1314" s="5" t="str">
        <f t="shared" si="104"/>
        <v/>
      </c>
      <c r="K1314" s="3"/>
      <c r="L1314" s="3" t="str">
        <f t="shared" si="103"/>
        <v/>
      </c>
      <c r="N1314" s="3" t="str">
        <f t="shared" si="102"/>
        <v/>
      </c>
      <c r="O1314" s="6" t="str">
        <f t="shared" si="105"/>
        <v/>
      </c>
      <c r="P1314" s="7">
        <f ca="1">SUMIFS($N$2:$N1314,$B$2:$B1314,"&lt;&gt;"&amp;B1314)+SUM($Q$2:$Q1314)</f>
        <v>135.05500000000001</v>
      </c>
      <c r="R1314" t="b">
        <f>AND(ISNUMBER(FIND($E1314,Tables!$I$2)), ISNUMBER(FIND($D1314,Tables!$J$2)), $E1314&lt;&gt;"")</f>
        <v>0</v>
      </c>
    </row>
    <row r="1315" spans="1:18" x14ac:dyDescent="0.3">
      <c r="A1315">
        <f t="shared" si="106"/>
        <v>1298</v>
      </c>
      <c r="B1315" s="4"/>
      <c r="I1315" s="8"/>
      <c r="J1315" s="5" t="str">
        <f t="shared" si="104"/>
        <v/>
      </c>
      <c r="K1315" s="3"/>
      <c r="L1315" s="3" t="str">
        <f t="shared" si="103"/>
        <v/>
      </c>
      <c r="N1315" s="3" t="str">
        <f t="shared" si="102"/>
        <v/>
      </c>
      <c r="O1315" s="6" t="str">
        <f t="shared" si="105"/>
        <v/>
      </c>
      <c r="P1315" s="7">
        <f ca="1">SUMIFS($N$2:$N1315,$B$2:$B1315,"&lt;&gt;"&amp;B1315)+SUM($Q$2:$Q1315)</f>
        <v>135.05500000000001</v>
      </c>
      <c r="R1315" t="b">
        <f>AND(ISNUMBER(FIND($E1315,Tables!$I$2)), ISNUMBER(FIND($D1315,Tables!$J$2)), $E1315&lt;&gt;"")</f>
        <v>0</v>
      </c>
    </row>
    <row r="1316" spans="1:18" x14ac:dyDescent="0.3">
      <c r="A1316">
        <f t="shared" si="106"/>
        <v>1299</v>
      </c>
      <c r="B1316" s="4"/>
      <c r="I1316" s="8"/>
      <c r="J1316" s="5" t="str">
        <f t="shared" si="104"/>
        <v/>
      </c>
      <c r="K1316" s="3"/>
      <c r="L1316" s="3" t="str">
        <f t="shared" si="103"/>
        <v/>
      </c>
      <c r="N1316" s="3" t="str">
        <f t="shared" si="102"/>
        <v/>
      </c>
      <c r="O1316" s="6" t="str">
        <f t="shared" si="105"/>
        <v/>
      </c>
      <c r="P1316" s="7">
        <f ca="1">SUMIFS($N$2:$N1316,$B$2:$B1316,"&lt;&gt;"&amp;B1316)+SUM($Q$2:$Q1316)</f>
        <v>135.05500000000001</v>
      </c>
      <c r="R1316" t="b">
        <f>AND(ISNUMBER(FIND($E1316,Tables!$I$2)), ISNUMBER(FIND($D1316,Tables!$J$2)), $E1316&lt;&gt;"")</f>
        <v>0</v>
      </c>
    </row>
    <row r="1317" spans="1:18" x14ac:dyDescent="0.3">
      <c r="A1317">
        <f t="shared" si="106"/>
        <v>1300</v>
      </c>
      <c r="B1317" s="4"/>
      <c r="I1317" s="8"/>
      <c r="J1317" s="5" t="str">
        <f t="shared" si="104"/>
        <v/>
      </c>
      <c r="K1317" s="3"/>
      <c r="L1317" s="3" t="str">
        <f t="shared" si="103"/>
        <v/>
      </c>
      <c r="N1317" s="3" t="str">
        <f t="shared" si="102"/>
        <v/>
      </c>
      <c r="O1317" s="6" t="str">
        <f t="shared" si="105"/>
        <v/>
      </c>
      <c r="P1317" s="7">
        <f ca="1">SUMIFS($N$2:$N1317,$B$2:$B1317,"&lt;&gt;"&amp;B1317)+SUM($Q$2:$Q1317)</f>
        <v>135.05500000000001</v>
      </c>
      <c r="R1317" t="b">
        <f>AND(ISNUMBER(FIND($E1317,Tables!$I$2)), ISNUMBER(FIND($D1317,Tables!$J$2)), $E1317&lt;&gt;"")</f>
        <v>0</v>
      </c>
    </row>
    <row r="1318" spans="1:18" x14ac:dyDescent="0.3">
      <c r="A1318">
        <f t="shared" si="106"/>
        <v>1301</v>
      </c>
      <c r="B1318" s="4"/>
      <c r="I1318" s="8"/>
      <c r="J1318" s="5" t="str">
        <f t="shared" si="104"/>
        <v/>
      </c>
      <c r="K1318" s="3"/>
      <c r="L1318" s="3" t="str">
        <f t="shared" si="103"/>
        <v/>
      </c>
      <c r="N1318" s="3" t="str">
        <f t="shared" si="102"/>
        <v/>
      </c>
      <c r="O1318" s="6" t="str">
        <f t="shared" si="105"/>
        <v/>
      </c>
      <c r="P1318" s="7">
        <f ca="1">SUMIFS($N$2:$N1318,$B$2:$B1318,"&lt;&gt;"&amp;B1318)+SUM($Q$2:$Q1318)</f>
        <v>135.05500000000001</v>
      </c>
      <c r="R1318" t="b">
        <f>AND(ISNUMBER(FIND($E1318,Tables!$I$2)), ISNUMBER(FIND($D1318,Tables!$J$2)), $E1318&lt;&gt;"")</f>
        <v>0</v>
      </c>
    </row>
    <row r="1319" spans="1:18" x14ac:dyDescent="0.3">
      <c r="A1319">
        <f t="shared" si="106"/>
        <v>1302</v>
      </c>
      <c r="B1319" s="4"/>
      <c r="I1319" s="8"/>
      <c r="J1319" s="5" t="str">
        <f t="shared" si="104"/>
        <v/>
      </c>
      <c r="K1319" s="3"/>
      <c r="L1319" s="3" t="str">
        <f t="shared" si="103"/>
        <v/>
      </c>
      <c r="N1319" s="3" t="str">
        <f t="shared" si="102"/>
        <v/>
      </c>
      <c r="O1319" s="6" t="str">
        <f t="shared" si="105"/>
        <v/>
      </c>
      <c r="P1319" s="7">
        <f ca="1">SUMIFS($N$2:$N1319,$B$2:$B1319,"&lt;&gt;"&amp;B1319)+SUM($Q$2:$Q1319)</f>
        <v>135.05500000000001</v>
      </c>
      <c r="R1319" t="b">
        <f>AND(ISNUMBER(FIND($E1319,Tables!$I$2)), ISNUMBER(FIND($D1319,Tables!$J$2)), $E1319&lt;&gt;"")</f>
        <v>0</v>
      </c>
    </row>
    <row r="1320" spans="1:18" x14ac:dyDescent="0.3">
      <c r="A1320">
        <f t="shared" si="106"/>
        <v>1303</v>
      </c>
      <c r="B1320" s="4"/>
      <c r="I1320" s="8"/>
      <c r="J1320" s="5" t="str">
        <f t="shared" si="104"/>
        <v/>
      </c>
      <c r="K1320" s="3"/>
      <c r="L1320" s="3" t="str">
        <f t="shared" si="103"/>
        <v/>
      </c>
      <c r="N1320" s="3" t="str">
        <f t="shared" ref="N1320:N1383" si="107">IF(L1320 = "", "", IF(M1320="", "", IF(OR(M1320="Draw",M1320="NC"), 0, IF(M1320="win", L1320, -1*K1320))))</f>
        <v/>
      </c>
      <c r="O1320" s="6" t="str">
        <f t="shared" si="105"/>
        <v/>
      </c>
      <c r="P1320" s="7">
        <f ca="1">SUMIFS($N$2:$N1320,$B$2:$B1320,"&lt;&gt;"&amp;B1320)+SUM($Q$2:$Q1320)</f>
        <v>135.05500000000001</v>
      </c>
      <c r="R1320" t="b">
        <f>AND(ISNUMBER(FIND($E1320,Tables!$I$2)), ISNUMBER(FIND($D1320,Tables!$J$2)), $E1320&lt;&gt;"")</f>
        <v>0</v>
      </c>
    </row>
    <row r="1321" spans="1:18" x14ac:dyDescent="0.3">
      <c r="A1321">
        <f t="shared" si="106"/>
        <v>1304</v>
      </c>
      <c r="B1321" s="4"/>
      <c r="I1321" s="8"/>
      <c r="J1321" s="5" t="str">
        <f t="shared" si="104"/>
        <v/>
      </c>
      <c r="K1321" s="3"/>
      <c r="L1321" s="3" t="str">
        <f t="shared" si="103"/>
        <v/>
      </c>
      <c r="N1321" s="3" t="str">
        <f t="shared" si="107"/>
        <v/>
      </c>
      <c r="O1321" s="6" t="str">
        <f t="shared" si="105"/>
        <v/>
      </c>
      <c r="P1321" s="7">
        <f ca="1">SUMIFS($N$2:$N1321,$B$2:$B1321,"&lt;&gt;"&amp;B1321)+SUM($Q$2:$Q1321)</f>
        <v>135.05500000000001</v>
      </c>
      <c r="R1321" t="b">
        <f>AND(ISNUMBER(FIND($E1321,Tables!$I$2)), ISNUMBER(FIND($D1321,Tables!$J$2)), $E1321&lt;&gt;"")</f>
        <v>0</v>
      </c>
    </row>
    <row r="1322" spans="1:18" x14ac:dyDescent="0.3">
      <c r="A1322">
        <f t="shared" si="106"/>
        <v>1305</v>
      </c>
      <c r="B1322" s="4"/>
      <c r="I1322" s="8"/>
      <c r="J1322" s="5" t="str">
        <f t="shared" si="104"/>
        <v/>
      </c>
      <c r="K1322" s="3"/>
      <c r="L1322" s="3" t="str">
        <f t="shared" si="103"/>
        <v/>
      </c>
      <c r="N1322" s="3" t="str">
        <f t="shared" si="107"/>
        <v/>
      </c>
      <c r="O1322" s="6" t="str">
        <f t="shared" si="105"/>
        <v/>
      </c>
      <c r="P1322" s="7">
        <f ca="1">SUMIFS($N$2:$N1322,$B$2:$B1322,"&lt;&gt;"&amp;B1322)+SUM($Q$2:$Q1322)</f>
        <v>135.05500000000001</v>
      </c>
      <c r="R1322" t="b">
        <f>AND(ISNUMBER(FIND($E1322,Tables!$I$2)), ISNUMBER(FIND($D1322,Tables!$J$2)), $E1322&lt;&gt;"")</f>
        <v>0</v>
      </c>
    </row>
    <row r="1323" spans="1:18" x14ac:dyDescent="0.3">
      <c r="A1323">
        <f t="shared" si="106"/>
        <v>1306</v>
      </c>
      <c r="B1323" s="4"/>
      <c r="I1323" s="8"/>
      <c r="J1323" s="5" t="str">
        <f t="shared" si="104"/>
        <v/>
      </c>
      <c r="K1323" s="3"/>
      <c r="L1323" s="3" t="str">
        <f t="shared" si="103"/>
        <v/>
      </c>
      <c r="N1323" s="3" t="str">
        <f t="shared" si="107"/>
        <v/>
      </c>
      <c r="O1323" s="6" t="str">
        <f t="shared" si="105"/>
        <v/>
      </c>
      <c r="P1323" s="7">
        <f ca="1">SUMIFS($N$2:$N1323,$B$2:$B1323,"&lt;&gt;"&amp;B1323)+SUM($Q$2:$Q1323)</f>
        <v>135.05500000000001</v>
      </c>
      <c r="R1323" t="b">
        <f>AND(ISNUMBER(FIND($E1323,Tables!$I$2)), ISNUMBER(FIND($D1323,Tables!$J$2)), $E1323&lt;&gt;"")</f>
        <v>0</v>
      </c>
    </row>
    <row r="1324" spans="1:18" x14ac:dyDescent="0.3">
      <c r="A1324">
        <f t="shared" si="106"/>
        <v>1307</v>
      </c>
      <c r="B1324" s="4"/>
      <c r="I1324" s="8"/>
      <c r="J1324" s="5" t="str">
        <f t="shared" si="104"/>
        <v/>
      </c>
      <c r="K1324" s="3"/>
      <c r="L1324" s="3" t="str">
        <f t="shared" si="103"/>
        <v/>
      </c>
      <c r="N1324" s="3" t="str">
        <f t="shared" si="107"/>
        <v/>
      </c>
      <c r="O1324" s="6" t="str">
        <f t="shared" si="105"/>
        <v/>
      </c>
      <c r="P1324" s="7">
        <f ca="1">SUMIFS($N$2:$N1324,$B$2:$B1324,"&lt;&gt;"&amp;B1324)+SUM($Q$2:$Q1324)</f>
        <v>135.05500000000001</v>
      </c>
      <c r="R1324" t="b">
        <f>AND(ISNUMBER(FIND($E1324,Tables!$I$2)), ISNUMBER(FIND($D1324,Tables!$J$2)), $E1324&lt;&gt;"")</f>
        <v>0</v>
      </c>
    </row>
    <row r="1325" spans="1:18" x14ac:dyDescent="0.3">
      <c r="A1325">
        <f t="shared" si="106"/>
        <v>1308</v>
      </c>
      <c r="B1325" s="4"/>
      <c r="I1325" s="8"/>
      <c r="J1325" s="5" t="str">
        <f t="shared" si="104"/>
        <v/>
      </c>
      <c r="K1325" s="3"/>
      <c r="L1325" s="3" t="str">
        <f t="shared" si="103"/>
        <v/>
      </c>
      <c r="N1325" s="3" t="str">
        <f t="shared" si="107"/>
        <v/>
      </c>
      <c r="O1325" s="6" t="str">
        <f t="shared" si="105"/>
        <v/>
      </c>
      <c r="P1325" s="7">
        <f ca="1">SUMIFS($N$2:$N1325,$B$2:$B1325,"&lt;&gt;"&amp;B1325)+SUM($Q$2:$Q1325)</f>
        <v>135.05500000000001</v>
      </c>
      <c r="R1325" t="b">
        <f>AND(ISNUMBER(FIND($E1325,Tables!$I$2)), ISNUMBER(FIND($D1325,Tables!$J$2)), $E1325&lt;&gt;"")</f>
        <v>0</v>
      </c>
    </row>
    <row r="1326" spans="1:18" x14ac:dyDescent="0.3">
      <c r="A1326">
        <f t="shared" si="106"/>
        <v>1309</v>
      </c>
      <c r="B1326" s="4"/>
      <c r="I1326" s="8"/>
      <c r="J1326" s="5" t="str">
        <f t="shared" si="104"/>
        <v/>
      </c>
      <c r="K1326" s="3"/>
      <c r="L1326" s="3" t="str">
        <f t="shared" si="103"/>
        <v/>
      </c>
      <c r="N1326" s="3" t="str">
        <f t="shared" si="107"/>
        <v/>
      </c>
      <c r="O1326" s="6" t="str">
        <f t="shared" si="105"/>
        <v/>
      </c>
      <c r="P1326" s="7">
        <f ca="1">SUMIFS($N$2:$N1326,$B$2:$B1326,"&lt;&gt;"&amp;B1326)+SUM($Q$2:$Q1326)</f>
        <v>135.05500000000001</v>
      </c>
      <c r="R1326" t="b">
        <f>AND(ISNUMBER(FIND($E1326,Tables!$I$2)), ISNUMBER(FIND($D1326,Tables!$J$2)), $E1326&lt;&gt;"")</f>
        <v>0</v>
      </c>
    </row>
    <row r="1327" spans="1:18" x14ac:dyDescent="0.3">
      <c r="A1327">
        <f t="shared" si="106"/>
        <v>1310</v>
      </c>
      <c r="B1327" s="4"/>
      <c r="I1327" s="8"/>
      <c r="J1327" s="5" t="str">
        <f t="shared" si="104"/>
        <v/>
      </c>
      <c r="K1327" s="3"/>
      <c r="L1327" s="3" t="str">
        <f t="shared" si="103"/>
        <v/>
      </c>
      <c r="N1327" s="3" t="str">
        <f t="shared" si="107"/>
        <v/>
      </c>
      <c r="O1327" s="6" t="str">
        <f t="shared" si="105"/>
        <v/>
      </c>
      <c r="P1327" s="7">
        <f ca="1">SUMIFS($N$2:$N1327,$B$2:$B1327,"&lt;&gt;"&amp;B1327)+SUM($Q$2:$Q1327)</f>
        <v>135.05500000000001</v>
      </c>
      <c r="R1327" t="b">
        <f>AND(ISNUMBER(FIND($E1327,Tables!$I$2)), ISNUMBER(FIND($D1327,Tables!$J$2)), $E1327&lt;&gt;"")</f>
        <v>0</v>
      </c>
    </row>
    <row r="1328" spans="1:18" x14ac:dyDescent="0.3">
      <c r="A1328">
        <f t="shared" si="106"/>
        <v>1311</v>
      </c>
      <c r="B1328" s="4"/>
      <c r="I1328" s="8"/>
      <c r="J1328" s="5" t="str">
        <f t="shared" si="104"/>
        <v/>
      </c>
      <c r="K1328" s="3"/>
      <c r="L1328" s="3" t="str">
        <f t="shared" si="103"/>
        <v/>
      </c>
      <c r="N1328" s="3" t="str">
        <f t="shared" si="107"/>
        <v/>
      </c>
      <c r="O1328" s="6" t="str">
        <f t="shared" si="105"/>
        <v/>
      </c>
      <c r="P1328" s="7">
        <f ca="1">SUMIFS($N$2:$N1328,$B$2:$B1328,"&lt;&gt;"&amp;B1328)+SUM($Q$2:$Q1328)</f>
        <v>135.05500000000001</v>
      </c>
      <c r="R1328" t="b">
        <f>AND(ISNUMBER(FIND($E1328,Tables!$I$2)), ISNUMBER(FIND($D1328,Tables!$J$2)), $E1328&lt;&gt;"")</f>
        <v>0</v>
      </c>
    </row>
    <row r="1329" spans="1:18" x14ac:dyDescent="0.3">
      <c r="A1329">
        <f t="shared" si="106"/>
        <v>1312</v>
      </c>
      <c r="B1329" s="4"/>
      <c r="I1329" s="8"/>
      <c r="J1329" s="5" t="str">
        <f t="shared" si="104"/>
        <v/>
      </c>
      <c r="K1329" s="3"/>
      <c r="L1329" s="3" t="str">
        <f t="shared" si="103"/>
        <v/>
      </c>
      <c r="N1329" s="3" t="str">
        <f t="shared" si="107"/>
        <v/>
      </c>
      <c r="O1329" s="6" t="str">
        <f t="shared" si="105"/>
        <v/>
      </c>
      <c r="P1329" s="7">
        <f ca="1">SUMIFS($N$2:$N1329,$B$2:$B1329,"&lt;&gt;"&amp;B1329)+SUM($Q$2:$Q1329)</f>
        <v>135.05500000000001</v>
      </c>
      <c r="R1329" t="b">
        <f>AND(ISNUMBER(FIND($E1329,Tables!$I$2)), ISNUMBER(FIND($D1329,Tables!$J$2)), $E1329&lt;&gt;"")</f>
        <v>0</v>
      </c>
    </row>
    <row r="1330" spans="1:18" x14ac:dyDescent="0.3">
      <c r="A1330">
        <f t="shared" si="106"/>
        <v>1313</v>
      </c>
      <c r="B1330" s="4"/>
      <c r="I1330" s="8"/>
      <c r="J1330" s="5" t="str">
        <f t="shared" si="104"/>
        <v/>
      </c>
      <c r="K1330" s="3"/>
      <c r="L1330" s="3" t="str">
        <f t="shared" ref="L1330:L1393" si="108">IFERROR(IF(K1330=0, "", IF(I1330&gt;0, K1330/100*I1330,K1330/I1330*-100)), "")</f>
        <v/>
      </c>
      <c r="N1330" s="3" t="str">
        <f t="shared" si="107"/>
        <v/>
      </c>
      <c r="O1330" s="6" t="str">
        <f t="shared" si="105"/>
        <v/>
      </c>
      <c r="P1330" s="7">
        <f ca="1">SUMIFS($N$2:$N1330,$B$2:$B1330,"&lt;&gt;"&amp;B1330)+SUM($Q$2:$Q1330)</f>
        <v>135.05500000000001</v>
      </c>
      <c r="R1330" t="b">
        <f>AND(ISNUMBER(FIND($E1330,Tables!$I$2)), ISNUMBER(FIND($D1330,Tables!$J$2)), $E1330&lt;&gt;"")</f>
        <v>0</v>
      </c>
    </row>
    <row r="1331" spans="1:18" x14ac:dyDescent="0.3">
      <c r="A1331">
        <f t="shared" si="106"/>
        <v>1314</v>
      </c>
      <c r="B1331" s="4"/>
      <c r="I1331" s="8"/>
      <c r="J1331" s="5" t="str">
        <f t="shared" si="104"/>
        <v/>
      </c>
      <c r="K1331" s="3"/>
      <c r="L1331" s="3" t="str">
        <f t="shared" si="108"/>
        <v/>
      </c>
      <c r="N1331" s="3" t="str">
        <f t="shared" si="107"/>
        <v/>
      </c>
      <c r="O1331" s="6" t="str">
        <f t="shared" si="105"/>
        <v/>
      </c>
      <c r="P1331" s="7">
        <f ca="1">SUMIFS($N$2:$N1331,$B$2:$B1331,"&lt;&gt;"&amp;B1331)+SUM($Q$2:$Q1331)</f>
        <v>135.05500000000001</v>
      </c>
      <c r="R1331" t="b">
        <f>AND(ISNUMBER(FIND($E1331,Tables!$I$2)), ISNUMBER(FIND($D1331,Tables!$J$2)), $E1331&lt;&gt;"")</f>
        <v>0</v>
      </c>
    </row>
    <row r="1332" spans="1:18" x14ac:dyDescent="0.3">
      <c r="A1332">
        <f t="shared" si="106"/>
        <v>1315</v>
      </c>
      <c r="B1332" s="4"/>
      <c r="I1332" s="8"/>
      <c r="J1332" s="5" t="str">
        <f t="shared" si="104"/>
        <v/>
      </c>
      <c r="K1332" s="3"/>
      <c r="L1332" s="3" t="str">
        <f t="shared" si="108"/>
        <v/>
      </c>
      <c r="N1332" s="3" t="str">
        <f t="shared" si="107"/>
        <v/>
      </c>
      <c r="O1332" s="6" t="str">
        <f t="shared" si="105"/>
        <v/>
      </c>
      <c r="P1332" s="7">
        <f ca="1">SUMIFS($N$2:$N1332,$B$2:$B1332,"&lt;&gt;"&amp;B1332)+SUM($Q$2:$Q1332)</f>
        <v>135.05500000000001</v>
      </c>
      <c r="R1332" t="b">
        <f>AND(ISNUMBER(FIND($E1332,Tables!$I$2)), ISNUMBER(FIND($D1332,Tables!$J$2)), $E1332&lt;&gt;"")</f>
        <v>0</v>
      </c>
    </row>
    <row r="1333" spans="1:18" x14ac:dyDescent="0.3">
      <c r="A1333">
        <f t="shared" si="106"/>
        <v>1316</v>
      </c>
      <c r="B1333" s="4"/>
      <c r="I1333" s="8"/>
      <c r="J1333" s="5" t="str">
        <f t="shared" si="104"/>
        <v/>
      </c>
      <c r="K1333" s="3"/>
      <c r="L1333" s="3" t="str">
        <f t="shared" si="108"/>
        <v/>
      </c>
      <c r="N1333" s="3" t="str">
        <f t="shared" si="107"/>
        <v/>
      </c>
      <c r="O1333" s="6" t="str">
        <f t="shared" si="105"/>
        <v/>
      </c>
      <c r="P1333" s="7">
        <f ca="1">SUMIFS($N$2:$N1333,$B$2:$B1333,"&lt;&gt;"&amp;B1333)+SUM($Q$2:$Q1333)</f>
        <v>135.05500000000001</v>
      </c>
      <c r="R1333" t="b">
        <f>AND(ISNUMBER(FIND($E1333,Tables!$I$2)), ISNUMBER(FIND($D1333,Tables!$J$2)), $E1333&lt;&gt;"")</f>
        <v>0</v>
      </c>
    </row>
    <row r="1334" spans="1:18" x14ac:dyDescent="0.3">
      <c r="A1334">
        <f t="shared" si="106"/>
        <v>1317</v>
      </c>
      <c r="B1334" s="4"/>
      <c r="I1334" s="8"/>
      <c r="J1334" s="5" t="str">
        <f t="shared" si="104"/>
        <v/>
      </c>
      <c r="K1334" s="3"/>
      <c r="L1334" s="3" t="str">
        <f t="shared" si="108"/>
        <v/>
      </c>
      <c r="N1334" s="3" t="str">
        <f t="shared" si="107"/>
        <v/>
      </c>
      <c r="O1334" s="6" t="str">
        <f t="shared" si="105"/>
        <v/>
      </c>
      <c r="P1334" s="7">
        <f ca="1">SUMIFS($N$2:$N1334,$B$2:$B1334,"&lt;&gt;"&amp;B1334)+SUM($Q$2:$Q1334)</f>
        <v>135.05500000000001</v>
      </c>
      <c r="R1334" t="b">
        <f>AND(ISNUMBER(FIND($E1334,Tables!$I$2)), ISNUMBER(FIND($D1334,Tables!$J$2)), $E1334&lt;&gt;"")</f>
        <v>0</v>
      </c>
    </row>
    <row r="1335" spans="1:18" x14ac:dyDescent="0.3">
      <c r="A1335">
        <f t="shared" si="106"/>
        <v>1318</v>
      </c>
      <c r="B1335" s="4"/>
      <c r="I1335" s="8"/>
      <c r="J1335" s="5" t="str">
        <f t="shared" si="104"/>
        <v/>
      </c>
      <c r="K1335" s="3"/>
      <c r="L1335" s="3" t="str">
        <f t="shared" si="108"/>
        <v/>
      </c>
      <c r="N1335" s="3" t="str">
        <f t="shared" si="107"/>
        <v/>
      </c>
      <c r="O1335" s="6" t="str">
        <f t="shared" si="105"/>
        <v/>
      </c>
      <c r="P1335" s="7">
        <f ca="1">SUMIFS($N$2:$N1335,$B$2:$B1335,"&lt;&gt;"&amp;B1335)+SUM($Q$2:$Q1335)</f>
        <v>135.05500000000001</v>
      </c>
      <c r="R1335" t="b">
        <f>AND(ISNUMBER(FIND($E1335,Tables!$I$2)), ISNUMBER(FIND($D1335,Tables!$J$2)), $E1335&lt;&gt;"")</f>
        <v>0</v>
      </c>
    </row>
    <row r="1336" spans="1:18" x14ac:dyDescent="0.3">
      <c r="A1336">
        <f t="shared" si="106"/>
        <v>1319</v>
      </c>
      <c r="B1336" s="4"/>
      <c r="I1336" s="8"/>
      <c r="J1336" s="5" t="str">
        <f t="shared" si="104"/>
        <v/>
      </c>
      <c r="K1336" s="3"/>
      <c r="L1336" s="3" t="str">
        <f t="shared" si="108"/>
        <v/>
      </c>
      <c r="N1336" s="3" t="str">
        <f t="shared" si="107"/>
        <v/>
      </c>
      <c r="O1336" s="6" t="str">
        <f t="shared" si="105"/>
        <v/>
      </c>
      <c r="P1336" s="7">
        <f ca="1">SUMIFS($N$2:$N1336,$B$2:$B1336,"&lt;&gt;"&amp;B1336)+SUM($Q$2:$Q1336)</f>
        <v>135.05500000000001</v>
      </c>
      <c r="R1336" t="b">
        <f>AND(ISNUMBER(FIND($E1336,Tables!$I$2)), ISNUMBER(FIND($D1336,Tables!$J$2)), $E1336&lt;&gt;"")</f>
        <v>0</v>
      </c>
    </row>
    <row r="1337" spans="1:18" x14ac:dyDescent="0.3">
      <c r="A1337">
        <f t="shared" si="106"/>
        <v>1320</v>
      </c>
      <c r="B1337" s="4"/>
      <c r="I1337" s="8"/>
      <c r="J1337" s="5" t="str">
        <f t="shared" si="104"/>
        <v/>
      </c>
      <c r="K1337" s="3"/>
      <c r="L1337" s="3" t="str">
        <f t="shared" si="108"/>
        <v/>
      </c>
      <c r="N1337" s="3" t="str">
        <f t="shared" si="107"/>
        <v/>
      </c>
      <c r="O1337" s="6" t="str">
        <f t="shared" si="105"/>
        <v/>
      </c>
      <c r="P1337" s="7">
        <f ca="1">SUMIFS($N$2:$N1337,$B$2:$B1337,"&lt;&gt;"&amp;B1337)+SUM($Q$2:$Q1337)</f>
        <v>135.05500000000001</v>
      </c>
      <c r="R1337" t="b">
        <f>AND(ISNUMBER(FIND($E1337,Tables!$I$2)), ISNUMBER(FIND($D1337,Tables!$J$2)), $E1337&lt;&gt;"")</f>
        <v>0</v>
      </c>
    </row>
    <row r="1338" spans="1:18" x14ac:dyDescent="0.3">
      <c r="A1338">
        <f t="shared" si="106"/>
        <v>1321</v>
      </c>
      <c r="B1338" s="4"/>
      <c r="I1338" s="8"/>
      <c r="J1338" s="5" t="str">
        <f t="shared" si="104"/>
        <v/>
      </c>
      <c r="K1338" s="3"/>
      <c r="L1338" s="3" t="str">
        <f t="shared" si="108"/>
        <v/>
      </c>
      <c r="N1338" s="3" t="str">
        <f t="shared" si="107"/>
        <v/>
      </c>
      <c r="O1338" s="6" t="str">
        <f t="shared" si="105"/>
        <v/>
      </c>
      <c r="P1338" s="7">
        <f ca="1">SUMIFS($N$2:$N1338,$B$2:$B1338,"&lt;&gt;"&amp;B1338)+SUM($Q$2:$Q1338)</f>
        <v>135.05500000000001</v>
      </c>
      <c r="R1338" t="b">
        <f>AND(ISNUMBER(FIND($E1338,Tables!$I$2)), ISNUMBER(FIND($D1338,Tables!$J$2)), $E1338&lt;&gt;"")</f>
        <v>0</v>
      </c>
    </row>
    <row r="1339" spans="1:18" x14ac:dyDescent="0.3">
      <c r="A1339">
        <f t="shared" si="106"/>
        <v>1322</v>
      </c>
      <c r="B1339" s="4"/>
      <c r="I1339" s="8"/>
      <c r="J1339" s="5" t="str">
        <f t="shared" si="104"/>
        <v/>
      </c>
      <c r="K1339" s="3"/>
      <c r="L1339" s="3" t="str">
        <f t="shared" si="108"/>
        <v/>
      </c>
      <c r="N1339" s="3" t="str">
        <f t="shared" si="107"/>
        <v/>
      </c>
      <c r="O1339" s="6" t="str">
        <f t="shared" si="105"/>
        <v/>
      </c>
      <c r="P1339" s="7">
        <f ca="1">SUMIFS($N$2:$N1339,$B$2:$B1339,"&lt;&gt;"&amp;B1339)+SUM($Q$2:$Q1339)</f>
        <v>135.05500000000001</v>
      </c>
      <c r="R1339" t="b">
        <f>AND(ISNUMBER(FIND($E1339,Tables!$I$2)), ISNUMBER(FIND($D1339,Tables!$J$2)), $E1339&lt;&gt;"")</f>
        <v>0</v>
      </c>
    </row>
    <row r="1340" spans="1:18" x14ac:dyDescent="0.3">
      <c r="A1340">
        <f t="shared" si="106"/>
        <v>1323</v>
      </c>
      <c r="B1340" s="4"/>
      <c r="I1340" s="8"/>
      <c r="J1340" s="5" t="str">
        <f t="shared" si="104"/>
        <v/>
      </c>
      <c r="K1340" s="3"/>
      <c r="L1340" s="3" t="str">
        <f t="shared" si="108"/>
        <v/>
      </c>
      <c r="N1340" s="3" t="str">
        <f t="shared" si="107"/>
        <v/>
      </c>
      <c r="O1340" s="6" t="str">
        <f t="shared" si="105"/>
        <v/>
      </c>
      <c r="P1340" s="7">
        <f ca="1">SUMIFS($N$2:$N1340,$B$2:$B1340,"&lt;&gt;"&amp;B1340)+SUM($Q$2:$Q1340)</f>
        <v>135.05500000000001</v>
      </c>
      <c r="R1340" t="b">
        <f>AND(ISNUMBER(FIND($E1340,Tables!$I$2)), ISNUMBER(FIND($D1340,Tables!$J$2)), $E1340&lt;&gt;"")</f>
        <v>0</v>
      </c>
    </row>
    <row r="1341" spans="1:18" x14ac:dyDescent="0.3">
      <c r="A1341">
        <f t="shared" si="106"/>
        <v>1324</v>
      </c>
      <c r="B1341" s="4"/>
      <c r="I1341" s="8"/>
      <c r="J1341" s="5" t="str">
        <f t="shared" si="104"/>
        <v/>
      </c>
      <c r="K1341" s="3"/>
      <c r="L1341" s="3" t="str">
        <f t="shared" si="108"/>
        <v/>
      </c>
      <c r="N1341" s="3" t="str">
        <f t="shared" si="107"/>
        <v/>
      </c>
      <c r="O1341" s="6" t="str">
        <f t="shared" si="105"/>
        <v/>
      </c>
      <c r="P1341" s="7">
        <f ca="1">SUMIFS($N$2:$N1341,$B$2:$B1341,"&lt;&gt;"&amp;B1341)+SUM($Q$2:$Q1341)</f>
        <v>135.05500000000001</v>
      </c>
      <c r="R1341" t="b">
        <f>AND(ISNUMBER(FIND($E1341,Tables!$I$2)), ISNUMBER(FIND($D1341,Tables!$J$2)), $E1341&lt;&gt;"")</f>
        <v>0</v>
      </c>
    </row>
    <row r="1342" spans="1:18" x14ac:dyDescent="0.3">
      <c r="A1342">
        <f t="shared" si="106"/>
        <v>1325</v>
      </c>
      <c r="B1342" s="4"/>
      <c r="I1342" s="8"/>
      <c r="J1342" s="5" t="str">
        <f t="shared" si="104"/>
        <v/>
      </c>
      <c r="K1342" s="3"/>
      <c r="L1342" s="3" t="str">
        <f t="shared" si="108"/>
        <v/>
      </c>
      <c r="N1342" s="3" t="str">
        <f t="shared" si="107"/>
        <v/>
      </c>
      <c r="O1342" s="6" t="str">
        <f t="shared" si="105"/>
        <v/>
      </c>
      <c r="P1342" s="7">
        <f ca="1">SUMIFS($N$2:$N1342,$B$2:$B1342,"&lt;&gt;"&amp;B1342)+SUM($Q$2:$Q1342)</f>
        <v>135.05500000000001</v>
      </c>
      <c r="R1342" t="b">
        <f>AND(ISNUMBER(FIND($E1342,Tables!$I$2)), ISNUMBER(FIND($D1342,Tables!$J$2)), $E1342&lt;&gt;"")</f>
        <v>0</v>
      </c>
    </row>
    <row r="1343" spans="1:18" x14ac:dyDescent="0.3">
      <c r="A1343">
        <f t="shared" si="106"/>
        <v>1326</v>
      </c>
      <c r="B1343" s="4"/>
      <c r="I1343" s="8"/>
      <c r="J1343" s="5" t="str">
        <f t="shared" si="104"/>
        <v/>
      </c>
      <c r="K1343" s="3"/>
      <c r="L1343" s="3" t="str">
        <f t="shared" si="108"/>
        <v/>
      </c>
      <c r="N1343" s="3" t="str">
        <f t="shared" si="107"/>
        <v/>
      </c>
      <c r="O1343" s="6" t="str">
        <f t="shared" si="105"/>
        <v/>
      </c>
      <c r="P1343" s="7">
        <f ca="1">SUMIFS($N$2:$N1343,$B$2:$B1343,"&lt;&gt;"&amp;B1343)+SUM($Q$2:$Q1343)</f>
        <v>135.05500000000001</v>
      </c>
      <c r="R1343" t="b">
        <f>AND(ISNUMBER(FIND($E1343,Tables!$I$2)), ISNUMBER(FIND($D1343,Tables!$J$2)), $E1343&lt;&gt;"")</f>
        <v>0</v>
      </c>
    </row>
    <row r="1344" spans="1:18" x14ac:dyDescent="0.3">
      <c r="A1344">
        <f t="shared" si="106"/>
        <v>1327</v>
      </c>
      <c r="B1344" s="4"/>
      <c r="I1344" s="8"/>
      <c r="J1344" s="5" t="str">
        <f t="shared" si="104"/>
        <v/>
      </c>
      <c r="K1344" s="3"/>
      <c r="L1344" s="3" t="str">
        <f t="shared" si="108"/>
        <v/>
      </c>
      <c r="N1344" s="3" t="str">
        <f t="shared" si="107"/>
        <v/>
      </c>
      <c r="O1344" s="6" t="str">
        <f t="shared" si="105"/>
        <v/>
      </c>
      <c r="P1344" s="7">
        <f ca="1">SUMIFS($N$2:$N1344,$B$2:$B1344,"&lt;&gt;"&amp;B1344)+SUM($Q$2:$Q1344)</f>
        <v>135.05500000000001</v>
      </c>
      <c r="R1344" t="b">
        <f>AND(ISNUMBER(FIND($E1344,Tables!$I$2)), ISNUMBER(FIND($D1344,Tables!$J$2)), $E1344&lt;&gt;"")</f>
        <v>0</v>
      </c>
    </row>
    <row r="1345" spans="1:18" x14ac:dyDescent="0.3">
      <c r="A1345">
        <f t="shared" si="106"/>
        <v>1328</v>
      </c>
      <c r="B1345" s="4"/>
      <c r="I1345" s="8"/>
      <c r="J1345" s="5" t="str">
        <f t="shared" si="104"/>
        <v/>
      </c>
      <c r="K1345" s="3"/>
      <c r="L1345" s="3" t="str">
        <f t="shared" si="108"/>
        <v/>
      </c>
      <c r="N1345" s="3" t="str">
        <f t="shared" si="107"/>
        <v/>
      </c>
      <c r="O1345" s="6" t="str">
        <f t="shared" si="105"/>
        <v/>
      </c>
      <c r="P1345" s="7">
        <f ca="1">SUMIFS($N$2:$N1345,$B$2:$B1345,"&lt;&gt;"&amp;B1345)+SUM($Q$2:$Q1345)</f>
        <v>135.05500000000001</v>
      </c>
      <c r="R1345" t="b">
        <f>AND(ISNUMBER(FIND($E1345,Tables!$I$2)), ISNUMBER(FIND($D1345,Tables!$J$2)), $E1345&lt;&gt;"")</f>
        <v>0</v>
      </c>
    </row>
    <row r="1346" spans="1:18" x14ac:dyDescent="0.3">
      <c r="A1346">
        <f t="shared" si="106"/>
        <v>1329</v>
      </c>
      <c r="B1346" s="4"/>
      <c r="I1346" s="8"/>
      <c r="J1346" s="5" t="str">
        <f t="shared" ref="J1346:J1409" si="109">IF(I1346="", "", IF(I1346&gt;0, I1346/100 +1, -100/I1346 +1))</f>
        <v/>
      </c>
      <c r="K1346" s="3"/>
      <c r="L1346" s="3" t="str">
        <f t="shared" si="108"/>
        <v/>
      </c>
      <c r="N1346" s="3" t="str">
        <f t="shared" si="107"/>
        <v/>
      </c>
      <c r="O1346" s="6" t="str">
        <f t="shared" ref="O1346:O1409" si="110">IFERROR(K1346/VLOOKUP(_xlfn.MINIFS(A:A,B:B,B1346,C:C,C1346),A:P,16),"")</f>
        <v/>
      </c>
      <c r="P1346" s="7">
        <f ca="1">SUMIFS($N$2:$N1346,$B$2:$B1346,"&lt;&gt;"&amp;B1346)+SUM($Q$2:$Q1346)</f>
        <v>135.05500000000001</v>
      </c>
      <c r="R1346" t="b">
        <f>AND(ISNUMBER(FIND($E1346,Tables!$I$2)), ISNUMBER(FIND($D1346,Tables!$J$2)), $E1346&lt;&gt;"")</f>
        <v>0</v>
      </c>
    </row>
    <row r="1347" spans="1:18" x14ac:dyDescent="0.3">
      <c r="A1347">
        <f t="shared" si="106"/>
        <v>1330</v>
      </c>
      <c r="B1347" s="4"/>
      <c r="I1347" s="8"/>
      <c r="J1347" s="5" t="str">
        <f t="shared" si="109"/>
        <v/>
      </c>
      <c r="K1347" s="3"/>
      <c r="L1347" s="3" t="str">
        <f t="shared" si="108"/>
        <v/>
      </c>
      <c r="N1347" s="3" t="str">
        <f t="shared" si="107"/>
        <v/>
      </c>
      <c r="O1347" s="6" t="str">
        <f t="shared" si="110"/>
        <v/>
      </c>
      <c r="P1347" s="7">
        <f ca="1">SUMIFS($N$2:$N1347,$B$2:$B1347,"&lt;&gt;"&amp;B1347)+SUM($Q$2:$Q1347)</f>
        <v>135.05500000000001</v>
      </c>
      <c r="R1347" t="b">
        <f>AND(ISNUMBER(FIND($E1347,Tables!$I$2)), ISNUMBER(FIND($D1347,Tables!$J$2)), $E1347&lt;&gt;"")</f>
        <v>0</v>
      </c>
    </row>
    <row r="1348" spans="1:18" x14ac:dyDescent="0.3">
      <c r="A1348">
        <f t="shared" si="106"/>
        <v>1331</v>
      </c>
      <c r="B1348" s="4"/>
      <c r="I1348" s="8"/>
      <c r="J1348" s="5" t="str">
        <f t="shared" si="109"/>
        <v/>
      </c>
      <c r="K1348" s="3"/>
      <c r="L1348" s="3" t="str">
        <f t="shared" si="108"/>
        <v/>
      </c>
      <c r="N1348" s="3" t="str">
        <f t="shared" si="107"/>
        <v/>
      </c>
      <c r="O1348" s="6" t="str">
        <f t="shared" si="110"/>
        <v/>
      </c>
      <c r="P1348" s="7">
        <f ca="1">SUMIFS($N$2:$N1348,$B$2:$B1348,"&lt;&gt;"&amp;B1348)+SUM($Q$2:$Q1348)</f>
        <v>135.05500000000001</v>
      </c>
      <c r="R1348" t="b">
        <f>AND(ISNUMBER(FIND($E1348,Tables!$I$2)), ISNUMBER(FIND($D1348,Tables!$J$2)), $E1348&lt;&gt;"")</f>
        <v>0</v>
      </c>
    </row>
    <row r="1349" spans="1:18" x14ac:dyDescent="0.3">
      <c r="A1349">
        <f t="shared" si="106"/>
        <v>1332</v>
      </c>
      <c r="B1349" s="4"/>
      <c r="I1349" s="8"/>
      <c r="J1349" s="5" t="str">
        <f t="shared" si="109"/>
        <v/>
      </c>
      <c r="K1349" s="3"/>
      <c r="L1349" s="3" t="str">
        <f t="shared" si="108"/>
        <v/>
      </c>
      <c r="N1349" s="3" t="str">
        <f t="shared" si="107"/>
        <v/>
      </c>
      <c r="O1349" s="6" t="str">
        <f t="shared" si="110"/>
        <v/>
      </c>
      <c r="P1349" s="7">
        <f ca="1">SUMIFS($N$2:$N1349,$B$2:$B1349,"&lt;&gt;"&amp;B1349)+SUM($Q$2:$Q1349)</f>
        <v>135.05500000000001</v>
      </c>
      <c r="R1349" t="b">
        <f>AND(ISNUMBER(FIND($E1349,Tables!$I$2)), ISNUMBER(FIND($D1349,Tables!$J$2)), $E1349&lt;&gt;"")</f>
        <v>0</v>
      </c>
    </row>
    <row r="1350" spans="1:18" x14ac:dyDescent="0.3">
      <c r="A1350">
        <f t="shared" si="106"/>
        <v>1333</v>
      </c>
      <c r="B1350" s="4"/>
      <c r="I1350" s="8"/>
      <c r="J1350" s="5" t="str">
        <f t="shared" si="109"/>
        <v/>
      </c>
      <c r="K1350" s="3"/>
      <c r="L1350" s="3" t="str">
        <f t="shared" si="108"/>
        <v/>
      </c>
      <c r="N1350" s="3" t="str">
        <f t="shared" si="107"/>
        <v/>
      </c>
      <c r="O1350" s="6" t="str">
        <f t="shared" si="110"/>
        <v/>
      </c>
      <c r="P1350" s="7">
        <f ca="1">SUMIFS($N$2:$N1350,$B$2:$B1350,"&lt;&gt;"&amp;B1350)+SUM($Q$2:$Q1350)</f>
        <v>135.05500000000001</v>
      </c>
      <c r="R1350" t="b">
        <f>AND(ISNUMBER(FIND($E1350,Tables!$I$2)), ISNUMBER(FIND($D1350,Tables!$J$2)), $E1350&lt;&gt;"")</f>
        <v>0</v>
      </c>
    </row>
    <row r="1351" spans="1:18" x14ac:dyDescent="0.3">
      <c r="A1351">
        <f t="shared" si="106"/>
        <v>1334</v>
      </c>
      <c r="B1351" s="4"/>
      <c r="I1351" s="8"/>
      <c r="J1351" s="5" t="str">
        <f t="shared" si="109"/>
        <v/>
      </c>
      <c r="K1351" s="3"/>
      <c r="L1351" s="3" t="str">
        <f t="shared" si="108"/>
        <v/>
      </c>
      <c r="N1351" s="3" t="str">
        <f t="shared" si="107"/>
        <v/>
      </c>
      <c r="O1351" s="6" t="str">
        <f t="shared" si="110"/>
        <v/>
      </c>
      <c r="P1351" s="7">
        <f ca="1">SUMIFS($N$2:$N1351,$B$2:$B1351,"&lt;&gt;"&amp;B1351)+SUM($Q$2:$Q1351)</f>
        <v>135.05500000000001</v>
      </c>
      <c r="R1351" t="b">
        <f>AND(ISNUMBER(FIND($E1351,Tables!$I$2)), ISNUMBER(FIND($D1351,Tables!$J$2)), $E1351&lt;&gt;"")</f>
        <v>0</v>
      </c>
    </row>
    <row r="1352" spans="1:18" x14ac:dyDescent="0.3">
      <c r="A1352">
        <f t="shared" si="106"/>
        <v>1335</v>
      </c>
      <c r="B1352" s="4"/>
      <c r="I1352" s="8"/>
      <c r="J1352" s="5" t="str">
        <f t="shared" si="109"/>
        <v/>
      </c>
      <c r="K1352" s="3"/>
      <c r="L1352" s="3" t="str">
        <f t="shared" si="108"/>
        <v/>
      </c>
      <c r="N1352" s="3" t="str">
        <f t="shared" si="107"/>
        <v/>
      </c>
      <c r="O1352" s="6" t="str">
        <f t="shared" si="110"/>
        <v/>
      </c>
      <c r="P1352" s="7">
        <f ca="1">SUMIFS($N$2:$N1352,$B$2:$B1352,"&lt;&gt;"&amp;B1352)+SUM($Q$2:$Q1352)</f>
        <v>135.05500000000001</v>
      </c>
      <c r="R1352" t="b">
        <f>AND(ISNUMBER(FIND($E1352,Tables!$I$2)), ISNUMBER(FIND($D1352,Tables!$J$2)), $E1352&lt;&gt;"")</f>
        <v>0</v>
      </c>
    </row>
    <row r="1353" spans="1:18" x14ac:dyDescent="0.3">
      <c r="A1353">
        <f t="shared" si="106"/>
        <v>1336</v>
      </c>
      <c r="B1353" s="4"/>
      <c r="I1353" s="8"/>
      <c r="J1353" s="5" t="str">
        <f t="shared" si="109"/>
        <v/>
      </c>
      <c r="K1353" s="3"/>
      <c r="L1353" s="3" t="str">
        <f t="shared" si="108"/>
        <v/>
      </c>
      <c r="N1353" s="3" t="str">
        <f t="shared" si="107"/>
        <v/>
      </c>
      <c r="O1353" s="6" t="str">
        <f t="shared" si="110"/>
        <v/>
      </c>
      <c r="P1353" s="7">
        <f ca="1">SUMIFS($N$2:$N1353,$B$2:$B1353,"&lt;&gt;"&amp;B1353)+SUM($Q$2:$Q1353)</f>
        <v>135.05500000000001</v>
      </c>
      <c r="R1353" t="b">
        <f>AND(ISNUMBER(FIND($E1353,Tables!$I$2)), ISNUMBER(FIND($D1353,Tables!$J$2)), $E1353&lt;&gt;"")</f>
        <v>0</v>
      </c>
    </row>
    <row r="1354" spans="1:18" x14ac:dyDescent="0.3">
      <c r="A1354">
        <f t="shared" si="106"/>
        <v>1337</v>
      </c>
      <c r="B1354" s="4"/>
      <c r="I1354" s="8"/>
      <c r="J1354" s="5" t="str">
        <f t="shared" si="109"/>
        <v/>
      </c>
      <c r="K1354" s="3"/>
      <c r="L1354" s="3" t="str">
        <f t="shared" si="108"/>
        <v/>
      </c>
      <c r="N1354" s="3" t="str">
        <f t="shared" si="107"/>
        <v/>
      </c>
      <c r="O1354" s="6" t="str">
        <f t="shared" si="110"/>
        <v/>
      </c>
      <c r="P1354" s="7">
        <f ca="1">SUMIFS($N$2:$N1354,$B$2:$B1354,"&lt;&gt;"&amp;B1354)+SUM($Q$2:$Q1354)</f>
        <v>135.05500000000001</v>
      </c>
      <c r="R1354" t="b">
        <f>AND(ISNUMBER(FIND($E1354,Tables!$I$2)), ISNUMBER(FIND($D1354,Tables!$J$2)), $E1354&lt;&gt;"")</f>
        <v>0</v>
      </c>
    </row>
    <row r="1355" spans="1:18" x14ac:dyDescent="0.3">
      <c r="A1355">
        <f t="shared" si="106"/>
        <v>1338</v>
      </c>
      <c r="B1355" s="4"/>
      <c r="I1355" s="8"/>
      <c r="J1355" s="5" t="str">
        <f t="shared" si="109"/>
        <v/>
      </c>
      <c r="K1355" s="3"/>
      <c r="L1355" s="3" t="str">
        <f t="shared" si="108"/>
        <v/>
      </c>
      <c r="N1355" s="3" t="str">
        <f t="shared" si="107"/>
        <v/>
      </c>
      <c r="O1355" s="6" t="str">
        <f t="shared" si="110"/>
        <v/>
      </c>
      <c r="P1355" s="7">
        <f ca="1">SUMIFS($N$2:$N1355,$B$2:$B1355,"&lt;&gt;"&amp;B1355)+SUM($Q$2:$Q1355)</f>
        <v>135.05500000000001</v>
      </c>
      <c r="R1355" t="b">
        <f>AND(ISNUMBER(FIND($E1355,Tables!$I$2)), ISNUMBER(FIND($D1355,Tables!$J$2)), $E1355&lt;&gt;"")</f>
        <v>0</v>
      </c>
    </row>
    <row r="1356" spans="1:18" x14ac:dyDescent="0.3">
      <c r="A1356">
        <f t="shared" si="106"/>
        <v>1339</v>
      </c>
      <c r="B1356" s="4"/>
      <c r="I1356" s="8"/>
      <c r="J1356" s="5" t="str">
        <f t="shared" si="109"/>
        <v/>
      </c>
      <c r="K1356" s="3"/>
      <c r="L1356" s="3" t="str">
        <f t="shared" si="108"/>
        <v/>
      </c>
      <c r="N1356" s="3" t="str">
        <f t="shared" si="107"/>
        <v/>
      </c>
      <c r="O1356" s="6" t="str">
        <f t="shared" si="110"/>
        <v/>
      </c>
      <c r="P1356" s="7">
        <f ca="1">SUMIFS($N$2:$N1356,$B$2:$B1356,"&lt;&gt;"&amp;B1356)+SUM($Q$2:$Q1356)</f>
        <v>135.05500000000001</v>
      </c>
      <c r="R1356" t="b">
        <f>AND(ISNUMBER(FIND($E1356,Tables!$I$2)), ISNUMBER(FIND($D1356,Tables!$J$2)), $E1356&lt;&gt;"")</f>
        <v>0</v>
      </c>
    </row>
    <row r="1357" spans="1:18" x14ac:dyDescent="0.3">
      <c r="A1357">
        <f t="shared" si="106"/>
        <v>1340</v>
      </c>
      <c r="B1357" s="4"/>
      <c r="I1357" s="8"/>
      <c r="J1357" s="5" t="str">
        <f t="shared" si="109"/>
        <v/>
      </c>
      <c r="K1357" s="3"/>
      <c r="L1357" s="3" t="str">
        <f t="shared" si="108"/>
        <v/>
      </c>
      <c r="N1357" s="3" t="str">
        <f t="shared" si="107"/>
        <v/>
      </c>
      <c r="O1357" s="6" t="str">
        <f t="shared" si="110"/>
        <v/>
      </c>
      <c r="P1357" s="7">
        <f ca="1">SUMIFS($N$2:$N1357,$B$2:$B1357,"&lt;&gt;"&amp;B1357)+SUM($Q$2:$Q1357)</f>
        <v>135.05500000000001</v>
      </c>
      <c r="R1357" t="b">
        <f>AND(ISNUMBER(FIND($E1357,Tables!$I$2)), ISNUMBER(FIND($D1357,Tables!$J$2)), $E1357&lt;&gt;"")</f>
        <v>0</v>
      </c>
    </row>
    <row r="1358" spans="1:18" x14ac:dyDescent="0.3">
      <c r="A1358">
        <f t="shared" si="106"/>
        <v>1341</v>
      </c>
      <c r="B1358" s="4"/>
      <c r="I1358" s="8"/>
      <c r="J1358" s="5" t="str">
        <f t="shared" si="109"/>
        <v/>
      </c>
      <c r="K1358" s="3"/>
      <c r="L1358" s="3" t="str">
        <f t="shared" si="108"/>
        <v/>
      </c>
      <c r="N1358" s="3" t="str">
        <f t="shared" si="107"/>
        <v/>
      </c>
      <c r="O1358" s="6" t="str">
        <f t="shared" si="110"/>
        <v/>
      </c>
      <c r="P1358" s="7">
        <f ca="1">SUMIFS($N$2:$N1358,$B$2:$B1358,"&lt;&gt;"&amp;B1358)+SUM($Q$2:$Q1358)</f>
        <v>135.05500000000001</v>
      </c>
      <c r="R1358" t="b">
        <f>AND(ISNUMBER(FIND($E1358,Tables!$I$2)), ISNUMBER(FIND($D1358,Tables!$J$2)), $E1358&lt;&gt;"")</f>
        <v>0</v>
      </c>
    </row>
    <row r="1359" spans="1:18" x14ac:dyDescent="0.3">
      <c r="A1359">
        <f t="shared" si="106"/>
        <v>1342</v>
      </c>
      <c r="B1359" s="4"/>
      <c r="I1359" s="8"/>
      <c r="J1359" s="5" t="str">
        <f t="shared" si="109"/>
        <v/>
      </c>
      <c r="K1359" s="3"/>
      <c r="L1359" s="3" t="str">
        <f t="shared" si="108"/>
        <v/>
      </c>
      <c r="N1359" s="3" t="str">
        <f t="shared" si="107"/>
        <v/>
      </c>
      <c r="O1359" s="6" t="str">
        <f t="shared" si="110"/>
        <v/>
      </c>
      <c r="P1359" s="7">
        <f ca="1">SUMIFS($N$2:$N1359,$B$2:$B1359,"&lt;&gt;"&amp;B1359)+SUM($Q$2:$Q1359)</f>
        <v>135.05500000000001</v>
      </c>
      <c r="R1359" t="b">
        <f>AND(ISNUMBER(FIND($E1359,Tables!$I$2)), ISNUMBER(FIND($D1359,Tables!$J$2)), $E1359&lt;&gt;"")</f>
        <v>0</v>
      </c>
    </row>
    <row r="1360" spans="1:18" x14ac:dyDescent="0.3">
      <c r="A1360">
        <f t="shared" si="106"/>
        <v>1343</v>
      </c>
      <c r="B1360" s="4"/>
      <c r="I1360" s="8"/>
      <c r="J1360" s="5" t="str">
        <f t="shared" si="109"/>
        <v/>
      </c>
      <c r="K1360" s="3"/>
      <c r="L1360" s="3" t="str">
        <f t="shared" si="108"/>
        <v/>
      </c>
      <c r="N1360" s="3" t="str">
        <f t="shared" si="107"/>
        <v/>
      </c>
      <c r="O1360" s="6" t="str">
        <f t="shared" si="110"/>
        <v/>
      </c>
      <c r="P1360" s="7">
        <f ca="1">SUMIFS($N$2:$N1360,$B$2:$B1360,"&lt;&gt;"&amp;B1360)+SUM($Q$2:$Q1360)</f>
        <v>135.05500000000001</v>
      </c>
      <c r="R1360" t="b">
        <f>AND(ISNUMBER(FIND($E1360,Tables!$I$2)), ISNUMBER(FIND($D1360,Tables!$J$2)), $E1360&lt;&gt;"")</f>
        <v>0</v>
      </c>
    </row>
    <row r="1361" spans="1:18" x14ac:dyDescent="0.3">
      <c r="A1361">
        <f t="shared" si="106"/>
        <v>1344</v>
      </c>
      <c r="B1361" s="4"/>
      <c r="I1361" s="8"/>
      <c r="J1361" s="5" t="str">
        <f t="shared" si="109"/>
        <v/>
      </c>
      <c r="K1361" s="3"/>
      <c r="L1361" s="3" t="str">
        <f t="shared" si="108"/>
        <v/>
      </c>
      <c r="N1361" s="3" t="str">
        <f t="shared" si="107"/>
        <v/>
      </c>
      <c r="O1361" s="6" t="str">
        <f t="shared" si="110"/>
        <v/>
      </c>
      <c r="P1361" s="7">
        <f ca="1">SUMIFS($N$2:$N1361,$B$2:$B1361,"&lt;&gt;"&amp;B1361)+SUM($Q$2:$Q1361)</f>
        <v>135.05500000000001</v>
      </c>
      <c r="R1361" t="b">
        <f>AND(ISNUMBER(FIND($E1361,Tables!$I$2)), ISNUMBER(FIND($D1361,Tables!$J$2)), $E1361&lt;&gt;"")</f>
        <v>0</v>
      </c>
    </row>
    <row r="1362" spans="1:18" x14ac:dyDescent="0.3">
      <c r="A1362">
        <f t="shared" si="106"/>
        <v>1345</v>
      </c>
      <c r="B1362" s="4"/>
      <c r="I1362" s="8"/>
      <c r="J1362" s="5" t="str">
        <f t="shared" si="109"/>
        <v/>
      </c>
      <c r="K1362" s="3"/>
      <c r="L1362" s="3" t="str">
        <f t="shared" si="108"/>
        <v/>
      </c>
      <c r="N1362" s="3" t="str">
        <f t="shared" si="107"/>
        <v/>
      </c>
      <c r="O1362" s="6" t="str">
        <f t="shared" si="110"/>
        <v/>
      </c>
      <c r="P1362" s="7">
        <f ca="1">SUMIFS($N$2:$N1362,$B$2:$B1362,"&lt;&gt;"&amp;B1362)+SUM($Q$2:$Q1362)</f>
        <v>135.05500000000001</v>
      </c>
      <c r="R1362" t="b">
        <f>AND(ISNUMBER(FIND($E1362,Tables!$I$2)), ISNUMBER(FIND($D1362,Tables!$J$2)), $E1362&lt;&gt;"")</f>
        <v>0</v>
      </c>
    </row>
    <row r="1363" spans="1:18" x14ac:dyDescent="0.3">
      <c r="A1363">
        <f t="shared" si="106"/>
        <v>1346</v>
      </c>
      <c r="B1363" s="4"/>
      <c r="I1363" s="8"/>
      <c r="J1363" s="5" t="str">
        <f t="shared" si="109"/>
        <v/>
      </c>
      <c r="K1363" s="3"/>
      <c r="L1363" s="3" t="str">
        <f t="shared" si="108"/>
        <v/>
      </c>
      <c r="N1363" s="3" t="str">
        <f t="shared" si="107"/>
        <v/>
      </c>
      <c r="O1363" s="6" t="str">
        <f t="shared" si="110"/>
        <v/>
      </c>
      <c r="P1363" s="7">
        <f ca="1">SUMIFS($N$2:$N1363,$B$2:$B1363,"&lt;&gt;"&amp;B1363)+SUM($Q$2:$Q1363)</f>
        <v>135.05500000000001</v>
      </c>
      <c r="R1363" t="b">
        <f>AND(ISNUMBER(FIND($E1363,Tables!$I$2)), ISNUMBER(FIND($D1363,Tables!$J$2)), $E1363&lt;&gt;"")</f>
        <v>0</v>
      </c>
    </row>
    <row r="1364" spans="1:18" x14ac:dyDescent="0.3">
      <c r="A1364">
        <f t="shared" si="106"/>
        <v>1347</v>
      </c>
      <c r="B1364" s="4"/>
      <c r="I1364" s="8"/>
      <c r="J1364" s="5" t="str">
        <f t="shared" si="109"/>
        <v/>
      </c>
      <c r="K1364" s="3"/>
      <c r="L1364" s="3" t="str">
        <f t="shared" si="108"/>
        <v/>
      </c>
      <c r="N1364" s="3" t="str">
        <f t="shared" si="107"/>
        <v/>
      </c>
      <c r="O1364" s="6" t="str">
        <f t="shared" si="110"/>
        <v/>
      </c>
      <c r="P1364" s="7">
        <f ca="1">SUMIFS($N$2:$N1364,$B$2:$B1364,"&lt;&gt;"&amp;B1364)+SUM($Q$2:$Q1364)</f>
        <v>135.05500000000001</v>
      </c>
      <c r="R1364" t="b">
        <f>AND(ISNUMBER(FIND($E1364,Tables!$I$2)), ISNUMBER(FIND($D1364,Tables!$J$2)), $E1364&lt;&gt;"")</f>
        <v>0</v>
      </c>
    </row>
    <row r="1365" spans="1:18" x14ac:dyDescent="0.3">
      <c r="A1365">
        <f t="shared" si="106"/>
        <v>1348</v>
      </c>
      <c r="B1365" s="4"/>
      <c r="I1365" s="8"/>
      <c r="J1365" s="5" t="str">
        <f t="shared" si="109"/>
        <v/>
      </c>
      <c r="K1365" s="3"/>
      <c r="L1365" s="3" t="str">
        <f t="shared" si="108"/>
        <v/>
      </c>
      <c r="N1365" s="3" t="str">
        <f t="shared" si="107"/>
        <v/>
      </c>
      <c r="O1365" s="6" t="str">
        <f t="shared" si="110"/>
        <v/>
      </c>
      <c r="P1365" s="7">
        <f ca="1">SUMIFS($N$2:$N1365,$B$2:$B1365,"&lt;&gt;"&amp;B1365)+SUM($Q$2:$Q1365)</f>
        <v>135.05500000000001</v>
      </c>
      <c r="R1365" t="b">
        <f>AND(ISNUMBER(FIND($E1365,Tables!$I$2)), ISNUMBER(FIND($D1365,Tables!$J$2)), $E1365&lt;&gt;"")</f>
        <v>0</v>
      </c>
    </row>
    <row r="1366" spans="1:18" x14ac:dyDescent="0.3">
      <c r="A1366">
        <f t="shared" si="106"/>
        <v>1349</v>
      </c>
      <c r="B1366" s="4"/>
      <c r="I1366" s="8"/>
      <c r="J1366" s="5" t="str">
        <f t="shared" si="109"/>
        <v/>
      </c>
      <c r="K1366" s="3"/>
      <c r="L1366" s="3" t="str">
        <f t="shared" si="108"/>
        <v/>
      </c>
      <c r="N1366" s="3" t="str">
        <f t="shared" si="107"/>
        <v/>
      </c>
      <c r="O1366" s="6" t="str">
        <f t="shared" si="110"/>
        <v/>
      </c>
      <c r="P1366" s="7">
        <f ca="1">SUMIFS($N$2:$N1366,$B$2:$B1366,"&lt;&gt;"&amp;B1366)+SUM($Q$2:$Q1366)</f>
        <v>135.05500000000001</v>
      </c>
      <c r="R1366" t="b">
        <f>AND(ISNUMBER(FIND($E1366,Tables!$I$2)), ISNUMBER(FIND($D1366,Tables!$J$2)), $E1366&lt;&gt;"")</f>
        <v>0</v>
      </c>
    </row>
    <row r="1367" spans="1:18" x14ac:dyDescent="0.3">
      <c r="A1367">
        <f t="shared" si="106"/>
        <v>1350</v>
      </c>
      <c r="B1367" s="4"/>
      <c r="I1367" s="8"/>
      <c r="J1367" s="5" t="str">
        <f t="shared" si="109"/>
        <v/>
      </c>
      <c r="K1367" s="3"/>
      <c r="L1367" s="3" t="str">
        <f t="shared" si="108"/>
        <v/>
      </c>
      <c r="N1367" s="3" t="str">
        <f t="shared" si="107"/>
        <v/>
      </c>
      <c r="O1367" s="6" t="str">
        <f t="shared" si="110"/>
        <v/>
      </c>
      <c r="P1367" s="7">
        <f ca="1">SUMIFS($N$2:$N1367,$B$2:$B1367,"&lt;&gt;"&amp;B1367)+SUM($Q$2:$Q1367)</f>
        <v>135.05500000000001</v>
      </c>
      <c r="R1367" t="b">
        <f>AND(ISNUMBER(FIND($E1367,Tables!$I$2)), ISNUMBER(FIND($D1367,Tables!$J$2)), $E1367&lt;&gt;"")</f>
        <v>0</v>
      </c>
    </row>
    <row r="1368" spans="1:18" x14ac:dyDescent="0.3">
      <c r="A1368">
        <f t="shared" si="106"/>
        <v>1351</v>
      </c>
      <c r="B1368" s="4"/>
      <c r="I1368" s="8"/>
      <c r="J1368" s="5" t="str">
        <f t="shared" si="109"/>
        <v/>
      </c>
      <c r="K1368" s="3"/>
      <c r="L1368" s="3" t="str">
        <f t="shared" si="108"/>
        <v/>
      </c>
      <c r="N1368" s="3" t="str">
        <f t="shared" si="107"/>
        <v/>
      </c>
      <c r="O1368" s="6" t="str">
        <f t="shared" si="110"/>
        <v/>
      </c>
      <c r="P1368" s="7">
        <f ca="1">SUMIFS($N$2:$N1368,$B$2:$B1368,"&lt;&gt;"&amp;B1368)+SUM($Q$2:$Q1368)</f>
        <v>135.05500000000001</v>
      </c>
      <c r="R1368" t="b">
        <f>AND(ISNUMBER(FIND($E1368,Tables!$I$2)), ISNUMBER(FIND($D1368,Tables!$J$2)), $E1368&lt;&gt;"")</f>
        <v>0</v>
      </c>
    </row>
    <row r="1369" spans="1:18" x14ac:dyDescent="0.3">
      <c r="A1369">
        <f t="shared" si="106"/>
        <v>1352</v>
      </c>
      <c r="B1369" s="4"/>
      <c r="I1369" s="8"/>
      <c r="J1369" s="5" t="str">
        <f t="shared" si="109"/>
        <v/>
      </c>
      <c r="K1369" s="3"/>
      <c r="L1369" s="3" t="str">
        <f t="shared" si="108"/>
        <v/>
      </c>
      <c r="N1369" s="3" t="str">
        <f t="shared" si="107"/>
        <v/>
      </c>
      <c r="O1369" s="6" t="str">
        <f t="shared" si="110"/>
        <v/>
      </c>
      <c r="P1369" s="7">
        <f ca="1">SUMIFS($N$2:$N1369,$B$2:$B1369,"&lt;&gt;"&amp;B1369)+SUM($Q$2:$Q1369)</f>
        <v>135.05500000000001</v>
      </c>
      <c r="R1369" t="b">
        <f>AND(ISNUMBER(FIND($E1369,Tables!$I$2)), ISNUMBER(FIND($D1369,Tables!$J$2)), $E1369&lt;&gt;"")</f>
        <v>0</v>
      </c>
    </row>
    <row r="1370" spans="1:18" x14ac:dyDescent="0.3">
      <c r="A1370">
        <f t="shared" si="106"/>
        <v>1353</v>
      </c>
      <c r="B1370" s="4"/>
      <c r="I1370" s="8"/>
      <c r="J1370" s="5" t="str">
        <f t="shared" si="109"/>
        <v/>
      </c>
      <c r="K1370" s="3"/>
      <c r="L1370" s="3" t="str">
        <f t="shared" si="108"/>
        <v/>
      </c>
      <c r="N1370" s="3" t="str">
        <f t="shared" si="107"/>
        <v/>
      </c>
      <c r="O1370" s="6" t="str">
        <f t="shared" si="110"/>
        <v/>
      </c>
      <c r="P1370" s="7">
        <f ca="1">SUMIFS($N$2:$N1370,$B$2:$B1370,"&lt;&gt;"&amp;B1370)+SUM($Q$2:$Q1370)</f>
        <v>135.05500000000001</v>
      </c>
      <c r="R1370" t="b">
        <f>AND(ISNUMBER(FIND($E1370,Tables!$I$2)), ISNUMBER(FIND($D1370,Tables!$J$2)), $E1370&lt;&gt;"")</f>
        <v>0</v>
      </c>
    </row>
    <row r="1371" spans="1:18" x14ac:dyDescent="0.3">
      <c r="A1371">
        <f t="shared" si="106"/>
        <v>1354</v>
      </c>
      <c r="B1371" s="4"/>
      <c r="I1371" s="8"/>
      <c r="J1371" s="5" t="str">
        <f t="shared" si="109"/>
        <v/>
      </c>
      <c r="K1371" s="3"/>
      <c r="L1371" s="3" t="str">
        <f t="shared" si="108"/>
        <v/>
      </c>
      <c r="N1371" s="3" t="str">
        <f t="shared" si="107"/>
        <v/>
      </c>
      <c r="O1371" s="6" t="str">
        <f t="shared" si="110"/>
        <v/>
      </c>
      <c r="P1371" s="7">
        <f ca="1">SUMIFS($N$2:$N1371,$B$2:$B1371,"&lt;&gt;"&amp;B1371)+SUM($Q$2:$Q1371)</f>
        <v>135.05500000000001</v>
      </c>
      <c r="R1371" t="b">
        <f>AND(ISNUMBER(FIND($E1371,Tables!$I$2)), ISNUMBER(FIND($D1371,Tables!$J$2)), $E1371&lt;&gt;"")</f>
        <v>0</v>
      </c>
    </row>
    <row r="1372" spans="1:18" x14ac:dyDescent="0.3">
      <c r="A1372">
        <f t="shared" si="106"/>
        <v>1355</v>
      </c>
      <c r="B1372" s="4"/>
      <c r="I1372" s="8"/>
      <c r="J1372" s="5" t="str">
        <f t="shared" si="109"/>
        <v/>
      </c>
      <c r="K1372" s="3"/>
      <c r="L1372" s="3" t="str">
        <f t="shared" si="108"/>
        <v/>
      </c>
      <c r="N1372" s="3" t="str">
        <f t="shared" si="107"/>
        <v/>
      </c>
      <c r="O1372" s="6" t="str">
        <f t="shared" si="110"/>
        <v/>
      </c>
      <c r="P1372" s="7">
        <f ca="1">SUMIFS($N$2:$N1372,$B$2:$B1372,"&lt;&gt;"&amp;B1372)+SUM($Q$2:$Q1372)</f>
        <v>135.05500000000001</v>
      </c>
      <c r="R1372" t="b">
        <f>AND(ISNUMBER(FIND($E1372,Tables!$I$2)), ISNUMBER(FIND($D1372,Tables!$J$2)), $E1372&lt;&gt;"")</f>
        <v>0</v>
      </c>
    </row>
    <row r="1373" spans="1:18" x14ac:dyDescent="0.3">
      <c r="A1373">
        <f t="shared" si="106"/>
        <v>1356</v>
      </c>
      <c r="B1373" s="4"/>
      <c r="I1373" s="8"/>
      <c r="J1373" s="5" t="str">
        <f t="shared" si="109"/>
        <v/>
      </c>
      <c r="K1373" s="3"/>
      <c r="L1373" s="3" t="str">
        <f t="shared" si="108"/>
        <v/>
      </c>
      <c r="N1373" s="3" t="str">
        <f t="shared" si="107"/>
        <v/>
      </c>
      <c r="O1373" s="6" t="str">
        <f t="shared" si="110"/>
        <v/>
      </c>
      <c r="P1373" s="7">
        <f ca="1">SUMIFS($N$2:$N1373,$B$2:$B1373,"&lt;&gt;"&amp;B1373)+SUM($Q$2:$Q1373)</f>
        <v>135.05500000000001</v>
      </c>
      <c r="R1373" t="b">
        <f>AND(ISNUMBER(FIND($E1373,Tables!$I$2)), ISNUMBER(FIND($D1373,Tables!$J$2)), $E1373&lt;&gt;"")</f>
        <v>0</v>
      </c>
    </row>
    <row r="1374" spans="1:18" x14ac:dyDescent="0.3">
      <c r="A1374">
        <f t="shared" si="106"/>
        <v>1357</v>
      </c>
      <c r="B1374" s="4"/>
      <c r="I1374" s="8"/>
      <c r="J1374" s="5" t="str">
        <f t="shared" si="109"/>
        <v/>
      </c>
      <c r="K1374" s="3"/>
      <c r="L1374" s="3" t="str">
        <f t="shared" si="108"/>
        <v/>
      </c>
      <c r="N1374" s="3" t="str">
        <f t="shared" si="107"/>
        <v/>
      </c>
      <c r="O1374" s="6" t="str">
        <f t="shared" si="110"/>
        <v/>
      </c>
      <c r="P1374" s="7">
        <f ca="1">SUMIFS($N$2:$N1374,$B$2:$B1374,"&lt;&gt;"&amp;B1374)+SUM($Q$2:$Q1374)</f>
        <v>135.05500000000001</v>
      </c>
      <c r="R1374" t="b">
        <f>AND(ISNUMBER(FIND($E1374,Tables!$I$2)), ISNUMBER(FIND($D1374,Tables!$J$2)), $E1374&lt;&gt;"")</f>
        <v>0</v>
      </c>
    </row>
    <row r="1375" spans="1:18" x14ac:dyDescent="0.3">
      <c r="A1375">
        <f t="shared" si="106"/>
        <v>1358</v>
      </c>
      <c r="B1375" s="4"/>
      <c r="I1375" s="8"/>
      <c r="J1375" s="5" t="str">
        <f t="shared" si="109"/>
        <v/>
      </c>
      <c r="K1375" s="3"/>
      <c r="L1375" s="3" t="str">
        <f t="shared" si="108"/>
        <v/>
      </c>
      <c r="N1375" s="3" t="str">
        <f t="shared" si="107"/>
        <v/>
      </c>
      <c r="O1375" s="6" t="str">
        <f t="shared" si="110"/>
        <v/>
      </c>
      <c r="P1375" s="7">
        <f ca="1">SUMIFS($N$2:$N1375,$B$2:$B1375,"&lt;&gt;"&amp;B1375)+SUM($Q$2:$Q1375)</f>
        <v>135.05500000000001</v>
      </c>
      <c r="R1375" t="b">
        <f>AND(ISNUMBER(FIND($E1375,Tables!$I$2)), ISNUMBER(FIND($D1375,Tables!$J$2)), $E1375&lt;&gt;"")</f>
        <v>0</v>
      </c>
    </row>
    <row r="1376" spans="1:18" x14ac:dyDescent="0.3">
      <c r="A1376">
        <f t="shared" si="106"/>
        <v>1359</v>
      </c>
      <c r="B1376" s="4"/>
      <c r="I1376" s="8"/>
      <c r="J1376" s="5" t="str">
        <f t="shared" si="109"/>
        <v/>
      </c>
      <c r="K1376" s="3"/>
      <c r="L1376" s="3" t="str">
        <f t="shared" si="108"/>
        <v/>
      </c>
      <c r="N1376" s="3" t="str">
        <f t="shared" si="107"/>
        <v/>
      </c>
      <c r="O1376" s="6" t="str">
        <f t="shared" si="110"/>
        <v/>
      </c>
      <c r="P1376" s="7">
        <f ca="1">SUMIFS($N$2:$N1376,$B$2:$B1376,"&lt;&gt;"&amp;B1376)+SUM($Q$2:$Q1376)</f>
        <v>135.05500000000001</v>
      </c>
      <c r="R1376" t="b">
        <f>AND(ISNUMBER(FIND($E1376,Tables!$I$2)), ISNUMBER(FIND($D1376,Tables!$J$2)), $E1376&lt;&gt;"")</f>
        <v>0</v>
      </c>
    </row>
    <row r="1377" spans="1:18" x14ac:dyDescent="0.3">
      <c r="A1377">
        <f t="shared" si="106"/>
        <v>1360</v>
      </c>
      <c r="B1377" s="4"/>
      <c r="I1377" s="8"/>
      <c r="J1377" s="5" t="str">
        <f t="shared" si="109"/>
        <v/>
      </c>
      <c r="K1377" s="3"/>
      <c r="L1377" s="3" t="str">
        <f t="shared" si="108"/>
        <v/>
      </c>
      <c r="N1377" s="3" t="str">
        <f t="shared" si="107"/>
        <v/>
      </c>
      <c r="O1377" s="6" t="str">
        <f t="shared" si="110"/>
        <v/>
      </c>
      <c r="P1377" s="7">
        <f ca="1">SUMIFS($N$2:$N1377,$B$2:$B1377,"&lt;&gt;"&amp;B1377)+SUM($Q$2:$Q1377)</f>
        <v>135.05500000000001</v>
      </c>
      <c r="R1377" t="b">
        <f>AND(ISNUMBER(FIND($E1377,Tables!$I$2)), ISNUMBER(FIND($D1377,Tables!$J$2)), $E1377&lt;&gt;"")</f>
        <v>0</v>
      </c>
    </row>
    <row r="1378" spans="1:18" x14ac:dyDescent="0.3">
      <c r="A1378">
        <f t="shared" ref="A1378:A1441" si="111">IF(AND(B1378="", D1378&lt;&gt;""), A1377, A1377+1)</f>
        <v>1361</v>
      </c>
      <c r="B1378" s="4"/>
      <c r="I1378" s="8"/>
      <c r="J1378" s="5" t="str">
        <f t="shared" si="109"/>
        <v/>
      </c>
      <c r="K1378" s="3"/>
      <c r="L1378" s="3" t="str">
        <f t="shared" si="108"/>
        <v/>
      </c>
      <c r="N1378" s="3" t="str">
        <f t="shared" si="107"/>
        <v/>
      </c>
      <c r="O1378" s="6" t="str">
        <f t="shared" si="110"/>
        <v/>
      </c>
      <c r="P1378" s="7">
        <f ca="1">SUMIFS($N$2:$N1378,$B$2:$B1378,"&lt;&gt;"&amp;B1378)+SUM($Q$2:$Q1378)</f>
        <v>135.05500000000001</v>
      </c>
      <c r="R1378" t="b">
        <f>AND(ISNUMBER(FIND($E1378,Tables!$I$2)), ISNUMBER(FIND($D1378,Tables!$J$2)), $E1378&lt;&gt;"")</f>
        <v>0</v>
      </c>
    </row>
    <row r="1379" spans="1:18" x14ac:dyDescent="0.3">
      <c r="A1379">
        <f t="shared" si="111"/>
        <v>1362</v>
      </c>
      <c r="B1379" s="4"/>
      <c r="I1379" s="8"/>
      <c r="J1379" s="5" t="str">
        <f t="shared" si="109"/>
        <v/>
      </c>
      <c r="K1379" s="3"/>
      <c r="L1379" s="3" t="str">
        <f t="shared" si="108"/>
        <v/>
      </c>
      <c r="N1379" s="3" t="str">
        <f t="shared" si="107"/>
        <v/>
      </c>
      <c r="O1379" s="6" t="str">
        <f t="shared" si="110"/>
        <v/>
      </c>
      <c r="P1379" s="7">
        <f ca="1">SUMIFS($N$2:$N1379,$B$2:$B1379,"&lt;&gt;"&amp;B1379)+SUM($Q$2:$Q1379)</f>
        <v>135.05500000000001</v>
      </c>
      <c r="R1379" t="b">
        <f>AND(ISNUMBER(FIND($E1379,Tables!$I$2)), ISNUMBER(FIND($D1379,Tables!$J$2)), $E1379&lt;&gt;"")</f>
        <v>0</v>
      </c>
    </row>
    <row r="1380" spans="1:18" x14ac:dyDescent="0.3">
      <c r="A1380">
        <f t="shared" si="111"/>
        <v>1363</v>
      </c>
      <c r="B1380" s="4"/>
      <c r="I1380" s="8"/>
      <c r="J1380" s="5" t="str">
        <f t="shared" si="109"/>
        <v/>
      </c>
      <c r="K1380" s="3"/>
      <c r="L1380" s="3" t="str">
        <f t="shared" si="108"/>
        <v/>
      </c>
      <c r="N1380" s="3" t="str">
        <f t="shared" si="107"/>
        <v/>
      </c>
      <c r="O1380" s="6" t="str">
        <f t="shared" si="110"/>
        <v/>
      </c>
      <c r="P1380" s="7">
        <f ca="1">SUMIFS($N$2:$N1380,$B$2:$B1380,"&lt;&gt;"&amp;B1380)+SUM($Q$2:$Q1380)</f>
        <v>135.05500000000001</v>
      </c>
      <c r="R1380" t="b">
        <f>AND(ISNUMBER(FIND($E1380,Tables!$I$2)), ISNUMBER(FIND($D1380,Tables!$J$2)), $E1380&lt;&gt;"")</f>
        <v>0</v>
      </c>
    </row>
    <row r="1381" spans="1:18" x14ac:dyDescent="0.3">
      <c r="A1381">
        <f t="shared" si="111"/>
        <v>1364</v>
      </c>
      <c r="B1381" s="4"/>
      <c r="I1381" s="8"/>
      <c r="J1381" s="5" t="str">
        <f t="shared" si="109"/>
        <v/>
      </c>
      <c r="K1381" s="3"/>
      <c r="L1381" s="3" t="str">
        <f t="shared" si="108"/>
        <v/>
      </c>
      <c r="N1381" s="3" t="str">
        <f t="shared" si="107"/>
        <v/>
      </c>
      <c r="O1381" s="6" t="str">
        <f t="shared" si="110"/>
        <v/>
      </c>
      <c r="P1381" s="7">
        <f ca="1">SUMIFS($N$2:$N1381,$B$2:$B1381,"&lt;&gt;"&amp;B1381)+SUM($Q$2:$Q1381)</f>
        <v>135.05500000000001</v>
      </c>
      <c r="R1381" t="b">
        <f>AND(ISNUMBER(FIND($E1381,Tables!$I$2)), ISNUMBER(FIND($D1381,Tables!$J$2)), $E1381&lt;&gt;"")</f>
        <v>0</v>
      </c>
    </row>
    <row r="1382" spans="1:18" x14ac:dyDescent="0.3">
      <c r="A1382">
        <f t="shared" si="111"/>
        <v>1365</v>
      </c>
      <c r="B1382" s="4"/>
      <c r="I1382" s="8"/>
      <c r="J1382" s="5" t="str">
        <f t="shared" si="109"/>
        <v/>
      </c>
      <c r="K1382" s="3"/>
      <c r="L1382" s="3" t="str">
        <f t="shared" si="108"/>
        <v/>
      </c>
      <c r="N1382" s="3" t="str">
        <f t="shared" si="107"/>
        <v/>
      </c>
      <c r="O1382" s="6" t="str">
        <f t="shared" si="110"/>
        <v/>
      </c>
      <c r="P1382" s="7">
        <f ca="1">SUMIFS($N$2:$N1382,$B$2:$B1382,"&lt;&gt;"&amp;B1382)+SUM($Q$2:$Q1382)</f>
        <v>135.05500000000001</v>
      </c>
      <c r="R1382" t="b">
        <f>AND(ISNUMBER(FIND($E1382,Tables!$I$2)), ISNUMBER(FIND($D1382,Tables!$J$2)), $E1382&lt;&gt;"")</f>
        <v>0</v>
      </c>
    </row>
    <row r="1383" spans="1:18" x14ac:dyDescent="0.3">
      <c r="A1383">
        <f t="shared" si="111"/>
        <v>1366</v>
      </c>
      <c r="B1383" s="4"/>
      <c r="I1383" s="8"/>
      <c r="J1383" s="5" t="str">
        <f t="shared" si="109"/>
        <v/>
      </c>
      <c r="K1383" s="3"/>
      <c r="L1383" s="3" t="str">
        <f t="shared" si="108"/>
        <v/>
      </c>
      <c r="N1383" s="3" t="str">
        <f t="shared" si="107"/>
        <v/>
      </c>
      <c r="O1383" s="6" t="str">
        <f t="shared" si="110"/>
        <v/>
      </c>
      <c r="P1383" s="7">
        <f ca="1">SUMIFS($N$2:$N1383,$B$2:$B1383,"&lt;&gt;"&amp;B1383)+SUM($Q$2:$Q1383)</f>
        <v>135.05500000000001</v>
      </c>
      <c r="R1383" t="b">
        <f>AND(ISNUMBER(FIND($E1383,Tables!$I$2)), ISNUMBER(FIND($D1383,Tables!$J$2)), $E1383&lt;&gt;"")</f>
        <v>0</v>
      </c>
    </row>
    <row r="1384" spans="1:18" x14ac:dyDescent="0.3">
      <c r="A1384">
        <f t="shared" si="111"/>
        <v>1367</v>
      </c>
      <c r="B1384" s="4"/>
      <c r="I1384" s="8"/>
      <c r="J1384" s="5" t="str">
        <f t="shared" si="109"/>
        <v/>
      </c>
      <c r="K1384" s="3"/>
      <c r="L1384" s="3" t="str">
        <f t="shared" si="108"/>
        <v/>
      </c>
      <c r="N1384" s="3" t="str">
        <f t="shared" ref="N1384:N1447" si="112">IF(L1384 = "", "", IF(M1384="", "", IF(OR(M1384="Draw",M1384="NC"), 0, IF(M1384="win", L1384, -1*K1384))))</f>
        <v/>
      </c>
      <c r="O1384" s="6" t="str">
        <f t="shared" si="110"/>
        <v/>
      </c>
      <c r="P1384" s="7">
        <f ca="1">SUMIFS($N$2:$N1384,$B$2:$B1384,"&lt;&gt;"&amp;B1384)+SUM($Q$2:$Q1384)</f>
        <v>135.05500000000001</v>
      </c>
      <c r="R1384" t="b">
        <f>AND(ISNUMBER(FIND($E1384,Tables!$I$2)), ISNUMBER(FIND($D1384,Tables!$J$2)), $E1384&lt;&gt;"")</f>
        <v>0</v>
      </c>
    </row>
    <row r="1385" spans="1:18" x14ac:dyDescent="0.3">
      <c r="A1385">
        <f t="shared" si="111"/>
        <v>1368</v>
      </c>
      <c r="B1385" s="4"/>
      <c r="I1385" s="8"/>
      <c r="J1385" s="5" t="str">
        <f t="shared" si="109"/>
        <v/>
      </c>
      <c r="K1385" s="3"/>
      <c r="L1385" s="3" t="str">
        <f t="shared" si="108"/>
        <v/>
      </c>
      <c r="N1385" s="3" t="str">
        <f t="shared" si="112"/>
        <v/>
      </c>
      <c r="O1385" s="6" t="str">
        <f t="shared" si="110"/>
        <v/>
      </c>
      <c r="P1385" s="7">
        <f ca="1">SUMIFS($N$2:$N1385,$B$2:$B1385,"&lt;&gt;"&amp;B1385)+SUM($Q$2:$Q1385)</f>
        <v>135.05500000000001</v>
      </c>
      <c r="R1385" t="b">
        <f>AND(ISNUMBER(FIND($E1385,Tables!$I$2)), ISNUMBER(FIND($D1385,Tables!$J$2)), $E1385&lt;&gt;"")</f>
        <v>0</v>
      </c>
    </row>
    <row r="1386" spans="1:18" x14ac:dyDescent="0.3">
      <c r="A1386">
        <f t="shared" si="111"/>
        <v>1369</v>
      </c>
      <c r="B1386" s="4"/>
      <c r="I1386" s="8"/>
      <c r="J1386" s="5" t="str">
        <f t="shared" si="109"/>
        <v/>
      </c>
      <c r="K1386" s="3"/>
      <c r="L1386" s="3" t="str">
        <f t="shared" si="108"/>
        <v/>
      </c>
      <c r="N1386" s="3" t="str">
        <f t="shared" si="112"/>
        <v/>
      </c>
      <c r="O1386" s="6" t="str">
        <f t="shared" si="110"/>
        <v/>
      </c>
      <c r="P1386" s="7">
        <f ca="1">SUMIFS($N$2:$N1386,$B$2:$B1386,"&lt;&gt;"&amp;B1386)+SUM($Q$2:$Q1386)</f>
        <v>135.05500000000001</v>
      </c>
      <c r="R1386" t="b">
        <f>AND(ISNUMBER(FIND($E1386,Tables!$I$2)), ISNUMBER(FIND($D1386,Tables!$J$2)), $E1386&lt;&gt;"")</f>
        <v>0</v>
      </c>
    </row>
    <row r="1387" spans="1:18" x14ac:dyDescent="0.3">
      <c r="A1387">
        <f t="shared" si="111"/>
        <v>1370</v>
      </c>
      <c r="B1387" s="4"/>
      <c r="I1387" s="8"/>
      <c r="J1387" s="5" t="str">
        <f t="shared" si="109"/>
        <v/>
      </c>
      <c r="K1387" s="3"/>
      <c r="L1387" s="3" t="str">
        <f t="shared" si="108"/>
        <v/>
      </c>
      <c r="N1387" s="3" t="str">
        <f t="shared" si="112"/>
        <v/>
      </c>
      <c r="O1387" s="6" t="str">
        <f t="shared" si="110"/>
        <v/>
      </c>
      <c r="P1387" s="7">
        <f ca="1">SUMIFS($N$2:$N1387,$B$2:$B1387,"&lt;&gt;"&amp;B1387)+SUM($Q$2:$Q1387)</f>
        <v>135.05500000000001</v>
      </c>
      <c r="R1387" t="b">
        <f>AND(ISNUMBER(FIND($E1387,Tables!$I$2)), ISNUMBER(FIND($D1387,Tables!$J$2)), $E1387&lt;&gt;"")</f>
        <v>0</v>
      </c>
    </row>
    <row r="1388" spans="1:18" x14ac:dyDescent="0.3">
      <c r="A1388">
        <f t="shared" si="111"/>
        <v>1371</v>
      </c>
      <c r="B1388" s="4"/>
      <c r="I1388" s="8"/>
      <c r="J1388" s="5" t="str">
        <f t="shared" si="109"/>
        <v/>
      </c>
      <c r="K1388" s="3"/>
      <c r="L1388" s="3" t="str">
        <f t="shared" si="108"/>
        <v/>
      </c>
      <c r="N1388" s="3" t="str">
        <f t="shared" si="112"/>
        <v/>
      </c>
      <c r="O1388" s="6" t="str">
        <f t="shared" si="110"/>
        <v/>
      </c>
      <c r="P1388" s="7">
        <f ca="1">SUMIFS($N$2:$N1388,$B$2:$B1388,"&lt;&gt;"&amp;B1388)+SUM($Q$2:$Q1388)</f>
        <v>135.05500000000001</v>
      </c>
      <c r="R1388" t="b">
        <f>AND(ISNUMBER(FIND($E1388,Tables!$I$2)), ISNUMBER(FIND($D1388,Tables!$J$2)), $E1388&lt;&gt;"")</f>
        <v>0</v>
      </c>
    </row>
    <row r="1389" spans="1:18" x14ac:dyDescent="0.3">
      <c r="A1389">
        <f t="shared" si="111"/>
        <v>1372</v>
      </c>
      <c r="B1389" s="4"/>
      <c r="I1389" s="8"/>
      <c r="J1389" s="5" t="str">
        <f t="shared" si="109"/>
        <v/>
      </c>
      <c r="K1389" s="3"/>
      <c r="L1389" s="3" t="str">
        <f t="shared" si="108"/>
        <v/>
      </c>
      <c r="N1389" s="3" t="str">
        <f t="shared" si="112"/>
        <v/>
      </c>
      <c r="O1389" s="6" t="str">
        <f t="shared" si="110"/>
        <v/>
      </c>
      <c r="P1389" s="7">
        <f ca="1">SUMIFS($N$2:$N1389,$B$2:$B1389,"&lt;&gt;"&amp;B1389)+SUM($Q$2:$Q1389)</f>
        <v>135.05500000000001</v>
      </c>
      <c r="R1389" t="b">
        <f>AND(ISNUMBER(FIND($E1389,Tables!$I$2)), ISNUMBER(FIND($D1389,Tables!$J$2)), $E1389&lt;&gt;"")</f>
        <v>0</v>
      </c>
    </row>
    <row r="1390" spans="1:18" x14ac:dyDescent="0.3">
      <c r="A1390">
        <f t="shared" si="111"/>
        <v>1373</v>
      </c>
      <c r="B1390" s="4"/>
      <c r="I1390" s="8"/>
      <c r="J1390" s="5" t="str">
        <f t="shared" si="109"/>
        <v/>
      </c>
      <c r="K1390" s="3"/>
      <c r="L1390" s="3" t="str">
        <f t="shared" si="108"/>
        <v/>
      </c>
      <c r="N1390" s="3" t="str">
        <f t="shared" si="112"/>
        <v/>
      </c>
      <c r="O1390" s="6" t="str">
        <f t="shared" si="110"/>
        <v/>
      </c>
      <c r="P1390" s="7">
        <f ca="1">SUMIFS($N$2:$N1390,$B$2:$B1390,"&lt;&gt;"&amp;B1390)+SUM($Q$2:$Q1390)</f>
        <v>135.05500000000001</v>
      </c>
      <c r="R1390" t="b">
        <f>AND(ISNUMBER(FIND($E1390,Tables!$I$2)), ISNUMBER(FIND($D1390,Tables!$J$2)), $E1390&lt;&gt;"")</f>
        <v>0</v>
      </c>
    </row>
    <row r="1391" spans="1:18" x14ac:dyDescent="0.3">
      <c r="A1391">
        <f t="shared" si="111"/>
        <v>1374</v>
      </c>
      <c r="B1391" s="4"/>
      <c r="I1391" s="8"/>
      <c r="J1391" s="5" t="str">
        <f t="shared" si="109"/>
        <v/>
      </c>
      <c r="K1391" s="3"/>
      <c r="L1391" s="3" t="str">
        <f t="shared" si="108"/>
        <v/>
      </c>
      <c r="N1391" s="3" t="str">
        <f t="shared" si="112"/>
        <v/>
      </c>
      <c r="O1391" s="6" t="str">
        <f t="shared" si="110"/>
        <v/>
      </c>
      <c r="P1391" s="7">
        <f ca="1">SUMIFS($N$2:$N1391,$B$2:$B1391,"&lt;&gt;"&amp;B1391)+SUM($Q$2:$Q1391)</f>
        <v>135.05500000000001</v>
      </c>
      <c r="R1391" t="b">
        <f>AND(ISNUMBER(FIND($E1391,Tables!$I$2)), ISNUMBER(FIND($D1391,Tables!$J$2)), $E1391&lt;&gt;"")</f>
        <v>0</v>
      </c>
    </row>
    <row r="1392" spans="1:18" x14ac:dyDescent="0.3">
      <c r="A1392">
        <f t="shared" si="111"/>
        <v>1375</v>
      </c>
      <c r="B1392" s="4"/>
      <c r="I1392" s="8"/>
      <c r="J1392" s="5" t="str">
        <f t="shared" si="109"/>
        <v/>
      </c>
      <c r="K1392" s="3"/>
      <c r="L1392" s="3" t="str">
        <f t="shared" si="108"/>
        <v/>
      </c>
      <c r="N1392" s="3" t="str">
        <f t="shared" si="112"/>
        <v/>
      </c>
      <c r="O1392" s="6" t="str">
        <f t="shared" si="110"/>
        <v/>
      </c>
      <c r="P1392" s="7">
        <f ca="1">SUMIFS($N$2:$N1392,$B$2:$B1392,"&lt;&gt;"&amp;B1392)+SUM($Q$2:$Q1392)</f>
        <v>135.05500000000001</v>
      </c>
      <c r="R1392" t="b">
        <f>AND(ISNUMBER(FIND($E1392,Tables!$I$2)), ISNUMBER(FIND($D1392,Tables!$J$2)), $E1392&lt;&gt;"")</f>
        <v>0</v>
      </c>
    </row>
    <row r="1393" spans="1:18" x14ac:dyDescent="0.3">
      <c r="A1393">
        <f t="shared" si="111"/>
        <v>1376</v>
      </c>
      <c r="B1393" s="4"/>
      <c r="I1393" s="8"/>
      <c r="J1393" s="5" t="str">
        <f t="shared" si="109"/>
        <v/>
      </c>
      <c r="K1393" s="3"/>
      <c r="L1393" s="3" t="str">
        <f t="shared" si="108"/>
        <v/>
      </c>
      <c r="N1393" s="3" t="str">
        <f t="shared" si="112"/>
        <v/>
      </c>
      <c r="O1393" s="6" t="str">
        <f t="shared" si="110"/>
        <v/>
      </c>
      <c r="P1393" s="7">
        <f ca="1">SUMIFS($N$2:$N1393,$B$2:$B1393,"&lt;&gt;"&amp;B1393)+SUM($Q$2:$Q1393)</f>
        <v>135.05500000000001</v>
      </c>
      <c r="R1393" t="b">
        <f>AND(ISNUMBER(FIND($E1393,Tables!$I$2)), ISNUMBER(FIND($D1393,Tables!$J$2)), $E1393&lt;&gt;"")</f>
        <v>0</v>
      </c>
    </row>
    <row r="1394" spans="1:18" x14ac:dyDescent="0.3">
      <c r="A1394">
        <f t="shared" si="111"/>
        <v>1377</v>
      </c>
      <c r="B1394" s="4"/>
      <c r="I1394" s="8"/>
      <c r="J1394" s="5" t="str">
        <f t="shared" si="109"/>
        <v/>
      </c>
      <c r="K1394" s="3"/>
      <c r="L1394" s="3" t="str">
        <f t="shared" ref="L1394:L1457" si="113">IFERROR(IF(K1394=0, "", IF(I1394&gt;0, K1394/100*I1394,K1394/I1394*-100)), "")</f>
        <v/>
      </c>
      <c r="N1394" s="3" t="str">
        <f t="shared" si="112"/>
        <v/>
      </c>
      <c r="O1394" s="6" t="str">
        <f t="shared" si="110"/>
        <v/>
      </c>
      <c r="P1394" s="7">
        <f ca="1">SUMIFS($N$2:$N1394,$B$2:$B1394,"&lt;&gt;"&amp;B1394)+SUM($Q$2:$Q1394)</f>
        <v>135.05500000000001</v>
      </c>
      <c r="R1394" t="b">
        <f>AND(ISNUMBER(FIND($E1394,Tables!$I$2)), ISNUMBER(FIND($D1394,Tables!$J$2)), $E1394&lt;&gt;"")</f>
        <v>0</v>
      </c>
    </row>
    <row r="1395" spans="1:18" x14ac:dyDescent="0.3">
      <c r="A1395">
        <f t="shared" si="111"/>
        <v>1378</v>
      </c>
      <c r="B1395" s="4"/>
      <c r="I1395" s="8"/>
      <c r="J1395" s="5" t="str">
        <f t="shared" si="109"/>
        <v/>
      </c>
      <c r="K1395" s="3"/>
      <c r="L1395" s="3" t="str">
        <f t="shared" si="113"/>
        <v/>
      </c>
      <c r="N1395" s="3" t="str">
        <f t="shared" si="112"/>
        <v/>
      </c>
      <c r="O1395" s="6" t="str">
        <f t="shared" si="110"/>
        <v/>
      </c>
      <c r="P1395" s="7">
        <f ca="1">SUMIFS($N$2:$N1395,$B$2:$B1395,"&lt;&gt;"&amp;B1395)+SUM($Q$2:$Q1395)</f>
        <v>135.05500000000001</v>
      </c>
      <c r="R1395" t="b">
        <f>AND(ISNUMBER(FIND($E1395,Tables!$I$2)), ISNUMBER(FIND($D1395,Tables!$J$2)), $E1395&lt;&gt;"")</f>
        <v>0</v>
      </c>
    </row>
    <row r="1396" spans="1:18" x14ac:dyDescent="0.3">
      <c r="A1396">
        <f t="shared" si="111"/>
        <v>1379</v>
      </c>
      <c r="B1396" s="4"/>
      <c r="I1396" s="8"/>
      <c r="J1396" s="5" t="str">
        <f t="shared" si="109"/>
        <v/>
      </c>
      <c r="K1396" s="3"/>
      <c r="L1396" s="3" t="str">
        <f t="shared" si="113"/>
        <v/>
      </c>
      <c r="N1396" s="3" t="str">
        <f t="shared" si="112"/>
        <v/>
      </c>
      <c r="O1396" s="6" t="str">
        <f t="shared" si="110"/>
        <v/>
      </c>
      <c r="P1396" s="7">
        <f ca="1">SUMIFS($N$2:$N1396,$B$2:$B1396,"&lt;&gt;"&amp;B1396)+SUM($Q$2:$Q1396)</f>
        <v>135.05500000000001</v>
      </c>
      <c r="R1396" t="b">
        <f>AND(ISNUMBER(FIND($E1396,Tables!$I$2)), ISNUMBER(FIND($D1396,Tables!$J$2)), $E1396&lt;&gt;"")</f>
        <v>0</v>
      </c>
    </row>
    <row r="1397" spans="1:18" x14ac:dyDescent="0.3">
      <c r="A1397">
        <f t="shared" si="111"/>
        <v>1380</v>
      </c>
      <c r="B1397" s="4"/>
      <c r="I1397" s="8"/>
      <c r="J1397" s="5" t="str">
        <f t="shared" si="109"/>
        <v/>
      </c>
      <c r="K1397" s="3"/>
      <c r="L1397" s="3" t="str">
        <f t="shared" si="113"/>
        <v/>
      </c>
      <c r="N1397" s="3" t="str">
        <f t="shared" si="112"/>
        <v/>
      </c>
      <c r="O1397" s="6" t="str">
        <f t="shared" si="110"/>
        <v/>
      </c>
      <c r="P1397" s="7">
        <f ca="1">SUMIFS($N$2:$N1397,$B$2:$B1397,"&lt;&gt;"&amp;B1397)+SUM($Q$2:$Q1397)</f>
        <v>135.05500000000001</v>
      </c>
      <c r="R1397" t="b">
        <f>AND(ISNUMBER(FIND($E1397,Tables!$I$2)), ISNUMBER(FIND($D1397,Tables!$J$2)), $E1397&lt;&gt;"")</f>
        <v>0</v>
      </c>
    </row>
    <row r="1398" spans="1:18" x14ac:dyDescent="0.3">
      <c r="A1398">
        <f t="shared" si="111"/>
        <v>1381</v>
      </c>
      <c r="B1398" s="4"/>
      <c r="I1398" s="8"/>
      <c r="J1398" s="5" t="str">
        <f t="shared" si="109"/>
        <v/>
      </c>
      <c r="K1398" s="3"/>
      <c r="L1398" s="3" t="str">
        <f t="shared" si="113"/>
        <v/>
      </c>
      <c r="N1398" s="3" t="str">
        <f t="shared" si="112"/>
        <v/>
      </c>
      <c r="O1398" s="6" t="str">
        <f t="shared" si="110"/>
        <v/>
      </c>
      <c r="P1398" s="7">
        <f ca="1">SUMIFS($N$2:$N1398,$B$2:$B1398,"&lt;&gt;"&amp;B1398)+SUM($Q$2:$Q1398)</f>
        <v>135.05500000000001</v>
      </c>
      <c r="R1398" t="b">
        <f>AND(ISNUMBER(FIND($E1398,Tables!$I$2)), ISNUMBER(FIND($D1398,Tables!$J$2)), $E1398&lt;&gt;"")</f>
        <v>0</v>
      </c>
    </row>
    <row r="1399" spans="1:18" x14ac:dyDescent="0.3">
      <c r="A1399">
        <f t="shared" si="111"/>
        <v>1382</v>
      </c>
      <c r="B1399" s="4"/>
      <c r="I1399" s="8"/>
      <c r="J1399" s="5" t="str">
        <f t="shared" si="109"/>
        <v/>
      </c>
      <c r="K1399" s="3"/>
      <c r="L1399" s="3" t="str">
        <f t="shared" si="113"/>
        <v/>
      </c>
      <c r="N1399" s="3" t="str">
        <f t="shared" si="112"/>
        <v/>
      </c>
      <c r="O1399" s="6" t="str">
        <f t="shared" si="110"/>
        <v/>
      </c>
      <c r="P1399" s="7">
        <f ca="1">SUMIFS($N$2:$N1399,$B$2:$B1399,"&lt;&gt;"&amp;B1399)+SUM($Q$2:$Q1399)</f>
        <v>135.05500000000001</v>
      </c>
      <c r="R1399" t="b">
        <f>AND(ISNUMBER(FIND($E1399,Tables!$I$2)), ISNUMBER(FIND($D1399,Tables!$J$2)), $E1399&lt;&gt;"")</f>
        <v>0</v>
      </c>
    </row>
    <row r="1400" spans="1:18" x14ac:dyDescent="0.3">
      <c r="A1400">
        <f t="shared" si="111"/>
        <v>1383</v>
      </c>
      <c r="B1400" s="4"/>
      <c r="I1400" s="8"/>
      <c r="J1400" s="5" t="str">
        <f t="shared" si="109"/>
        <v/>
      </c>
      <c r="K1400" s="3"/>
      <c r="L1400" s="3" t="str">
        <f t="shared" si="113"/>
        <v/>
      </c>
      <c r="N1400" s="3" t="str">
        <f t="shared" si="112"/>
        <v/>
      </c>
      <c r="O1400" s="6" t="str">
        <f t="shared" si="110"/>
        <v/>
      </c>
      <c r="P1400" s="7">
        <f ca="1">SUMIFS($N$2:$N1400,$B$2:$B1400,"&lt;&gt;"&amp;B1400)+SUM($Q$2:$Q1400)</f>
        <v>135.05500000000001</v>
      </c>
      <c r="R1400" t="b">
        <f>AND(ISNUMBER(FIND($E1400,Tables!$I$2)), ISNUMBER(FIND($D1400,Tables!$J$2)), $E1400&lt;&gt;"")</f>
        <v>0</v>
      </c>
    </row>
    <row r="1401" spans="1:18" x14ac:dyDescent="0.3">
      <c r="A1401">
        <f t="shared" si="111"/>
        <v>1384</v>
      </c>
      <c r="B1401" s="4"/>
      <c r="I1401" s="8"/>
      <c r="J1401" s="5" t="str">
        <f t="shared" si="109"/>
        <v/>
      </c>
      <c r="K1401" s="3"/>
      <c r="L1401" s="3" t="str">
        <f t="shared" si="113"/>
        <v/>
      </c>
      <c r="N1401" s="3" t="str">
        <f t="shared" si="112"/>
        <v/>
      </c>
      <c r="O1401" s="6" t="str">
        <f t="shared" si="110"/>
        <v/>
      </c>
      <c r="P1401" s="7">
        <f ca="1">SUMIFS($N$2:$N1401,$B$2:$B1401,"&lt;&gt;"&amp;B1401)+SUM($Q$2:$Q1401)</f>
        <v>135.05500000000001</v>
      </c>
      <c r="R1401" t="b">
        <f>AND(ISNUMBER(FIND($E1401,Tables!$I$2)), ISNUMBER(FIND($D1401,Tables!$J$2)), $E1401&lt;&gt;"")</f>
        <v>0</v>
      </c>
    </row>
    <row r="1402" spans="1:18" x14ac:dyDescent="0.3">
      <c r="A1402">
        <f t="shared" si="111"/>
        <v>1385</v>
      </c>
      <c r="B1402" s="4"/>
      <c r="I1402" s="8"/>
      <c r="J1402" s="5" t="str">
        <f t="shared" si="109"/>
        <v/>
      </c>
      <c r="K1402" s="3"/>
      <c r="L1402" s="3" t="str">
        <f t="shared" si="113"/>
        <v/>
      </c>
      <c r="N1402" s="3" t="str">
        <f t="shared" si="112"/>
        <v/>
      </c>
      <c r="O1402" s="6" t="str">
        <f t="shared" si="110"/>
        <v/>
      </c>
      <c r="P1402" s="7">
        <f ca="1">SUMIFS($N$2:$N1402,$B$2:$B1402,"&lt;&gt;"&amp;B1402)+SUM($Q$2:$Q1402)</f>
        <v>135.05500000000001</v>
      </c>
      <c r="R1402" t="b">
        <f>AND(ISNUMBER(FIND($E1402,Tables!$I$2)), ISNUMBER(FIND($D1402,Tables!$J$2)), $E1402&lt;&gt;"")</f>
        <v>0</v>
      </c>
    </row>
    <row r="1403" spans="1:18" x14ac:dyDescent="0.3">
      <c r="A1403">
        <f t="shared" si="111"/>
        <v>1386</v>
      </c>
      <c r="B1403" s="4"/>
      <c r="I1403" s="8"/>
      <c r="J1403" s="5" t="str">
        <f t="shared" si="109"/>
        <v/>
      </c>
      <c r="K1403" s="3"/>
      <c r="L1403" s="3" t="str">
        <f t="shared" si="113"/>
        <v/>
      </c>
      <c r="N1403" s="3" t="str">
        <f t="shared" si="112"/>
        <v/>
      </c>
      <c r="O1403" s="6" t="str">
        <f t="shared" si="110"/>
        <v/>
      </c>
      <c r="P1403" s="7">
        <f ca="1">SUMIFS($N$2:$N1403,$B$2:$B1403,"&lt;&gt;"&amp;B1403)+SUM($Q$2:$Q1403)</f>
        <v>135.05500000000001</v>
      </c>
      <c r="R1403" t="b">
        <f>AND(ISNUMBER(FIND($E1403,Tables!$I$2)), ISNUMBER(FIND($D1403,Tables!$J$2)), $E1403&lt;&gt;"")</f>
        <v>0</v>
      </c>
    </row>
    <row r="1404" spans="1:18" x14ac:dyDescent="0.3">
      <c r="A1404">
        <f t="shared" si="111"/>
        <v>1387</v>
      </c>
      <c r="B1404" s="4"/>
      <c r="I1404" s="8"/>
      <c r="J1404" s="5" t="str">
        <f t="shared" si="109"/>
        <v/>
      </c>
      <c r="K1404" s="3"/>
      <c r="L1404" s="3" t="str">
        <f t="shared" si="113"/>
        <v/>
      </c>
      <c r="N1404" s="3" t="str">
        <f t="shared" si="112"/>
        <v/>
      </c>
      <c r="O1404" s="6" t="str">
        <f t="shared" si="110"/>
        <v/>
      </c>
      <c r="P1404" s="7">
        <f ca="1">SUMIFS($N$2:$N1404,$B$2:$B1404,"&lt;&gt;"&amp;B1404)+SUM($Q$2:$Q1404)</f>
        <v>135.05500000000001</v>
      </c>
      <c r="R1404" t="b">
        <f>AND(ISNUMBER(FIND($E1404,Tables!$I$2)), ISNUMBER(FIND($D1404,Tables!$J$2)), $E1404&lt;&gt;"")</f>
        <v>0</v>
      </c>
    </row>
    <row r="1405" spans="1:18" x14ac:dyDescent="0.3">
      <c r="A1405">
        <f t="shared" si="111"/>
        <v>1388</v>
      </c>
      <c r="B1405" s="4"/>
      <c r="I1405" s="8"/>
      <c r="J1405" s="5" t="str">
        <f t="shared" si="109"/>
        <v/>
      </c>
      <c r="K1405" s="3"/>
      <c r="L1405" s="3" t="str">
        <f t="shared" si="113"/>
        <v/>
      </c>
      <c r="N1405" s="3" t="str">
        <f t="shared" si="112"/>
        <v/>
      </c>
      <c r="O1405" s="6" t="str">
        <f t="shared" si="110"/>
        <v/>
      </c>
      <c r="P1405" s="7">
        <f ca="1">SUMIFS($N$2:$N1405,$B$2:$B1405,"&lt;&gt;"&amp;B1405)+SUM($Q$2:$Q1405)</f>
        <v>135.05500000000001</v>
      </c>
      <c r="R1405" t="b">
        <f>AND(ISNUMBER(FIND($E1405,Tables!$I$2)), ISNUMBER(FIND($D1405,Tables!$J$2)), $E1405&lt;&gt;"")</f>
        <v>0</v>
      </c>
    </row>
    <row r="1406" spans="1:18" x14ac:dyDescent="0.3">
      <c r="A1406">
        <f t="shared" si="111"/>
        <v>1389</v>
      </c>
      <c r="B1406" s="4"/>
      <c r="I1406" s="8"/>
      <c r="J1406" s="5" t="str">
        <f t="shared" si="109"/>
        <v/>
      </c>
      <c r="K1406" s="3"/>
      <c r="L1406" s="3" t="str">
        <f t="shared" si="113"/>
        <v/>
      </c>
      <c r="N1406" s="3" t="str">
        <f t="shared" si="112"/>
        <v/>
      </c>
      <c r="O1406" s="6" t="str">
        <f t="shared" si="110"/>
        <v/>
      </c>
      <c r="P1406" s="7">
        <f ca="1">SUMIFS($N$2:$N1406,$B$2:$B1406,"&lt;&gt;"&amp;B1406)+SUM($Q$2:$Q1406)</f>
        <v>135.05500000000001</v>
      </c>
      <c r="R1406" t="b">
        <f>AND(ISNUMBER(FIND($E1406,Tables!$I$2)), ISNUMBER(FIND($D1406,Tables!$J$2)), $E1406&lt;&gt;"")</f>
        <v>0</v>
      </c>
    </row>
    <row r="1407" spans="1:18" x14ac:dyDescent="0.3">
      <c r="A1407">
        <f t="shared" si="111"/>
        <v>1390</v>
      </c>
      <c r="B1407" s="4"/>
      <c r="I1407" s="8"/>
      <c r="J1407" s="5" t="str">
        <f t="shared" si="109"/>
        <v/>
      </c>
      <c r="K1407" s="3"/>
      <c r="L1407" s="3" t="str">
        <f t="shared" si="113"/>
        <v/>
      </c>
      <c r="N1407" s="3" t="str">
        <f t="shared" si="112"/>
        <v/>
      </c>
      <c r="O1407" s="6" t="str">
        <f t="shared" si="110"/>
        <v/>
      </c>
      <c r="P1407" s="7">
        <f ca="1">SUMIFS($N$2:$N1407,$B$2:$B1407,"&lt;&gt;"&amp;B1407)+SUM($Q$2:$Q1407)</f>
        <v>135.05500000000001</v>
      </c>
      <c r="R1407" t="b">
        <f>AND(ISNUMBER(FIND($E1407,Tables!$I$2)), ISNUMBER(FIND($D1407,Tables!$J$2)), $E1407&lt;&gt;"")</f>
        <v>0</v>
      </c>
    </row>
    <row r="1408" spans="1:18" x14ac:dyDescent="0.3">
      <c r="A1408">
        <f t="shared" si="111"/>
        <v>1391</v>
      </c>
      <c r="B1408" s="4"/>
      <c r="I1408" s="8"/>
      <c r="J1408" s="5" t="str">
        <f t="shared" si="109"/>
        <v/>
      </c>
      <c r="K1408" s="3"/>
      <c r="L1408" s="3" t="str">
        <f t="shared" si="113"/>
        <v/>
      </c>
      <c r="N1408" s="3" t="str">
        <f t="shared" si="112"/>
        <v/>
      </c>
      <c r="O1408" s="6" t="str">
        <f t="shared" si="110"/>
        <v/>
      </c>
      <c r="P1408" s="7">
        <f ca="1">SUMIFS($N$2:$N1408,$B$2:$B1408,"&lt;&gt;"&amp;B1408)+SUM($Q$2:$Q1408)</f>
        <v>135.05500000000001</v>
      </c>
      <c r="R1408" t="b">
        <f>AND(ISNUMBER(FIND($E1408,Tables!$I$2)), ISNUMBER(FIND($D1408,Tables!$J$2)), $E1408&lt;&gt;"")</f>
        <v>0</v>
      </c>
    </row>
    <row r="1409" spans="1:18" x14ac:dyDescent="0.3">
      <c r="A1409">
        <f t="shared" si="111"/>
        <v>1392</v>
      </c>
      <c r="B1409" s="4"/>
      <c r="I1409" s="8"/>
      <c r="J1409" s="5" t="str">
        <f t="shared" si="109"/>
        <v/>
      </c>
      <c r="K1409" s="3"/>
      <c r="L1409" s="3" t="str">
        <f t="shared" si="113"/>
        <v/>
      </c>
      <c r="N1409" s="3" t="str">
        <f t="shared" si="112"/>
        <v/>
      </c>
      <c r="O1409" s="6" t="str">
        <f t="shared" si="110"/>
        <v/>
      </c>
      <c r="P1409" s="7">
        <f ca="1">SUMIFS($N$2:$N1409,$B$2:$B1409,"&lt;&gt;"&amp;B1409)+SUM($Q$2:$Q1409)</f>
        <v>135.05500000000001</v>
      </c>
      <c r="R1409" t="b">
        <f>AND(ISNUMBER(FIND($E1409,Tables!$I$2)), ISNUMBER(FIND($D1409,Tables!$J$2)), $E1409&lt;&gt;"")</f>
        <v>0</v>
      </c>
    </row>
    <row r="1410" spans="1:18" x14ac:dyDescent="0.3">
      <c r="A1410">
        <f t="shared" si="111"/>
        <v>1393</v>
      </c>
      <c r="B1410" s="4"/>
      <c r="I1410" s="8"/>
      <c r="J1410" s="5" t="str">
        <f t="shared" ref="J1410:J1473" si="114">IF(I1410="", "", IF(I1410&gt;0, I1410/100 +1, -100/I1410 +1))</f>
        <v/>
      </c>
      <c r="K1410" s="3"/>
      <c r="L1410" s="3" t="str">
        <f t="shared" si="113"/>
        <v/>
      </c>
      <c r="N1410" s="3" t="str">
        <f t="shared" si="112"/>
        <v/>
      </c>
      <c r="O1410" s="6" t="str">
        <f t="shared" ref="O1410:O1473" si="115">IFERROR(K1410/VLOOKUP(_xlfn.MINIFS(A:A,B:B,B1410,C:C,C1410),A:P,16),"")</f>
        <v/>
      </c>
      <c r="P1410" s="7">
        <f ca="1">SUMIFS($N$2:$N1410,$B$2:$B1410,"&lt;&gt;"&amp;B1410)+SUM($Q$2:$Q1410)</f>
        <v>135.05500000000001</v>
      </c>
      <c r="R1410" t="b">
        <f>AND(ISNUMBER(FIND($E1410,Tables!$I$2)), ISNUMBER(FIND($D1410,Tables!$J$2)), $E1410&lt;&gt;"")</f>
        <v>0</v>
      </c>
    </row>
    <row r="1411" spans="1:18" x14ac:dyDescent="0.3">
      <c r="A1411">
        <f t="shared" si="111"/>
        <v>1394</v>
      </c>
      <c r="B1411" s="4"/>
      <c r="I1411" s="8"/>
      <c r="J1411" s="5" t="str">
        <f t="shared" si="114"/>
        <v/>
      </c>
      <c r="K1411" s="3"/>
      <c r="L1411" s="3" t="str">
        <f t="shared" si="113"/>
        <v/>
      </c>
      <c r="N1411" s="3" t="str">
        <f t="shared" si="112"/>
        <v/>
      </c>
      <c r="O1411" s="6" t="str">
        <f t="shared" si="115"/>
        <v/>
      </c>
      <c r="P1411" s="7">
        <f ca="1">SUMIFS($N$2:$N1411,$B$2:$B1411,"&lt;&gt;"&amp;B1411)+SUM($Q$2:$Q1411)</f>
        <v>135.05500000000001</v>
      </c>
      <c r="R1411" t="b">
        <f>AND(ISNUMBER(FIND($E1411,Tables!$I$2)), ISNUMBER(FIND($D1411,Tables!$J$2)), $E1411&lt;&gt;"")</f>
        <v>0</v>
      </c>
    </row>
    <row r="1412" spans="1:18" x14ac:dyDescent="0.3">
      <c r="A1412">
        <f t="shared" si="111"/>
        <v>1395</v>
      </c>
      <c r="B1412" s="4"/>
      <c r="I1412" s="8"/>
      <c r="J1412" s="5" t="str">
        <f t="shared" si="114"/>
        <v/>
      </c>
      <c r="K1412" s="3"/>
      <c r="L1412" s="3" t="str">
        <f t="shared" si="113"/>
        <v/>
      </c>
      <c r="N1412" s="3" t="str">
        <f t="shared" si="112"/>
        <v/>
      </c>
      <c r="O1412" s="6" t="str">
        <f t="shared" si="115"/>
        <v/>
      </c>
      <c r="P1412" s="7">
        <f ca="1">SUMIFS($N$2:$N1412,$B$2:$B1412,"&lt;&gt;"&amp;B1412)+SUM($Q$2:$Q1412)</f>
        <v>135.05500000000001</v>
      </c>
      <c r="R1412" t="b">
        <f>AND(ISNUMBER(FIND($E1412,Tables!$I$2)), ISNUMBER(FIND($D1412,Tables!$J$2)), $E1412&lt;&gt;"")</f>
        <v>0</v>
      </c>
    </row>
    <row r="1413" spans="1:18" x14ac:dyDescent="0.3">
      <c r="A1413">
        <f t="shared" si="111"/>
        <v>1396</v>
      </c>
      <c r="B1413" s="4"/>
      <c r="I1413" s="8"/>
      <c r="J1413" s="5" t="str">
        <f t="shared" si="114"/>
        <v/>
      </c>
      <c r="K1413" s="3"/>
      <c r="L1413" s="3" t="str">
        <f t="shared" si="113"/>
        <v/>
      </c>
      <c r="N1413" s="3" t="str">
        <f t="shared" si="112"/>
        <v/>
      </c>
      <c r="O1413" s="6" t="str">
        <f t="shared" si="115"/>
        <v/>
      </c>
      <c r="P1413" s="7">
        <f ca="1">SUMIFS($N$2:$N1413,$B$2:$B1413,"&lt;&gt;"&amp;B1413)+SUM($Q$2:$Q1413)</f>
        <v>135.05500000000001</v>
      </c>
      <c r="R1413" t="b">
        <f>AND(ISNUMBER(FIND($E1413,Tables!$I$2)), ISNUMBER(FIND($D1413,Tables!$J$2)), $E1413&lt;&gt;"")</f>
        <v>0</v>
      </c>
    </row>
    <row r="1414" spans="1:18" x14ac:dyDescent="0.3">
      <c r="A1414">
        <f t="shared" si="111"/>
        <v>1397</v>
      </c>
      <c r="B1414" s="4"/>
      <c r="I1414" s="8"/>
      <c r="J1414" s="5" t="str">
        <f t="shared" si="114"/>
        <v/>
      </c>
      <c r="K1414" s="3"/>
      <c r="L1414" s="3" t="str">
        <f t="shared" si="113"/>
        <v/>
      </c>
      <c r="N1414" s="3" t="str">
        <f t="shared" si="112"/>
        <v/>
      </c>
      <c r="O1414" s="6" t="str">
        <f t="shared" si="115"/>
        <v/>
      </c>
      <c r="P1414" s="7">
        <f ca="1">SUMIFS($N$2:$N1414,$B$2:$B1414,"&lt;&gt;"&amp;B1414)+SUM($Q$2:$Q1414)</f>
        <v>135.05500000000001</v>
      </c>
      <c r="R1414" t="b">
        <f>AND(ISNUMBER(FIND($E1414,Tables!$I$2)), ISNUMBER(FIND($D1414,Tables!$J$2)), $E1414&lt;&gt;"")</f>
        <v>0</v>
      </c>
    </row>
    <row r="1415" spans="1:18" x14ac:dyDescent="0.3">
      <c r="A1415">
        <f t="shared" si="111"/>
        <v>1398</v>
      </c>
      <c r="B1415" s="4"/>
      <c r="I1415" s="8"/>
      <c r="J1415" s="5" t="str">
        <f t="shared" si="114"/>
        <v/>
      </c>
      <c r="K1415" s="3"/>
      <c r="L1415" s="3" t="str">
        <f t="shared" si="113"/>
        <v/>
      </c>
      <c r="N1415" s="3" t="str">
        <f t="shared" si="112"/>
        <v/>
      </c>
      <c r="O1415" s="6" t="str">
        <f t="shared" si="115"/>
        <v/>
      </c>
      <c r="P1415" s="7">
        <f ca="1">SUMIFS($N$2:$N1415,$B$2:$B1415,"&lt;&gt;"&amp;B1415)+SUM($Q$2:$Q1415)</f>
        <v>135.05500000000001</v>
      </c>
      <c r="R1415" t="b">
        <f>AND(ISNUMBER(FIND($E1415,Tables!$I$2)), ISNUMBER(FIND($D1415,Tables!$J$2)), $E1415&lt;&gt;"")</f>
        <v>0</v>
      </c>
    </row>
    <row r="1416" spans="1:18" x14ac:dyDescent="0.3">
      <c r="A1416">
        <f t="shared" si="111"/>
        <v>1399</v>
      </c>
      <c r="B1416" s="4"/>
      <c r="I1416" s="8"/>
      <c r="J1416" s="5" t="str">
        <f t="shared" si="114"/>
        <v/>
      </c>
      <c r="K1416" s="3"/>
      <c r="L1416" s="3" t="str">
        <f t="shared" si="113"/>
        <v/>
      </c>
      <c r="N1416" s="3" t="str">
        <f t="shared" si="112"/>
        <v/>
      </c>
      <c r="O1416" s="6" t="str">
        <f t="shared" si="115"/>
        <v/>
      </c>
      <c r="P1416" s="7">
        <f ca="1">SUMIFS($N$2:$N1416,$B$2:$B1416,"&lt;&gt;"&amp;B1416)+SUM($Q$2:$Q1416)</f>
        <v>135.05500000000001</v>
      </c>
      <c r="R1416" t="b">
        <f>AND(ISNUMBER(FIND($E1416,Tables!$I$2)), ISNUMBER(FIND($D1416,Tables!$J$2)), $E1416&lt;&gt;"")</f>
        <v>0</v>
      </c>
    </row>
    <row r="1417" spans="1:18" x14ac:dyDescent="0.3">
      <c r="A1417">
        <f t="shared" si="111"/>
        <v>1400</v>
      </c>
      <c r="B1417" s="4"/>
      <c r="I1417" s="8"/>
      <c r="J1417" s="5" t="str">
        <f t="shared" si="114"/>
        <v/>
      </c>
      <c r="K1417" s="3"/>
      <c r="L1417" s="3" t="str">
        <f t="shared" si="113"/>
        <v/>
      </c>
      <c r="N1417" s="3" t="str">
        <f t="shared" si="112"/>
        <v/>
      </c>
      <c r="O1417" s="6" t="str">
        <f t="shared" si="115"/>
        <v/>
      </c>
      <c r="P1417" s="7">
        <f ca="1">SUMIFS($N$2:$N1417,$B$2:$B1417,"&lt;&gt;"&amp;B1417)+SUM($Q$2:$Q1417)</f>
        <v>135.05500000000001</v>
      </c>
      <c r="R1417" t="b">
        <f>AND(ISNUMBER(FIND($E1417,Tables!$I$2)), ISNUMBER(FIND($D1417,Tables!$J$2)), $E1417&lt;&gt;"")</f>
        <v>0</v>
      </c>
    </row>
    <row r="1418" spans="1:18" x14ac:dyDescent="0.3">
      <c r="A1418">
        <f t="shared" si="111"/>
        <v>1401</v>
      </c>
      <c r="B1418" s="4"/>
      <c r="I1418" s="8"/>
      <c r="J1418" s="5" t="str">
        <f t="shared" si="114"/>
        <v/>
      </c>
      <c r="K1418" s="3"/>
      <c r="L1418" s="3" t="str">
        <f t="shared" si="113"/>
        <v/>
      </c>
      <c r="N1418" s="3" t="str">
        <f t="shared" si="112"/>
        <v/>
      </c>
      <c r="O1418" s="6" t="str">
        <f t="shared" si="115"/>
        <v/>
      </c>
      <c r="P1418" s="7">
        <f ca="1">SUMIFS($N$2:$N1418,$B$2:$B1418,"&lt;&gt;"&amp;B1418)+SUM($Q$2:$Q1418)</f>
        <v>135.05500000000001</v>
      </c>
      <c r="R1418" t="b">
        <f>AND(ISNUMBER(FIND($E1418,Tables!$I$2)), ISNUMBER(FIND($D1418,Tables!$J$2)), $E1418&lt;&gt;"")</f>
        <v>0</v>
      </c>
    </row>
    <row r="1419" spans="1:18" x14ac:dyDescent="0.3">
      <c r="A1419">
        <f t="shared" si="111"/>
        <v>1402</v>
      </c>
      <c r="B1419" s="4"/>
      <c r="I1419" s="8"/>
      <c r="J1419" s="5" t="str">
        <f t="shared" si="114"/>
        <v/>
      </c>
      <c r="K1419" s="3"/>
      <c r="L1419" s="3" t="str">
        <f t="shared" si="113"/>
        <v/>
      </c>
      <c r="N1419" s="3" t="str">
        <f t="shared" si="112"/>
        <v/>
      </c>
      <c r="O1419" s="6" t="str">
        <f t="shared" si="115"/>
        <v/>
      </c>
      <c r="P1419" s="7">
        <f ca="1">SUMIFS($N$2:$N1419,$B$2:$B1419,"&lt;&gt;"&amp;B1419)+SUM($Q$2:$Q1419)</f>
        <v>135.05500000000001</v>
      </c>
      <c r="R1419" t="b">
        <f>AND(ISNUMBER(FIND($E1419,Tables!$I$2)), ISNUMBER(FIND($D1419,Tables!$J$2)), $E1419&lt;&gt;"")</f>
        <v>0</v>
      </c>
    </row>
    <row r="1420" spans="1:18" x14ac:dyDescent="0.3">
      <c r="A1420">
        <f t="shared" si="111"/>
        <v>1403</v>
      </c>
      <c r="B1420" s="4"/>
      <c r="I1420" s="8"/>
      <c r="J1420" s="5" t="str">
        <f t="shared" si="114"/>
        <v/>
      </c>
      <c r="K1420" s="3"/>
      <c r="L1420" s="3" t="str">
        <f t="shared" si="113"/>
        <v/>
      </c>
      <c r="N1420" s="3" t="str">
        <f t="shared" si="112"/>
        <v/>
      </c>
      <c r="O1420" s="6" t="str">
        <f t="shared" si="115"/>
        <v/>
      </c>
      <c r="P1420" s="7">
        <f ca="1">SUMIFS($N$2:$N1420,$B$2:$B1420,"&lt;&gt;"&amp;B1420)+SUM($Q$2:$Q1420)</f>
        <v>135.05500000000001</v>
      </c>
      <c r="R1420" t="b">
        <f>AND(ISNUMBER(FIND($E1420,Tables!$I$2)), ISNUMBER(FIND($D1420,Tables!$J$2)), $E1420&lt;&gt;"")</f>
        <v>0</v>
      </c>
    </row>
    <row r="1421" spans="1:18" x14ac:dyDescent="0.3">
      <c r="A1421">
        <f t="shared" si="111"/>
        <v>1404</v>
      </c>
      <c r="B1421" s="4"/>
      <c r="I1421" s="8"/>
      <c r="J1421" s="5" t="str">
        <f t="shared" si="114"/>
        <v/>
      </c>
      <c r="K1421" s="3"/>
      <c r="L1421" s="3" t="str">
        <f t="shared" si="113"/>
        <v/>
      </c>
      <c r="N1421" s="3" t="str">
        <f t="shared" si="112"/>
        <v/>
      </c>
      <c r="O1421" s="6" t="str">
        <f t="shared" si="115"/>
        <v/>
      </c>
      <c r="P1421" s="7">
        <f ca="1">SUMIFS($N$2:$N1421,$B$2:$B1421,"&lt;&gt;"&amp;B1421)+SUM($Q$2:$Q1421)</f>
        <v>135.05500000000001</v>
      </c>
      <c r="R1421" t="b">
        <f>AND(ISNUMBER(FIND($E1421,Tables!$I$2)), ISNUMBER(FIND($D1421,Tables!$J$2)), $E1421&lt;&gt;"")</f>
        <v>0</v>
      </c>
    </row>
    <row r="1422" spans="1:18" x14ac:dyDescent="0.3">
      <c r="A1422">
        <f t="shared" si="111"/>
        <v>1405</v>
      </c>
      <c r="B1422" s="4"/>
      <c r="I1422" s="8"/>
      <c r="J1422" s="5" t="str">
        <f t="shared" si="114"/>
        <v/>
      </c>
      <c r="K1422" s="3"/>
      <c r="L1422" s="3" t="str">
        <f t="shared" si="113"/>
        <v/>
      </c>
      <c r="N1422" s="3" t="str">
        <f t="shared" si="112"/>
        <v/>
      </c>
      <c r="O1422" s="6" t="str">
        <f t="shared" si="115"/>
        <v/>
      </c>
      <c r="P1422" s="7">
        <f ca="1">SUMIFS($N$2:$N1422,$B$2:$B1422,"&lt;&gt;"&amp;B1422)+SUM($Q$2:$Q1422)</f>
        <v>135.05500000000001</v>
      </c>
      <c r="R1422" t="b">
        <f>AND(ISNUMBER(FIND($E1422,Tables!$I$2)), ISNUMBER(FIND($D1422,Tables!$J$2)), $E1422&lt;&gt;"")</f>
        <v>0</v>
      </c>
    </row>
    <row r="1423" spans="1:18" x14ac:dyDescent="0.3">
      <c r="A1423">
        <f t="shared" si="111"/>
        <v>1406</v>
      </c>
      <c r="B1423" s="4"/>
      <c r="I1423" s="8"/>
      <c r="J1423" s="5" t="str">
        <f t="shared" si="114"/>
        <v/>
      </c>
      <c r="K1423" s="3"/>
      <c r="L1423" s="3" t="str">
        <f t="shared" si="113"/>
        <v/>
      </c>
      <c r="N1423" s="3" t="str">
        <f t="shared" si="112"/>
        <v/>
      </c>
      <c r="O1423" s="6" t="str">
        <f t="shared" si="115"/>
        <v/>
      </c>
      <c r="P1423" s="7">
        <f ca="1">SUMIFS($N$2:$N1423,$B$2:$B1423,"&lt;&gt;"&amp;B1423)+SUM($Q$2:$Q1423)</f>
        <v>135.05500000000001</v>
      </c>
      <c r="R1423" t="b">
        <f>AND(ISNUMBER(FIND($E1423,Tables!$I$2)), ISNUMBER(FIND($D1423,Tables!$J$2)), $E1423&lt;&gt;"")</f>
        <v>0</v>
      </c>
    </row>
    <row r="1424" spans="1:18" x14ac:dyDescent="0.3">
      <c r="A1424">
        <f t="shared" si="111"/>
        <v>1407</v>
      </c>
      <c r="B1424" s="4"/>
      <c r="I1424" s="8"/>
      <c r="J1424" s="5" t="str">
        <f t="shared" si="114"/>
        <v/>
      </c>
      <c r="K1424" s="3"/>
      <c r="L1424" s="3" t="str">
        <f t="shared" si="113"/>
        <v/>
      </c>
      <c r="N1424" s="3" t="str">
        <f t="shared" si="112"/>
        <v/>
      </c>
      <c r="O1424" s="6" t="str">
        <f t="shared" si="115"/>
        <v/>
      </c>
      <c r="P1424" s="7">
        <f ca="1">SUMIFS($N$2:$N1424,$B$2:$B1424,"&lt;&gt;"&amp;B1424)+SUM($Q$2:$Q1424)</f>
        <v>135.05500000000001</v>
      </c>
      <c r="R1424" t="b">
        <f>AND(ISNUMBER(FIND($E1424,Tables!$I$2)), ISNUMBER(FIND($D1424,Tables!$J$2)), $E1424&lt;&gt;"")</f>
        <v>0</v>
      </c>
    </row>
    <row r="1425" spans="1:18" x14ac:dyDescent="0.3">
      <c r="A1425">
        <f t="shared" si="111"/>
        <v>1408</v>
      </c>
      <c r="B1425" s="4"/>
      <c r="I1425" s="8"/>
      <c r="J1425" s="5" t="str">
        <f t="shared" si="114"/>
        <v/>
      </c>
      <c r="K1425" s="3"/>
      <c r="L1425" s="3" t="str">
        <f t="shared" si="113"/>
        <v/>
      </c>
      <c r="N1425" s="3" t="str">
        <f t="shared" si="112"/>
        <v/>
      </c>
      <c r="O1425" s="6" t="str">
        <f t="shared" si="115"/>
        <v/>
      </c>
      <c r="P1425" s="7">
        <f ca="1">SUMIFS($N$2:$N1425,$B$2:$B1425,"&lt;&gt;"&amp;B1425)+SUM($Q$2:$Q1425)</f>
        <v>135.05500000000001</v>
      </c>
      <c r="R1425" t="b">
        <f>AND(ISNUMBER(FIND($E1425,Tables!$I$2)), ISNUMBER(FIND($D1425,Tables!$J$2)), $E1425&lt;&gt;"")</f>
        <v>0</v>
      </c>
    </row>
    <row r="1426" spans="1:18" x14ac:dyDescent="0.3">
      <c r="A1426">
        <f t="shared" si="111"/>
        <v>1409</v>
      </c>
      <c r="B1426" s="4"/>
      <c r="I1426" s="8"/>
      <c r="J1426" s="5" t="str">
        <f t="shared" si="114"/>
        <v/>
      </c>
      <c r="K1426" s="3"/>
      <c r="L1426" s="3" t="str">
        <f t="shared" si="113"/>
        <v/>
      </c>
      <c r="N1426" s="3" t="str">
        <f t="shared" si="112"/>
        <v/>
      </c>
      <c r="O1426" s="6" t="str">
        <f t="shared" si="115"/>
        <v/>
      </c>
      <c r="P1426" s="7">
        <f ca="1">SUMIFS($N$2:$N1426,$B$2:$B1426,"&lt;&gt;"&amp;B1426)+SUM($Q$2:$Q1426)</f>
        <v>135.05500000000001</v>
      </c>
      <c r="R1426" t="b">
        <f>AND(ISNUMBER(FIND($E1426,Tables!$I$2)), ISNUMBER(FIND($D1426,Tables!$J$2)), $E1426&lt;&gt;"")</f>
        <v>0</v>
      </c>
    </row>
    <row r="1427" spans="1:18" x14ac:dyDescent="0.3">
      <c r="A1427">
        <f t="shared" si="111"/>
        <v>1410</v>
      </c>
      <c r="B1427" s="4"/>
      <c r="I1427" s="8"/>
      <c r="J1427" s="5" t="str">
        <f t="shared" si="114"/>
        <v/>
      </c>
      <c r="K1427" s="3"/>
      <c r="L1427" s="3" t="str">
        <f t="shared" si="113"/>
        <v/>
      </c>
      <c r="N1427" s="3" t="str">
        <f t="shared" si="112"/>
        <v/>
      </c>
      <c r="O1427" s="6" t="str">
        <f t="shared" si="115"/>
        <v/>
      </c>
      <c r="P1427" s="7">
        <f ca="1">SUMIFS($N$2:$N1427,$B$2:$B1427,"&lt;&gt;"&amp;B1427)+SUM($Q$2:$Q1427)</f>
        <v>135.05500000000001</v>
      </c>
      <c r="R1427" t="b">
        <f>AND(ISNUMBER(FIND($E1427,Tables!$I$2)), ISNUMBER(FIND($D1427,Tables!$J$2)), $E1427&lt;&gt;"")</f>
        <v>0</v>
      </c>
    </row>
    <row r="1428" spans="1:18" x14ac:dyDescent="0.3">
      <c r="A1428">
        <f t="shared" si="111"/>
        <v>1411</v>
      </c>
      <c r="B1428" s="4"/>
      <c r="I1428" s="8"/>
      <c r="J1428" s="5" t="str">
        <f t="shared" si="114"/>
        <v/>
      </c>
      <c r="K1428" s="3"/>
      <c r="L1428" s="3" t="str">
        <f t="shared" si="113"/>
        <v/>
      </c>
      <c r="N1428" s="3" t="str">
        <f t="shared" si="112"/>
        <v/>
      </c>
      <c r="O1428" s="6" t="str">
        <f t="shared" si="115"/>
        <v/>
      </c>
      <c r="P1428" s="7">
        <f ca="1">SUMIFS($N$2:$N1428,$B$2:$B1428,"&lt;&gt;"&amp;B1428)+SUM($Q$2:$Q1428)</f>
        <v>135.05500000000001</v>
      </c>
      <c r="R1428" t="b">
        <f>AND(ISNUMBER(FIND($E1428,Tables!$I$2)), ISNUMBER(FIND($D1428,Tables!$J$2)), $E1428&lt;&gt;"")</f>
        <v>0</v>
      </c>
    </row>
    <row r="1429" spans="1:18" x14ac:dyDescent="0.3">
      <c r="A1429">
        <f t="shared" si="111"/>
        <v>1412</v>
      </c>
      <c r="B1429" s="4"/>
      <c r="I1429" s="8"/>
      <c r="J1429" s="5" t="str">
        <f t="shared" si="114"/>
        <v/>
      </c>
      <c r="K1429" s="3"/>
      <c r="L1429" s="3" t="str">
        <f t="shared" si="113"/>
        <v/>
      </c>
      <c r="N1429" s="3" t="str">
        <f t="shared" si="112"/>
        <v/>
      </c>
      <c r="O1429" s="6" t="str">
        <f t="shared" si="115"/>
        <v/>
      </c>
      <c r="P1429" s="7">
        <f ca="1">SUMIFS($N$2:$N1429,$B$2:$B1429,"&lt;&gt;"&amp;B1429)+SUM($Q$2:$Q1429)</f>
        <v>135.05500000000001</v>
      </c>
      <c r="R1429" t="b">
        <f>AND(ISNUMBER(FIND($E1429,Tables!$I$2)), ISNUMBER(FIND($D1429,Tables!$J$2)), $E1429&lt;&gt;"")</f>
        <v>0</v>
      </c>
    </row>
    <row r="1430" spans="1:18" x14ac:dyDescent="0.3">
      <c r="A1430">
        <f t="shared" si="111"/>
        <v>1413</v>
      </c>
      <c r="B1430" s="4"/>
      <c r="I1430" s="8"/>
      <c r="J1430" s="5" t="str">
        <f t="shared" si="114"/>
        <v/>
      </c>
      <c r="K1430" s="3"/>
      <c r="L1430" s="3" t="str">
        <f t="shared" si="113"/>
        <v/>
      </c>
      <c r="N1430" s="3" t="str">
        <f t="shared" si="112"/>
        <v/>
      </c>
      <c r="O1430" s="6" t="str">
        <f t="shared" si="115"/>
        <v/>
      </c>
      <c r="P1430" s="7">
        <f ca="1">SUMIFS($N$2:$N1430,$B$2:$B1430,"&lt;&gt;"&amp;B1430)+SUM($Q$2:$Q1430)</f>
        <v>135.05500000000001</v>
      </c>
      <c r="R1430" t="b">
        <f>AND(ISNUMBER(FIND($E1430,Tables!$I$2)), ISNUMBER(FIND($D1430,Tables!$J$2)), $E1430&lt;&gt;"")</f>
        <v>0</v>
      </c>
    </row>
    <row r="1431" spans="1:18" x14ac:dyDescent="0.3">
      <c r="A1431">
        <f t="shared" si="111"/>
        <v>1414</v>
      </c>
      <c r="B1431" s="4"/>
      <c r="I1431" s="8"/>
      <c r="J1431" s="5" t="str">
        <f t="shared" si="114"/>
        <v/>
      </c>
      <c r="K1431" s="3"/>
      <c r="L1431" s="3" t="str">
        <f t="shared" si="113"/>
        <v/>
      </c>
      <c r="N1431" s="3" t="str">
        <f t="shared" si="112"/>
        <v/>
      </c>
      <c r="O1431" s="6" t="str">
        <f t="shared" si="115"/>
        <v/>
      </c>
      <c r="P1431" s="7">
        <f ca="1">SUMIFS($N$2:$N1431,$B$2:$B1431,"&lt;&gt;"&amp;B1431)+SUM($Q$2:$Q1431)</f>
        <v>135.05500000000001</v>
      </c>
      <c r="R1431" t="b">
        <f>AND(ISNUMBER(FIND($E1431,Tables!$I$2)), ISNUMBER(FIND($D1431,Tables!$J$2)), $E1431&lt;&gt;"")</f>
        <v>0</v>
      </c>
    </row>
    <row r="1432" spans="1:18" x14ac:dyDescent="0.3">
      <c r="A1432">
        <f t="shared" si="111"/>
        <v>1415</v>
      </c>
      <c r="B1432" s="4"/>
      <c r="I1432" s="8"/>
      <c r="J1432" s="5" t="str">
        <f t="shared" si="114"/>
        <v/>
      </c>
      <c r="K1432" s="3"/>
      <c r="L1432" s="3" t="str">
        <f t="shared" si="113"/>
        <v/>
      </c>
      <c r="N1432" s="3" t="str">
        <f t="shared" si="112"/>
        <v/>
      </c>
      <c r="O1432" s="6" t="str">
        <f t="shared" si="115"/>
        <v/>
      </c>
      <c r="P1432" s="7">
        <f ca="1">SUMIFS($N$2:$N1432,$B$2:$B1432,"&lt;&gt;"&amp;B1432)+SUM($Q$2:$Q1432)</f>
        <v>135.05500000000001</v>
      </c>
      <c r="R1432" t="b">
        <f>AND(ISNUMBER(FIND($E1432,Tables!$I$2)), ISNUMBER(FIND($D1432,Tables!$J$2)), $E1432&lt;&gt;"")</f>
        <v>0</v>
      </c>
    </row>
    <row r="1433" spans="1:18" x14ac:dyDescent="0.3">
      <c r="A1433">
        <f t="shared" si="111"/>
        <v>1416</v>
      </c>
      <c r="B1433" s="4"/>
      <c r="I1433" s="8"/>
      <c r="J1433" s="5" t="str">
        <f t="shared" si="114"/>
        <v/>
      </c>
      <c r="K1433" s="3"/>
      <c r="L1433" s="3" t="str">
        <f t="shared" si="113"/>
        <v/>
      </c>
      <c r="N1433" s="3" t="str">
        <f t="shared" si="112"/>
        <v/>
      </c>
      <c r="O1433" s="6" t="str">
        <f t="shared" si="115"/>
        <v/>
      </c>
      <c r="P1433" s="7">
        <f ca="1">SUMIFS($N$2:$N1433,$B$2:$B1433,"&lt;&gt;"&amp;B1433)+SUM($Q$2:$Q1433)</f>
        <v>135.05500000000001</v>
      </c>
      <c r="R1433" t="b">
        <f>AND(ISNUMBER(FIND($E1433,Tables!$I$2)), ISNUMBER(FIND($D1433,Tables!$J$2)), $E1433&lt;&gt;"")</f>
        <v>0</v>
      </c>
    </row>
    <row r="1434" spans="1:18" x14ac:dyDescent="0.3">
      <c r="A1434">
        <f t="shared" si="111"/>
        <v>1417</v>
      </c>
      <c r="B1434" s="4"/>
      <c r="I1434" s="8"/>
      <c r="J1434" s="5" t="str">
        <f t="shared" si="114"/>
        <v/>
      </c>
      <c r="K1434" s="3"/>
      <c r="L1434" s="3" t="str">
        <f t="shared" si="113"/>
        <v/>
      </c>
      <c r="N1434" s="3" t="str">
        <f t="shared" si="112"/>
        <v/>
      </c>
      <c r="O1434" s="6" t="str">
        <f t="shared" si="115"/>
        <v/>
      </c>
      <c r="P1434" s="7">
        <f ca="1">SUMIFS($N$2:$N1434,$B$2:$B1434,"&lt;&gt;"&amp;B1434)+SUM($Q$2:$Q1434)</f>
        <v>135.05500000000001</v>
      </c>
      <c r="R1434" t="b">
        <f>AND(ISNUMBER(FIND($E1434,Tables!$I$2)), ISNUMBER(FIND($D1434,Tables!$J$2)), $E1434&lt;&gt;"")</f>
        <v>0</v>
      </c>
    </row>
    <row r="1435" spans="1:18" x14ac:dyDescent="0.3">
      <c r="A1435">
        <f t="shared" si="111"/>
        <v>1418</v>
      </c>
      <c r="B1435" s="4"/>
      <c r="I1435" s="8"/>
      <c r="J1435" s="5" t="str">
        <f t="shared" si="114"/>
        <v/>
      </c>
      <c r="K1435" s="3"/>
      <c r="L1435" s="3" t="str">
        <f t="shared" si="113"/>
        <v/>
      </c>
      <c r="N1435" s="3" t="str">
        <f t="shared" si="112"/>
        <v/>
      </c>
      <c r="O1435" s="6" t="str">
        <f t="shared" si="115"/>
        <v/>
      </c>
      <c r="P1435" s="7">
        <f ca="1">SUMIFS($N$2:$N1435,$B$2:$B1435,"&lt;&gt;"&amp;B1435)+SUM($Q$2:$Q1435)</f>
        <v>135.05500000000001</v>
      </c>
      <c r="R1435" t="b">
        <f>AND(ISNUMBER(FIND($E1435,Tables!$I$2)), ISNUMBER(FIND($D1435,Tables!$J$2)), $E1435&lt;&gt;"")</f>
        <v>0</v>
      </c>
    </row>
    <row r="1436" spans="1:18" x14ac:dyDescent="0.3">
      <c r="A1436">
        <f t="shared" si="111"/>
        <v>1419</v>
      </c>
      <c r="B1436" s="4"/>
      <c r="I1436" s="8"/>
      <c r="J1436" s="5" t="str">
        <f t="shared" si="114"/>
        <v/>
      </c>
      <c r="K1436" s="3"/>
      <c r="L1436" s="3" t="str">
        <f t="shared" si="113"/>
        <v/>
      </c>
      <c r="N1436" s="3" t="str">
        <f t="shared" si="112"/>
        <v/>
      </c>
      <c r="O1436" s="6" t="str">
        <f t="shared" si="115"/>
        <v/>
      </c>
      <c r="P1436" s="7">
        <f ca="1">SUMIFS($N$2:$N1436,$B$2:$B1436,"&lt;&gt;"&amp;B1436)+SUM($Q$2:$Q1436)</f>
        <v>135.05500000000001</v>
      </c>
      <c r="R1436" t="b">
        <f>AND(ISNUMBER(FIND($E1436,Tables!$I$2)), ISNUMBER(FIND($D1436,Tables!$J$2)), $E1436&lt;&gt;"")</f>
        <v>0</v>
      </c>
    </row>
    <row r="1437" spans="1:18" x14ac:dyDescent="0.3">
      <c r="A1437">
        <f t="shared" si="111"/>
        <v>1420</v>
      </c>
      <c r="B1437" s="4"/>
      <c r="I1437" s="8"/>
      <c r="J1437" s="5" t="str">
        <f t="shared" si="114"/>
        <v/>
      </c>
      <c r="K1437" s="3"/>
      <c r="L1437" s="3" t="str">
        <f t="shared" si="113"/>
        <v/>
      </c>
      <c r="N1437" s="3" t="str">
        <f t="shared" si="112"/>
        <v/>
      </c>
      <c r="O1437" s="6" t="str">
        <f t="shared" si="115"/>
        <v/>
      </c>
      <c r="P1437" s="7">
        <f ca="1">SUMIFS($N$2:$N1437,$B$2:$B1437,"&lt;&gt;"&amp;B1437)+SUM($Q$2:$Q1437)</f>
        <v>135.05500000000001</v>
      </c>
      <c r="R1437" t="b">
        <f>AND(ISNUMBER(FIND($E1437,Tables!$I$2)), ISNUMBER(FIND($D1437,Tables!$J$2)), $E1437&lt;&gt;"")</f>
        <v>0</v>
      </c>
    </row>
    <row r="1438" spans="1:18" x14ac:dyDescent="0.3">
      <c r="A1438">
        <f t="shared" si="111"/>
        <v>1421</v>
      </c>
      <c r="B1438" s="4"/>
      <c r="I1438" s="8"/>
      <c r="J1438" s="5" t="str">
        <f t="shared" si="114"/>
        <v/>
      </c>
      <c r="K1438" s="3"/>
      <c r="L1438" s="3" t="str">
        <f t="shared" si="113"/>
        <v/>
      </c>
      <c r="N1438" s="3" t="str">
        <f t="shared" si="112"/>
        <v/>
      </c>
      <c r="O1438" s="6" t="str">
        <f t="shared" si="115"/>
        <v/>
      </c>
      <c r="P1438" s="7">
        <f ca="1">SUMIFS($N$2:$N1438,$B$2:$B1438,"&lt;&gt;"&amp;B1438)+SUM($Q$2:$Q1438)</f>
        <v>135.05500000000001</v>
      </c>
      <c r="R1438" t="b">
        <f>AND(ISNUMBER(FIND($E1438,Tables!$I$2)), ISNUMBER(FIND($D1438,Tables!$J$2)), $E1438&lt;&gt;"")</f>
        <v>0</v>
      </c>
    </row>
    <row r="1439" spans="1:18" x14ac:dyDescent="0.3">
      <c r="A1439">
        <f t="shared" si="111"/>
        <v>1422</v>
      </c>
      <c r="B1439" s="4"/>
      <c r="I1439" s="8"/>
      <c r="J1439" s="5" t="str">
        <f t="shared" si="114"/>
        <v/>
      </c>
      <c r="K1439" s="3"/>
      <c r="L1439" s="3" t="str">
        <f t="shared" si="113"/>
        <v/>
      </c>
      <c r="N1439" s="3" t="str">
        <f t="shared" si="112"/>
        <v/>
      </c>
      <c r="O1439" s="6" t="str">
        <f t="shared" si="115"/>
        <v/>
      </c>
      <c r="P1439" s="7">
        <f ca="1">SUMIFS($N$2:$N1439,$B$2:$B1439,"&lt;&gt;"&amp;B1439)+SUM($Q$2:$Q1439)</f>
        <v>135.05500000000001</v>
      </c>
      <c r="R1439" t="b">
        <f>AND(ISNUMBER(FIND($E1439,Tables!$I$2)), ISNUMBER(FIND($D1439,Tables!$J$2)), $E1439&lt;&gt;"")</f>
        <v>0</v>
      </c>
    </row>
    <row r="1440" spans="1:18" x14ac:dyDescent="0.3">
      <c r="A1440">
        <f t="shared" si="111"/>
        <v>1423</v>
      </c>
      <c r="B1440" s="4"/>
      <c r="I1440" s="8"/>
      <c r="J1440" s="5" t="str">
        <f t="shared" si="114"/>
        <v/>
      </c>
      <c r="K1440" s="3"/>
      <c r="L1440" s="3" t="str">
        <f t="shared" si="113"/>
        <v/>
      </c>
      <c r="N1440" s="3" t="str">
        <f t="shared" si="112"/>
        <v/>
      </c>
      <c r="O1440" s="6" t="str">
        <f t="shared" si="115"/>
        <v/>
      </c>
      <c r="P1440" s="7">
        <f ca="1">SUMIFS($N$2:$N1440,$B$2:$B1440,"&lt;&gt;"&amp;B1440)+SUM($Q$2:$Q1440)</f>
        <v>135.05500000000001</v>
      </c>
      <c r="R1440" t="b">
        <f>AND(ISNUMBER(FIND($E1440,Tables!$I$2)), ISNUMBER(FIND($D1440,Tables!$J$2)), $E1440&lt;&gt;"")</f>
        <v>0</v>
      </c>
    </row>
    <row r="1441" spans="1:18" x14ac:dyDescent="0.3">
      <c r="A1441">
        <f t="shared" si="111"/>
        <v>1424</v>
      </c>
      <c r="B1441" s="4"/>
      <c r="I1441" s="8"/>
      <c r="J1441" s="5" t="str">
        <f t="shared" si="114"/>
        <v/>
      </c>
      <c r="K1441" s="3"/>
      <c r="L1441" s="3" t="str">
        <f t="shared" si="113"/>
        <v/>
      </c>
      <c r="N1441" s="3" t="str">
        <f t="shared" si="112"/>
        <v/>
      </c>
      <c r="O1441" s="6" t="str">
        <f t="shared" si="115"/>
        <v/>
      </c>
      <c r="P1441" s="7">
        <f ca="1">SUMIFS($N$2:$N1441,$B$2:$B1441,"&lt;&gt;"&amp;B1441)+SUM($Q$2:$Q1441)</f>
        <v>135.05500000000001</v>
      </c>
      <c r="R1441" t="b">
        <f>AND(ISNUMBER(FIND($E1441,Tables!$I$2)), ISNUMBER(FIND($D1441,Tables!$J$2)), $E1441&lt;&gt;"")</f>
        <v>0</v>
      </c>
    </row>
    <row r="1442" spans="1:18" x14ac:dyDescent="0.3">
      <c r="A1442">
        <f t="shared" ref="A1442:A1505" si="116">IF(AND(B1442="", D1442&lt;&gt;""), A1441, A1441+1)</f>
        <v>1425</v>
      </c>
      <c r="B1442" s="4"/>
      <c r="I1442" s="8"/>
      <c r="J1442" s="5" t="str">
        <f t="shared" si="114"/>
        <v/>
      </c>
      <c r="K1442" s="3"/>
      <c r="L1442" s="3" t="str">
        <f t="shared" si="113"/>
        <v/>
      </c>
      <c r="N1442" s="3" t="str">
        <f t="shared" si="112"/>
        <v/>
      </c>
      <c r="O1442" s="6" t="str">
        <f t="shared" si="115"/>
        <v/>
      </c>
      <c r="P1442" s="7">
        <f ca="1">SUMIFS($N$2:$N1442,$B$2:$B1442,"&lt;&gt;"&amp;B1442)+SUM($Q$2:$Q1442)</f>
        <v>135.05500000000001</v>
      </c>
      <c r="R1442" t="b">
        <f>AND(ISNUMBER(FIND($E1442,Tables!$I$2)), ISNUMBER(FIND($D1442,Tables!$J$2)), $E1442&lt;&gt;"")</f>
        <v>0</v>
      </c>
    </row>
    <row r="1443" spans="1:18" x14ac:dyDescent="0.3">
      <c r="A1443">
        <f t="shared" si="116"/>
        <v>1426</v>
      </c>
      <c r="B1443" s="4"/>
      <c r="I1443" s="8"/>
      <c r="J1443" s="5" t="str">
        <f t="shared" si="114"/>
        <v/>
      </c>
      <c r="K1443" s="3"/>
      <c r="L1443" s="3" t="str">
        <f t="shared" si="113"/>
        <v/>
      </c>
      <c r="N1443" s="3" t="str">
        <f t="shared" si="112"/>
        <v/>
      </c>
      <c r="O1443" s="6" t="str">
        <f t="shared" si="115"/>
        <v/>
      </c>
      <c r="P1443" s="7">
        <f ca="1">SUMIFS($N$2:$N1443,$B$2:$B1443,"&lt;&gt;"&amp;B1443)+SUM($Q$2:$Q1443)</f>
        <v>135.05500000000001</v>
      </c>
      <c r="R1443" t="b">
        <f>AND(ISNUMBER(FIND($E1443,Tables!$I$2)), ISNUMBER(FIND($D1443,Tables!$J$2)), $E1443&lt;&gt;"")</f>
        <v>0</v>
      </c>
    </row>
    <row r="1444" spans="1:18" x14ac:dyDescent="0.3">
      <c r="A1444">
        <f t="shared" si="116"/>
        <v>1427</v>
      </c>
      <c r="B1444" s="4"/>
      <c r="I1444" s="8"/>
      <c r="J1444" s="5" t="str">
        <f t="shared" si="114"/>
        <v/>
      </c>
      <c r="K1444" s="3"/>
      <c r="L1444" s="3" t="str">
        <f t="shared" si="113"/>
        <v/>
      </c>
      <c r="N1444" s="3" t="str">
        <f t="shared" si="112"/>
        <v/>
      </c>
      <c r="O1444" s="6" t="str">
        <f t="shared" si="115"/>
        <v/>
      </c>
      <c r="P1444" s="7">
        <f ca="1">SUMIFS($N$2:$N1444,$B$2:$B1444,"&lt;&gt;"&amp;B1444)+SUM($Q$2:$Q1444)</f>
        <v>135.05500000000001</v>
      </c>
      <c r="R1444" t="b">
        <f>AND(ISNUMBER(FIND($E1444,Tables!$I$2)), ISNUMBER(FIND($D1444,Tables!$J$2)), $E1444&lt;&gt;"")</f>
        <v>0</v>
      </c>
    </row>
    <row r="1445" spans="1:18" x14ac:dyDescent="0.3">
      <c r="A1445">
        <f t="shared" si="116"/>
        <v>1428</v>
      </c>
      <c r="B1445" s="4"/>
      <c r="I1445" s="8"/>
      <c r="J1445" s="5" t="str">
        <f t="shared" si="114"/>
        <v/>
      </c>
      <c r="K1445" s="3"/>
      <c r="L1445" s="3" t="str">
        <f t="shared" si="113"/>
        <v/>
      </c>
      <c r="N1445" s="3" t="str">
        <f t="shared" si="112"/>
        <v/>
      </c>
      <c r="O1445" s="6" t="str">
        <f t="shared" si="115"/>
        <v/>
      </c>
      <c r="P1445" s="7">
        <f ca="1">SUMIFS($N$2:$N1445,$B$2:$B1445,"&lt;&gt;"&amp;B1445)+SUM($Q$2:$Q1445)</f>
        <v>135.05500000000001</v>
      </c>
      <c r="R1445" t="b">
        <f>AND(ISNUMBER(FIND($E1445,Tables!$I$2)), ISNUMBER(FIND($D1445,Tables!$J$2)), $E1445&lt;&gt;"")</f>
        <v>0</v>
      </c>
    </row>
    <row r="1446" spans="1:18" x14ac:dyDescent="0.3">
      <c r="A1446">
        <f t="shared" si="116"/>
        <v>1429</v>
      </c>
      <c r="B1446" s="4"/>
      <c r="I1446" s="8"/>
      <c r="J1446" s="5" t="str">
        <f t="shared" si="114"/>
        <v/>
      </c>
      <c r="K1446" s="3"/>
      <c r="L1446" s="3" t="str">
        <f t="shared" si="113"/>
        <v/>
      </c>
      <c r="N1446" s="3" t="str">
        <f t="shared" si="112"/>
        <v/>
      </c>
      <c r="O1446" s="6" t="str">
        <f t="shared" si="115"/>
        <v/>
      </c>
      <c r="P1446" s="7">
        <f ca="1">SUMIFS($N$2:$N1446,$B$2:$B1446,"&lt;&gt;"&amp;B1446)+SUM($Q$2:$Q1446)</f>
        <v>135.05500000000001</v>
      </c>
      <c r="R1446" t="b">
        <f>AND(ISNUMBER(FIND($E1446,Tables!$I$2)), ISNUMBER(FIND($D1446,Tables!$J$2)), $E1446&lt;&gt;"")</f>
        <v>0</v>
      </c>
    </row>
    <row r="1447" spans="1:18" x14ac:dyDescent="0.3">
      <c r="A1447">
        <f t="shared" si="116"/>
        <v>1430</v>
      </c>
      <c r="B1447" s="4"/>
      <c r="I1447" s="8"/>
      <c r="J1447" s="5" t="str">
        <f t="shared" si="114"/>
        <v/>
      </c>
      <c r="K1447" s="3"/>
      <c r="L1447" s="3" t="str">
        <f t="shared" si="113"/>
        <v/>
      </c>
      <c r="N1447" s="3" t="str">
        <f t="shared" si="112"/>
        <v/>
      </c>
      <c r="O1447" s="6" t="str">
        <f t="shared" si="115"/>
        <v/>
      </c>
      <c r="P1447" s="7">
        <f ca="1">SUMIFS($N$2:$N1447,$B$2:$B1447,"&lt;&gt;"&amp;B1447)+SUM($Q$2:$Q1447)</f>
        <v>135.05500000000001</v>
      </c>
      <c r="R1447" t="b">
        <f>AND(ISNUMBER(FIND($E1447,Tables!$I$2)), ISNUMBER(FIND($D1447,Tables!$J$2)), $E1447&lt;&gt;"")</f>
        <v>0</v>
      </c>
    </row>
    <row r="1448" spans="1:18" x14ac:dyDescent="0.3">
      <c r="A1448">
        <f t="shared" si="116"/>
        <v>1431</v>
      </c>
      <c r="B1448" s="4"/>
      <c r="I1448" s="8"/>
      <c r="J1448" s="5" t="str">
        <f t="shared" si="114"/>
        <v/>
      </c>
      <c r="K1448" s="3"/>
      <c r="L1448" s="3" t="str">
        <f t="shared" si="113"/>
        <v/>
      </c>
      <c r="N1448" s="3" t="str">
        <f t="shared" ref="N1448:N1511" si="117">IF(L1448 = "", "", IF(M1448="", "", IF(OR(M1448="Draw",M1448="NC"), 0, IF(M1448="win", L1448, -1*K1448))))</f>
        <v/>
      </c>
      <c r="O1448" s="6" t="str">
        <f t="shared" si="115"/>
        <v/>
      </c>
      <c r="P1448" s="7">
        <f ca="1">SUMIFS($N$2:$N1448,$B$2:$B1448,"&lt;&gt;"&amp;B1448)+SUM($Q$2:$Q1448)</f>
        <v>135.05500000000001</v>
      </c>
      <c r="R1448" t="b">
        <f>AND(ISNUMBER(FIND($E1448,Tables!$I$2)), ISNUMBER(FIND($D1448,Tables!$J$2)), $E1448&lt;&gt;"")</f>
        <v>0</v>
      </c>
    </row>
    <row r="1449" spans="1:18" x14ac:dyDescent="0.3">
      <c r="A1449">
        <f t="shared" si="116"/>
        <v>1432</v>
      </c>
      <c r="B1449" s="4"/>
      <c r="I1449" s="8"/>
      <c r="J1449" s="5" t="str">
        <f t="shared" si="114"/>
        <v/>
      </c>
      <c r="K1449" s="3"/>
      <c r="L1449" s="3" t="str">
        <f t="shared" si="113"/>
        <v/>
      </c>
      <c r="N1449" s="3" t="str">
        <f t="shared" si="117"/>
        <v/>
      </c>
      <c r="O1449" s="6" t="str">
        <f t="shared" si="115"/>
        <v/>
      </c>
      <c r="P1449" s="7">
        <f ca="1">SUMIFS($N$2:$N1449,$B$2:$B1449,"&lt;&gt;"&amp;B1449)+SUM($Q$2:$Q1449)</f>
        <v>135.05500000000001</v>
      </c>
      <c r="R1449" t="b">
        <f>AND(ISNUMBER(FIND($E1449,Tables!$I$2)), ISNUMBER(FIND($D1449,Tables!$J$2)), $E1449&lt;&gt;"")</f>
        <v>0</v>
      </c>
    </row>
    <row r="1450" spans="1:18" x14ac:dyDescent="0.3">
      <c r="A1450">
        <f t="shared" si="116"/>
        <v>1433</v>
      </c>
      <c r="B1450" s="4"/>
      <c r="I1450" s="8"/>
      <c r="J1450" s="5" t="str">
        <f t="shared" si="114"/>
        <v/>
      </c>
      <c r="K1450" s="3"/>
      <c r="L1450" s="3" t="str">
        <f t="shared" si="113"/>
        <v/>
      </c>
      <c r="N1450" s="3" t="str">
        <f t="shared" si="117"/>
        <v/>
      </c>
      <c r="O1450" s="6" t="str">
        <f t="shared" si="115"/>
        <v/>
      </c>
      <c r="P1450" s="7">
        <f ca="1">SUMIFS($N$2:$N1450,$B$2:$B1450,"&lt;&gt;"&amp;B1450)+SUM($Q$2:$Q1450)</f>
        <v>135.05500000000001</v>
      </c>
      <c r="R1450" t="b">
        <f>AND(ISNUMBER(FIND($E1450,Tables!$I$2)), ISNUMBER(FIND($D1450,Tables!$J$2)), $E1450&lt;&gt;"")</f>
        <v>0</v>
      </c>
    </row>
    <row r="1451" spans="1:18" x14ac:dyDescent="0.3">
      <c r="A1451">
        <f t="shared" si="116"/>
        <v>1434</v>
      </c>
      <c r="B1451" s="4"/>
      <c r="I1451" s="8"/>
      <c r="J1451" s="5" t="str">
        <f t="shared" si="114"/>
        <v/>
      </c>
      <c r="K1451" s="3"/>
      <c r="L1451" s="3" t="str">
        <f t="shared" si="113"/>
        <v/>
      </c>
      <c r="N1451" s="3" t="str">
        <f t="shared" si="117"/>
        <v/>
      </c>
      <c r="O1451" s="6" t="str">
        <f t="shared" si="115"/>
        <v/>
      </c>
      <c r="P1451" s="7">
        <f ca="1">SUMIFS($N$2:$N1451,$B$2:$B1451,"&lt;&gt;"&amp;B1451)+SUM($Q$2:$Q1451)</f>
        <v>135.05500000000001</v>
      </c>
      <c r="R1451" t="b">
        <f>AND(ISNUMBER(FIND($E1451,Tables!$I$2)), ISNUMBER(FIND($D1451,Tables!$J$2)), $E1451&lt;&gt;"")</f>
        <v>0</v>
      </c>
    </row>
    <row r="1452" spans="1:18" x14ac:dyDescent="0.3">
      <c r="A1452">
        <f t="shared" si="116"/>
        <v>1435</v>
      </c>
      <c r="B1452" s="4"/>
      <c r="I1452" s="8"/>
      <c r="J1452" s="5" t="str">
        <f t="shared" si="114"/>
        <v/>
      </c>
      <c r="K1452" s="3"/>
      <c r="L1452" s="3" t="str">
        <f t="shared" si="113"/>
        <v/>
      </c>
      <c r="N1452" s="3" t="str">
        <f t="shared" si="117"/>
        <v/>
      </c>
      <c r="O1452" s="6" t="str">
        <f t="shared" si="115"/>
        <v/>
      </c>
      <c r="P1452" s="7">
        <f ca="1">SUMIFS($N$2:$N1452,$B$2:$B1452,"&lt;&gt;"&amp;B1452)+SUM($Q$2:$Q1452)</f>
        <v>135.05500000000001</v>
      </c>
      <c r="R1452" t="b">
        <f>AND(ISNUMBER(FIND($E1452,Tables!$I$2)), ISNUMBER(FIND($D1452,Tables!$J$2)), $E1452&lt;&gt;"")</f>
        <v>0</v>
      </c>
    </row>
    <row r="1453" spans="1:18" x14ac:dyDescent="0.3">
      <c r="A1453">
        <f t="shared" si="116"/>
        <v>1436</v>
      </c>
      <c r="B1453" s="4"/>
      <c r="I1453" s="8"/>
      <c r="J1453" s="5" t="str">
        <f t="shared" si="114"/>
        <v/>
      </c>
      <c r="K1453" s="3"/>
      <c r="L1453" s="3" t="str">
        <f t="shared" si="113"/>
        <v/>
      </c>
      <c r="N1453" s="3" t="str">
        <f t="shared" si="117"/>
        <v/>
      </c>
      <c r="O1453" s="6" t="str">
        <f t="shared" si="115"/>
        <v/>
      </c>
      <c r="P1453" s="7">
        <f ca="1">SUMIFS($N$2:$N1453,$B$2:$B1453,"&lt;&gt;"&amp;B1453)+SUM($Q$2:$Q1453)</f>
        <v>135.05500000000001</v>
      </c>
      <c r="R1453" t="b">
        <f>AND(ISNUMBER(FIND($E1453,Tables!$I$2)), ISNUMBER(FIND($D1453,Tables!$J$2)), $E1453&lt;&gt;"")</f>
        <v>0</v>
      </c>
    </row>
    <row r="1454" spans="1:18" x14ac:dyDescent="0.3">
      <c r="A1454">
        <f t="shared" si="116"/>
        <v>1437</v>
      </c>
      <c r="B1454" s="4"/>
      <c r="I1454" s="8"/>
      <c r="J1454" s="5" t="str">
        <f t="shared" si="114"/>
        <v/>
      </c>
      <c r="K1454" s="3"/>
      <c r="L1454" s="3" t="str">
        <f t="shared" si="113"/>
        <v/>
      </c>
      <c r="N1454" s="3" t="str">
        <f t="shared" si="117"/>
        <v/>
      </c>
      <c r="O1454" s="6" t="str">
        <f t="shared" si="115"/>
        <v/>
      </c>
      <c r="P1454" s="7">
        <f ca="1">SUMIFS($N$2:$N1454,$B$2:$B1454,"&lt;&gt;"&amp;B1454)+SUM($Q$2:$Q1454)</f>
        <v>135.05500000000001</v>
      </c>
      <c r="R1454" t="b">
        <f>AND(ISNUMBER(FIND($E1454,Tables!$I$2)), ISNUMBER(FIND($D1454,Tables!$J$2)), $E1454&lt;&gt;"")</f>
        <v>0</v>
      </c>
    </row>
    <row r="1455" spans="1:18" x14ac:dyDescent="0.3">
      <c r="A1455">
        <f t="shared" si="116"/>
        <v>1438</v>
      </c>
      <c r="B1455" s="4"/>
      <c r="I1455" s="8"/>
      <c r="J1455" s="5" t="str">
        <f t="shared" si="114"/>
        <v/>
      </c>
      <c r="K1455" s="3"/>
      <c r="L1455" s="3" t="str">
        <f t="shared" si="113"/>
        <v/>
      </c>
      <c r="N1455" s="3" t="str">
        <f t="shared" si="117"/>
        <v/>
      </c>
      <c r="O1455" s="6" t="str">
        <f t="shared" si="115"/>
        <v/>
      </c>
      <c r="P1455" s="7">
        <f ca="1">SUMIFS($N$2:$N1455,$B$2:$B1455,"&lt;&gt;"&amp;B1455)+SUM($Q$2:$Q1455)</f>
        <v>135.05500000000001</v>
      </c>
      <c r="R1455" t="b">
        <f>AND(ISNUMBER(FIND($E1455,Tables!$I$2)), ISNUMBER(FIND($D1455,Tables!$J$2)), $E1455&lt;&gt;"")</f>
        <v>0</v>
      </c>
    </row>
    <row r="1456" spans="1:18" x14ac:dyDescent="0.3">
      <c r="A1456">
        <f t="shared" si="116"/>
        <v>1439</v>
      </c>
      <c r="B1456" s="4"/>
      <c r="I1456" s="8"/>
      <c r="J1456" s="5" t="str">
        <f t="shared" si="114"/>
        <v/>
      </c>
      <c r="K1456" s="3"/>
      <c r="L1456" s="3" t="str">
        <f t="shared" si="113"/>
        <v/>
      </c>
      <c r="N1456" s="3" t="str">
        <f t="shared" si="117"/>
        <v/>
      </c>
      <c r="O1456" s="6" t="str">
        <f t="shared" si="115"/>
        <v/>
      </c>
      <c r="P1456" s="7">
        <f ca="1">SUMIFS($N$2:$N1456,$B$2:$B1456,"&lt;&gt;"&amp;B1456)+SUM($Q$2:$Q1456)</f>
        <v>135.05500000000001</v>
      </c>
      <c r="R1456" t="b">
        <f>AND(ISNUMBER(FIND($E1456,Tables!$I$2)), ISNUMBER(FIND($D1456,Tables!$J$2)), $E1456&lt;&gt;"")</f>
        <v>0</v>
      </c>
    </row>
    <row r="1457" spans="1:18" x14ac:dyDescent="0.3">
      <c r="A1457">
        <f t="shared" si="116"/>
        <v>1440</v>
      </c>
      <c r="B1457" s="4"/>
      <c r="I1457" s="8"/>
      <c r="J1457" s="5" t="str">
        <f t="shared" si="114"/>
        <v/>
      </c>
      <c r="K1457" s="3"/>
      <c r="L1457" s="3" t="str">
        <f t="shared" si="113"/>
        <v/>
      </c>
      <c r="N1457" s="3" t="str">
        <f t="shared" si="117"/>
        <v/>
      </c>
      <c r="O1457" s="6" t="str">
        <f t="shared" si="115"/>
        <v/>
      </c>
      <c r="P1457" s="7">
        <f ca="1">SUMIFS($N$2:$N1457,$B$2:$B1457,"&lt;&gt;"&amp;B1457)+SUM($Q$2:$Q1457)</f>
        <v>135.05500000000001</v>
      </c>
      <c r="R1457" t="b">
        <f>AND(ISNUMBER(FIND($E1457,Tables!$I$2)), ISNUMBER(FIND($D1457,Tables!$J$2)), $E1457&lt;&gt;"")</f>
        <v>0</v>
      </c>
    </row>
    <row r="1458" spans="1:18" x14ac:dyDescent="0.3">
      <c r="A1458">
        <f t="shared" si="116"/>
        <v>1441</v>
      </c>
      <c r="B1458" s="4"/>
      <c r="I1458" s="8"/>
      <c r="J1458" s="5" t="str">
        <f t="shared" si="114"/>
        <v/>
      </c>
      <c r="K1458" s="3"/>
      <c r="L1458" s="3" t="str">
        <f t="shared" ref="L1458:L1521" si="118">IFERROR(IF(K1458=0, "", IF(I1458&gt;0, K1458/100*I1458,K1458/I1458*-100)), "")</f>
        <v/>
      </c>
      <c r="N1458" s="3" t="str">
        <f t="shared" si="117"/>
        <v/>
      </c>
      <c r="O1458" s="6" t="str">
        <f t="shared" si="115"/>
        <v/>
      </c>
      <c r="P1458" s="7">
        <f ca="1">SUMIFS($N$2:$N1458,$B$2:$B1458,"&lt;&gt;"&amp;B1458)+SUM($Q$2:$Q1458)</f>
        <v>135.05500000000001</v>
      </c>
      <c r="R1458" t="b">
        <f>AND(ISNUMBER(FIND($E1458,Tables!$I$2)), ISNUMBER(FIND($D1458,Tables!$J$2)), $E1458&lt;&gt;"")</f>
        <v>0</v>
      </c>
    </row>
    <row r="1459" spans="1:18" x14ac:dyDescent="0.3">
      <c r="A1459">
        <f t="shared" si="116"/>
        <v>1442</v>
      </c>
      <c r="B1459" s="4"/>
      <c r="I1459" s="8"/>
      <c r="J1459" s="5" t="str">
        <f t="shared" si="114"/>
        <v/>
      </c>
      <c r="K1459" s="3"/>
      <c r="L1459" s="3" t="str">
        <f t="shared" si="118"/>
        <v/>
      </c>
      <c r="N1459" s="3" t="str">
        <f t="shared" si="117"/>
        <v/>
      </c>
      <c r="O1459" s="6" t="str">
        <f t="shared" si="115"/>
        <v/>
      </c>
      <c r="P1459" s="7">
        <f ca="1">SUMIFS($N$2:$N1459,$B$2:$B1459,"&lt;&gt;"&amp;B1459)+SUM($Q$2:$Q1459)</f>
        <v>135.05500000000001</v>
      </c>
      <c r="R1459" t="b">
        <f>AND(ISNUMBER(FIND($E1459,Tables!$I$2)), ISNUMBER(FIND($D1459,Tables!$J$2)), $E1459&lt;&gt;"")</f>
        <v>0</v>
      </c>
    </row>
    <row r="1460" spans="1:18" x14ac:dyDescent="0.3">
      <c r="A1460">
        <f t="shared" si="116"/>
        <v>1443</v>
      </c>
      <c r="B1460" s="4"/>
      <c r="I1460" s="8"/>
      <c r="J1460" s="5" t="str">
        <f t="shared" si="114"/>
        <v/>
      </c>
      <c r="K1460" s="3"/>
      <c r="L1460" s="3" t="str">
        <f t="shared" si="118"/>
        <v/>
      </c>
      <c r="N1460" s="3" t="str">
        <f t="shared" si="117"/>
        <v/>
      </c>
      <c r="O1460" s="6" t="str">
        <f t="shared" si="115"/>
        <v/>
      </c>
      <c r="P1460" s="7">
        <f ca="1">SUMIFS($N$2:$N1460,$B$2:$B1460,"&lt;&gt;"&amp;B1460)+SUM($Q$2:$Q1460)</f>
        <v>135.05500000000001</v>
      </c>
      <c r="R1460" t="b">
        <f>AND(ISNUMBER(FIND($E1460,Tables!$I$2)), ISNUMBER(FIND($D1460,Tables!$J$2)), $E1460&lt;&gt;"")</f>
        <v>0</v>
      </c>
    </row>
    <row r="1461" spans="1:18" x14ac:dyDescent="0.3">
      <c r="A1461">
        <f t="shared" si="116"/>
        <v>1444</v>
      </c>
      <c r="B1461" s="4"/>
      <c r="I1461" s="8"/>
      <c r="J1461" s="5" t="str">
        <f t="shared" si="114"/>
        <v/>
      </c>
      <c r="K1461" s="3"/>
      <c r="L1461" s="3" t="str">
        <f t="shared" si="118"/>
        <v/>
      </c>
      <c r="N1461" s="3" t="str">
        <f t="shared" si="117"/>
        <v/>
      </c>
      <c r="O1461" s="6" t="str">
        <f t="shared" si="115"/>
        <v/>
      </c>
      <c r="P1461" s="7">
        <f ca="1">SUMIFS($N$2:$N1461,$B$2:$B1461,"&lt;&gt;"&amp;B1461)+SUM($Q$2:$Q1461)</f>
        <v>135.05500000000001</v>
      </c>
      <c r="R1461" t="b">
        <f>AND(ISNUMBER(FIND($E1461,Tables!$I$2)), ISNUMBER(FIND($D1461,Tables!$J$2)), $E1461&lt;&gt;"")</f>
        <v>0</v>
      </c>
    </row>
    <row r="1462" spans="1:18" x14ac:dyDescent="0.3">
      <c r="A1462">
        <f t="shared" si="116"/>
        <v>1445</v>
      </c>
      <c r="B1462" s="4"/>
      <c r="I1462" s="8"/>
      <c r="J1462" s="5" t="str">
        <f t="shared" si="114"/>
        <v/>
      </c>
      <c r="K1462" s="3"/>
      <c r="L1462" s="3" t="str">
        <f t="shared" si="118"/>
        <v/>
      </c>
      <c r="N1462" s="3" t="str">
        <f t="shared" si="117"/>
        <v/>
      </c>
      <c r="O1462" s="6" t="str">
        <f t="shared" si="115"/>
        <v/>
      </c>
      <c r="P1462" s="7">
        <f ca="1">SUMIFS($N$2:$N1462,$B$2:$B1462,"&lt;&gt;"&amp;B1462)+SUM($Q$2:$Q1462)</f>
        <v>135.05500000000001</v>
      </c>
      <c r="R1462" t="b">
        <f>AND(ISNUMBER(FIND($E1462,Tables!$I$2)), ISNUMBER(FIND($D1462,Tables!$J$2)), $E1462&lt;&gt;"")</f>
        <v>0</v>
      </c>
    </row>
    <row r="1463" spans="1:18" x14ac:dyDescent="0.3">
      <c r="A1463">
        <f t="shared" si="116"/>
        <v>1446</v>
      </c>
      <c r="B1463" s="4"/>
      <c r="I1463" s="8"/>
      <c r="J1463" s="5" t="str">
        <f t="shared" si="114"/>
        <v/>
      </c>
      <c r="K1463" s="3"/>
      <c r="L1463" s="3" t="str">
        <f t="shared" si="118"/>
        <v/>
      </c>
      <c r="N1463" s="3" t="str">
        <f t="shared" si="117"/>
        <v/>
      </c>
      <c r="O1463" s="6" t="str">
        <f t="shared" si="115"/>
        <v/>
      </c>
      <c r="P1463" s="7">
        <f ca="1">SUMIFS($N$2:$N1463,$B$2:$B1463,"&lt;&gt;"&amp;B1463)+SUM($Q$2:$Q1463)</f>
        <v>135.05500000000001</v>
      </c>
      <c r="R1463" t="b">
        <f>AND(ISNUMBER(FIND($E1463,Tables!$I$2)), ISNUMBER(FIND($D1463,Tables!$J$2)), $E1463&lt;&gt;"")</f>
        <v>0</v>
      </c>
    </row>
    <row r="1464" spans="1:18" x14ac:dyDescent="0.3">
      <c r="A1464">
        <f t="shared" si="116"/>
        <v>1447</v>
      </c>
      <c r="B1464" s="4"/>
      <c r="I1464" s="8"/>
      <c r="J1464" s="5" t="str">
        <f t="shared" si="114"/>
        <v/>
      </c>
      <c r="K1464" s="3"/>
      <c r="L1464" s="3" t="str">
        <f t="shared" si="118"/>
        <v/>
      </c>
      <c r="N1464" s="3" t="str">
        <f t="shared" si="117"/>
        <v/>
      </c>
      <c r="O1464" s="6" t="str">
        <f t="shared" si="115"/>
        <v/>
      </c>
      <c r="P1464" s="7">
        <f ca="1">SUMIFS($N$2:$N1464,$B$2:$B1464,"&lt;&gt;"&amp;B1464)+SUM($Q$2:$Q1464)</f>
        <v>135.05500000000001</v>
      </c>
      <c r="R1464" t="b">
        <f>AND(ISNUMBER(FIND($E1464,Tables!$I$2)), ISNUMBER(FIND($D1464,Tables!$J$2)), $E1464&lt;&gt;"")</f>
        <v>0</v>
      </c>
    </row>
    <row r="1465" spans="1:18" x14ac:dyDescent="0.3">
      <c r="A1465">
        <f t="shared" si="116"/>
        <v>1448</v>
      </c>
      <c r="B1465" s="4"/>
      <c r="I1465" s="8"/>
      <c r="J1465" s="5" t="str">
        <f t="shared" si="114"/>
        <v/>
      </c>
      <c r="K1465" s="3"/>
      <c r="L1465" s="3" t="str">
        <f t="shared" si="118"/>
        <v/>
      </c>
      <c r="N1465" s="3" t="str">
        <f t="shared" si="117"/>
        <v/>
      </c>
      <c r="O1465" s="6" t="str">
        <f t="shared" si="115"/>
        <v/>
      </c>
      <c r="P1465" s="7">
        <f ca="1">SUMIFS($N$2:$N1465,$B$2:$B1465,"&lt;&gt;"&amp;B1465)+SUM($Q$2:$Q1465)</f>
        <v>135.05500000000001</v>
      </c>
      <c r="R1465" t="b">
        <f>AND(ISNUMBER(FIND($E1465,Tables!$I$2)), ISNUMBER(FIND($D1465,Tables!$J$2)), $E1465&lt;&gt;"")</f>
        <v>0</v>
      </c>
    </row>
    <row r="1466" spans="1:18" x14ac:dyDescent="0.3">
      <c r="A1466">
        <f t="shared" si="116"/>
        <v>1449</v>
      </c>
      <c r="B1466" s="4"/>
      <c r="I1466" s="8"/>
      <c r="J1466" s="5" t="str">
        <f t="shared" si="114"/>
        <v/>
      </c>
      <c r="K1466" s="3"/>
      <c r="L1466" s="3" t="str">
        <f t="shared" si="118"/>
        <v/>
      </c>
      <c r="N1466" s="3" t="str">
        <f t="shared" si="117"/>
        <v/>
      </c>
      <c r="O1466" s="6" t="str">
        <f t="shared" si="115"/>
        <v/>
      </c>
      <c r="P1466" s="7">
        <f ca="1">SUMIFS($N$2:$N1466,$B$2:$B1466,"&lt;&gt;"&amp;B1466)+SUM($Q$2:$Q1466)</f>
        <v>135.05500000000001</v>
      </c>
      <c r="R1466" t="b">
        <f>AND(ISNUMBER(FIND($E1466,Tables!$I$2)), ISNUMBER(FIND($D1466,Tables!$J$2)), $E1466&lt;&gt;"")</f>
        <v>0</v>
      </c>
    </row>
    <row r="1467" spans="1:18" x14ac:dyDescent="0.3">
      <c r="A1467">
        <f t="shared" si="116"/>
        <v>1450</v>
      </c>
      <c r="B1467" s="4"/>
      <c r="I1467" s="8"/>
      <c r="J1467" s="5" t="str">
        <f t="shared" si="114"/>
        <v/>
      </c>
      <c r="K1467" s="3"/>
      <c r="L1467" s="3" t="str">
        <f t="shared" si="118"/>
        <v/>
      </c>
      <c r="N1467" s="3" t="str">
        <f t="shared" si="117"/>
        <v/>
      </c>
      <c r="O1467" s="6" t="str">
        <f t="shared" si="115"/>
        <v/>
      </c>
      <c r="P1467" s="7">
        <f ca="1">SUMIFS($N$2:$N1467,$B$2:$B1467,"&lt;&gt;"&amp;B1467)+SUM($Q$2:$Q1467)</f>
        <v>135.05500000000001</v>
      </c>
      <c r="R1467" t="b">
        <f>AND(ISNUMBER(FIND($E1467,Tables!$I$2)), ISNUMBER(FIND($D1467,Tables!$J$2)), $E1467&lt;&gt;"")</f>
        <v>0</v>
      </c>
    </row>
    <row r="1468" spans="1:18" x14ac:dyDescent="0.3">
      <c r="A1468">
        <f t="shared" si="116"/>
        <v>1451</v>
      </c>
      <c r="B1468" s="4"/>
      <c r="I1468" s="8"/>
      <c r="J1468" s="5" t="str">
        <f t="shared" si="114"/>
        <v/>
      </c>
      <c r="K1468" s="3"/>
      <c r="L1468" s="3" t="str">
        <f t="shared" si="118"/>
        <v/>
      </c>
      <c r="N1468" s="3" t="str">
        <f t="shared" si="117"/>
        <v/>
      </c>
      <c r="O1468" s="6" t="str">
        <f t="shared" si="115"/>
        <v/>
      </c>
      <c r="P1468" s="7">
        <f ca="1">SUMIFS($N$2:$N1468,$B$2:$B1468,"&lt;&gt;"&amp;B1468)+SUM($Q$2:$Q1468)</f>
        <v>135.05500000000001</v>
      </c>
      <c r="R1468" t="b">
        <f>AND(ISNUMBER(FIND($E1468,Tables!$I$2)), ISNUMBER(FIND($D1468,Tables!$J$2)), $E1468&lt;&gt;"")</f>
        <v>0</v>
      </c>
    </row>
    <row r="1469" spans="1:18" x14ac:dyDescent="0.3">
      <c r="A1469">
        <f t="shared" si="116"/>
        <v>1452</v>
      </c>
      <c r="B1469" s="4"/>
      <c r="I1469" s="8"/>
      <c r="J1469" s="5" t="str">
        <f t="shared" si="114"/>
        <v/>
      </c>
      <c r="K1469" s="3"/>
      <c r="L1469" s="3" t="str">
        <f t="shared" si="118"/>
        <v/>
      </c>
      <c r="N1469" s="3" t="str">
        <f t="shared" si="117"/>
        <v/>
      </c>
      <c r="O1469" s="6" t="str">
        <f t="shared" si="115"/>
        <v/>
      </c>
      <c r="P1469" s="7">
        <f ca="1">SUMIFS($N$2:$N1469,$B$2:$B1469,"&lt;&gt;"&amp;B1469)+SUM($Q$2:$Q1469)</f>
        <v>135.05500000000001</v>
      </c>
      <c r="R1469" t="b">
        <f>AND(ISNUMBER(FIND($E1469,Tables!$I$2)), ISNUMBER(FIND($D1469,Tables!$J$2)), $E1469&lt;&gt;"")</f>
        <v>0</v>
      </c>
    </row>
    <row r="1470" spans="1:18" x14ac:dyDescent="0.3">
      <c r="A1470">
        <f t="shared" si="116"/>
        <v>1453</v>
      </c>
      <c r="B1470" s="4"/>
      <c r="I1470" s="8"/>
      <c r="J1470" s="5" t="str">
        <f t="shared" si="114"/>
        <v/>
      </c>
      <c r="K1470" s="3"/>
      <c r="L1470" s="3" t="str">
        <f t="shared" si="118"/>
        <v/>
      </c>
      <c r="N1470" s="3" t="str">
        <f t="shared" si="117"/>
        <v/>
      </c>
      <c r="O1470" s="6" t="str">
        <f t="shared" si="115"/>
        <v/>
      </c>
      <c r="P1470" s="7">
        <f ca="1">SUMIFS($N$2:$N1470,$B$2:$B1470,"&lt;&gt;"&amp;B1470)+SUM($Q$2:$Q1470)</f>
        <v>135.05500000000001</v>
      </c>
      <c r="R1470" t="b">
        <f>AND(ISNUMBER(FIND($E1470,Tables!$I$2)), ISNUMBER(FIND($D1470,Tables!$J$2)), $E1470&lt;&gt;"")</f>
        <v>0</v>
      </c>
    </row>
    <row r="1471" spans="1:18" x14ac:dyDescent="0.3">
      <c r="A1471">
        <f t="shared" si="116"/>
        <v>1454</v>
      </c>
      <c r="B1471" s="4"/>
      <c r="I1471" s="8"/>
      <c r="J1471" s="5" t="str">
        <f t="shared" si="114"/>
        <v/>
      </c>
      <c r="K1471" s="3"/>
      <c r="L1471" s="3" t="str">
        <f t="shared" si="118"/>
        <v/>
      </c>
      <c r="N1471" s="3" t="str">
        <f t="shared" si="117"/>
        <v/>
      </c>
      <c r="O1471" s="6" t="str">
        <f t="shared" si="115"/>
        <v/>
      </c>
      <c r="P1471" s="7">
        <f ca="1">SUMIFS($N$2:$N1471,$B$2:$B1471,"&lt;&gt;"&amp;B1471)+SUM($Q$2:$Q1471)</f>
        <v>135.05500000000001</v>
      </c>
      <c r="R1471" t="b">
        <f>AND(ISNUMBER(FIND($E1471,Tables!$I$2)), ISNUMBER(FIND($D1471,Tables!$J$2)), $E1471&lt;&gt;"")</f>
        <v>0</v>
      </c>
    </row>
    <row r="1472" spans="1:18" x14ac:dyDescent="0.3">
      <c r="A1472">
        <f t="shared" si="116"/>
        <v>1455</v>
      </c>
      <c r="B1472" s="4"/>
      <c r="I1472" s="8"/>
      <c r="J1472" s="5" t="str">
        <f t="shared" si="114"/>
        <v/>
      </c>
      <c r="K1472" s="3"/>
      <c r="L1472" s="3" t="str">
        <f t="shared" si="118"/>
        <v/>
      </c>
      <c r="N1472" s="3" t="str">
        <f t="shared" si="117"/>
        <v/>
      </c>
      <c r="O1472" s="6" t="str">
        <f t="shared" si="115"/>
        <v/>
      </c>
      <c r="P1472" s="7">
        <f ca="1">SUMIFS($N$2:$N1472,$B$2:$B1472,"&lt;&gt;"&amp;B1472)+SUM($Q$2:$Q1472)</f>
        <v>135.05500000000001</v>
      </c>
      <c r="R1472" t="b">
        <f>AND(ISNUMBER(FIND($E1472,Tables!$I$2)), ISNUMBER(FIND($D1472,Tables!$J$2)), $E1472&lt;&gt;"")</f>
        <v>0</v>
      </c>
    </row>
    <row r="1473" spans="1:18" x14ac:dyDescent="0.3">
      <c r="A1473">
        <f t="shared" si="116"/>
        <v>1456</v>
      </c>
      <c r="B1473" s="4"/>
      <c r="I1473" s="8"/>
      <c r="J1473" s="5" t="str">
        <f t="shared" si="114"/>
        <v/>
      </c>
      <c r="K1473" s="3"/>
      <c r="L1473" s="3" t="str">
        <f t="shared" si="118"/>
        <v/>
      </c>
      <c r="N1473" s="3" t="str">
        <f t="shared" si="117"/>
        <v/>
      </c>
      <c r="O1473" s="6" t="str">
        <f t="shared" si="115"/>
        <v/>
      </c>
      <c r="P1473" s="7">
        <f ca="1">SUMIFS($N$2:$N1473,$B$2:$B1473,"&lt;&gt;"&amp;B1473)+SUM($Q$2:$Q1473)</f>
        <v>135.05500000000001</v>
      </c>
      <c r="R1473" t="b">
        <f>AND(ISNUMBER(FIND($E1473,Tables!$I$2)), ISNUMBER(FIND($D1473,Tables!$J$2)), $E1473&lt;&gt;"")</f>
        <v>0</v>
      </c>
    </row>
    <row r="1474" spans="1:18" x14ac:dyDescent="0.3">
      <c r="A1474">
        <f t="shared" si="116"/>
        <v>1457</v>
      </c>
      <c r="B1474" s="4"/>
      <c r="I1474" s="8"/>
      <c r="J1474" s="5" t="str">
        <f t="shared" ref="J1474:J1537" si="119">IF(I1474="", "", IF(I1474&gt;0, I1474/100 +1, -100/I1474 +1))</f>
        <v/>
      </c>
      <c r="K1474" s="3"/>
      <c r="L1474" s="3" t="str">
        <f t="shared" si="118"/>
        <v/>
      </c>
      <c r="N1474" s="3" t="str">
        <f t="shared" si="117"/>
        <v/>
      </c>
      <c r="O1474" s="6" t="str">
        <f t="shared" ref="O1474:O1537" si="120">IFERROR(K1474/VLOOKUP(_xlfn.MINIFS(A:A,B:B,B1474,C:C,C1474),A:P,16),"")</f>
        <v/>
      </c>
      <c r="P1474" s="7">
        <f ca="1">SUMIFS($N$2:$N1474,$B$2:$B1474,"&lt;&gt;"&amp;B1474)+SUM($Q$2:$Q1474)</f>
        <v>135.05500000000001</v>
      </c>
      <c r="R1474" t="b">
        <f>AND(ISNUMBER(FIND($E1474,Tables!$I$2)), ISNUMBER(FIND($D1474,Tables!$J$2)), $E1474&lt;&gt;"")</f>
        <v>0</v>
      </c>
    </row>
    <row r="1475" spans="1:18" x14ac:dyDescent="0.3">
      <c r="A1475">
        <f t="shared" si="116"/>
        <v>1458</v>
      </c>
      <c r="B1475" s="4"/>
      <c r="I1475" s="8"/>
      <c r="J1475" s="5" t="str">
        <f t="shared" si="119"/>
        <v/>
      </c>
      <c r="K1475" s="3"/>
      <c r="L1475" s="3" t="str">
        <f t="shared" si="118"/>
        <v/>
      </c>
      <c r="N1475" s="3" t="str">
        <f t="shared" si="117"/>
        <v/>
      </c>
      <c r="O1475" s="6" t="str">
        <f t="shared" si="120"/>
        <v/>
      </c>
      <c r="P1475" s="7">
        <f ca="1">SUMIFS($N$2:$N1475,$B$2:$B1475,"&lt;&gt;"&amp;B1475)+SUM($Q$2:$Q1475)</f>
        <v>135.05500000000001</v>
      </c>
      <c r="R1475" t="b">
        <f>AND(ISNUMBER(FIND($E1475,Tables!$I$2)), ISNUMBER(FIND($D1475,Tables!$J$2)), $E1475&lt;&gt;"")</f>
        <v>0</v>
      </c>
    </row>
    <row r="1476" spans="1:18" x14ac:dyDescent="0.3">
      <c r="A1476">
        <f t="shared" si="116"/>
        <v>1459</v>
      </c>
      <c r="B1476" s="4"/>
      <c r="I1476" s="8"/>
      <c r="J1476" s="5" t="str">
        <f t="shared" si="119"/>
        <v/>
      </c>
      <c r="K1476" s="3"/>
      <c r="L1476" s="3" t="str">
        <f t="shared" si="118"/>
        <v/>
      </c>
      <c r="N1476" s="3" t="str">
        <f t="shared" si="117"/>
        <v/>
      </c>
      <c r="O1476" s="6" t="str">
        <f t="shared" si="120"/>
        <v/>
      </c>
      <c r="P1476" s="7">
        <f ca="1">SUMIFS($N$2:$N1476,$B$2:$B1476,"&lt;&gt;"&amp;B1476)+SUM($Q$2:$Q1476)</f>
        <v>135.05500000000001</v>
      </c>
      <c r="R1476" t="b">
        <f>AND(ISNUMBER(FIND($E1476,Tables!$I$2)), ISNUMBER(FIND($D1476,Tables!$J$2)), $E1476&lt;&gt;"")</f>
        <v>0</v>
      </c>
    </row>
    <row r="1477" spans="1:18" x14ac:dyDescent="0.3">
      <c r="A1477">
        <f t="shared" si="116"/>
        <v>1460</v>
      </c>
      <c r="B1477" s="4"/>
      <c r="I1477" s="8"/>
      <c r="J1477" s="5" t="str">
        <f t="shared" si="119"/>
        <v/>
      </c>
      <c r="K1477" s="3"/>
      <c r="L1477" s="3" t="str">
        <f t="shared" si="118"/>
        <v/>
      </c>
      <c r="N1477" s="3" t="str">
        <f t="shared" si="117"/>
        <v/>
      </c>
      <c r="O1477" s="6" t="str">
        <f t="shared" si="120"/>
        <v/>
      </c>
      <c r="P1477" s="7">
        <f ca="1">SUMIFS($N$2:$N1477,$B$2:$B1477,"&lt;&gt;"&amp;B1477)+SUM($Q$2:$Q1477)</f>
        <v>135.05500000000001</v>
      </c>
      <c r="R1477" t="b">
        <f>AND(ISNUMBER(FIND($E1477,Tables!$I$2)), ISNUMBER(FIND($D1477,Tables!$J$2)), $E1477&lt;&gt;"")</f>
        <v>0</v>
      </c>
    </row>
    <row r="1478" spans="1:18" x14ac:dyDescent="0.3">
      <c r="A1478">
        <f t="shared" si="116"/>
        <v>1461</v>
      </c>
      <c r="B1478" s="4"/>
      <c r="I1478" s="8"/>
      <c r="J1478" s="5" t="str">
        <f t="shared" si="119"/>
        <v/>
      </c>
      <c r="K1478" s="3"/>
      <c r="L1478" s="3" t="str">
        <f t="shared" si="118"/>
        <v/>
      </c>
      <c r="N1478" s="3" t="str">
        <f t="shared" si="117"/>
        <v/>
      </c>
      <c r="O1478" s="6" t="str">
        <f t="shared" si="120"/>
        <v/>
      </c>
      <c r="P1478" s="7">
        <f ca="1">SUMIFS($N$2:$N1478,$B$2:$B1478,"&lt;&gt;"&amp;B1478)+SUM($Q$2:$Q1478)</f>
        <v>135.05500000000001</v>
      </c>
      <c r="R1478" t="b">
        <f>AND(ISNUMBER(FIND($E1478,Tables!$I$2)), ISNUMBER(FIND($D1478,Tables!$J$2)), $E1478&lt;&gt;"")</f>
        <v>0</v>
      </c>
    </row>
    <row r="1479" spans="1:18" x14ac:dyDescent="0.3">
      <c r="A1479">
        <f t="shared" si="116"/>
        <v>1462</v>
      </c>
      <c r="B1479" s="4"/>
      <c r="I1479" s="8"/>
      <c r="J1479" s="5" t="str">
        <f t="shared" si="119"/>
        <v/>
      </c>
      <c r="K1479" s="3"/>
      <c r="L1479" s="3" t="str">
        <f t="shared" si="118"/>
        <v/>
      </c>
      <c r="N1479" s="3" t="str">
        <f t="shared" si="117"/>
        <v/>
      </c>
      <c r="O1479" s="6" t="str">
        <f t="shared" si="120"/>
        <v/>
      </c>
      <c r="P1479" s="7">
        <f ca="1">SUMIFS($N$2:$N1479,$B$2:$B1479,"&lt;&gt;"&amp;B1479)+SUM($Q$2:$Q1479)</f>
        <v>135.05500000000001</v>
      </c>
      <c r="R1479" t="b">
        <f>AND(ISNUMBER(FIND($E1479,Tables!$I$2)), ISNUMBER(FIND($D1479,Tables!$J$2)), $E1479&lt;&gt;"")</f>
        <v>0</v>
      </c>
    </row>
    <row r="1480" spans="1:18" x14ac:dyDescent="0.3">
      <c r="A1480">
        <f t="shared" si="116"/>
        <v>1463</v>
      </c>
      <c r="B1480" s="4"/>
      <c r="I1480" s="8"/>
      <c r="J1480" s="5" t="str">
        <f t="shared" si="119"/>
        <v/>
      </c>
      <c r="K1480" s="3"/>
      <c r="L1480" s="3" t="str">
        <f t="shared" si="118"/>
        <v/>
      </c>
      <c r="N1480" s="3" t="str">
        <f t="shared" si="117"/>
        <v/>
      </c>
      <c r="O1480" s="6" t="str">
        <f t="shared" si="120"/>
        <v/>
      </c>
      <c r="P1480" s="7">
        <f ca="1">SUMIFS($N$2:$N1480,$B$2:$B1480,"&lt;&gt;"&amp;B1480)+SUM($Q$2:$Q1480)</f>
        <v>135.05500000000001</v>
      </c>
      <c r="R1480" t="b">
        <f>AND(ISNUMBER(FIND($E1480,Tables!$I$2)), ISNUMBER(FIND($D1480,Tables!$J$2)), $E1480&lt;&gt;"")</f>
        <v>0</v>
      </c>
    </row>
    <row r="1481" spans="1:18" x14ac:dyDescent="0.3">
      <c r="A1481">
        <f t="shared" si="116"/>
        <v>1464</v>
      </c>
      <c r="B1481" s="4"/>
      <c r="I1481" s="8"/>
      <c r="J1481" s="5" t="str">
        <f t="shared" si="119"/>
        <v/>
      </c>
      <c r="K1481" s="3"/>
      <c r="L1481" s="3" t="str">
        <f t="shared" si="118"/>
        <v/>
      </c>
      <c r="N1481" s="3" t="str">
        <f t="shared" si="117"/>
        <v/>
      </c>
      <c r="O1481" s="6" t="str">
        <f t="shared" si="120"/>
        <v/>
      </c>
      <c r="P1481" s="7">
        <f ca="1">SUMIFS($N$2:$N1481,$B$2:$B1481,"&lt;&gt;"&amp;B1481)+SUM($Q$2:$Q1481)</f>
        <v>135.05500000000001</v>
      </c>
      <c r="R1481" t="b">
        <f>AND(ISNUMBER(FIND($E1481,Tables!$I$2)), ISNUMBER(FIND($D1481,Tables!$J$2)), $E1481&lt;&gt;"")</f>
        <v>0</v>
      </c>
    </row>
    <row r="1482" spans="1:18" x14ac:dyDescent="0.3">
      <c r="A1482">
        <f t="shared" si="116"/>
        <v>1465</v>
      </c>
      <c r="B1482" s="4"/>
      <c r="I1482" s="8"/>
      <c r="J1482" s="5" t="str">
        <f t="shared" si="119"/>
        <v/>
      </c>
      <c r="K1482" s="3"/>
      <c r="L1482" s="3" t="str">
        <f t="shared" si="118"/>
        <v/>
      </c>
      <c r="N1482" s="3" t="str">
        <f t="shared" si="117"/>
        <v/>
      </c>
      <c r="O1482" s="6" t="str">
        <f t="shared" si="120"/>
        <v/>
      </c>
      <c r="P1482" s="7">
        <f ca="1">SUMIFS($N$2:$N1482,$B$2:$B1482,"&lt;&gt;"&amp;B1482)+SUM($Q$2:$Q1482)</f>
        <v>135.05500000000001</v>
      </c>
      <c r="R1482" t="b">
        <f>AND(ISNUMBER(FIND($E1482,Tables!$I$2)), ISNUMBER(FIND($D1482,Tables!$J$2)), $E1482&lt;&gt;"")</f>
        <v>0</v>
      </c>
    </row>
    <row r="1483" spans="1:18" x14ac:dyDescent="0.3">
      <c r="A1483">
        <f t="shared" si="116"/>
        <v>1466</v>
      </c>
      <c r="B1483" s="4"/>
      <c r="I1483" s="8"/>
      <c r="J1483" s="5" t="str">
        <f t="shared" si="119"/>
        <v/>
      </c>
      <c r="K1483" s="3"/>
      <c r="L1483" s="3" t="str">
        <f t="shared" si="118"/>
        <v/>
      </c>
      <c r="N1483" s="3" t="str">
        <f t="shared" si="117"/>
        <v/>
      </c>
      <c r="O1483" s="6" t="str">
        <f t="shared" si="120"/>
        <v/>
      </c>
      <c r="P1483" s="7">
        <f ca="1">SUMIFS($N$2:$N1483,$B$2:$B1483,"&lt;&gt;"&amp;B1483)+SUM($Q$2:$Q1483)</f>
        <v>135.05500000000001</v>
      </c>
      <c r="R1483" t="b">
        <f>AND(ISNUMBER(FIND($E1483,Tables!$I$2)), ISNUMBER(FIND($D1483,Tables!$J$2)), $E1483&lt;&gt;"")</f>
        <v>0</v>
      </c>
    </row>
    <row r="1484" spans="1:18" x14ac:dyDescent="0.3">
      <c r="A1484">
        <f t="shared" si="116"/>
        <v>1467</v>
      </c>
      <c r="B1484" s="4"/>
      <c r="I1484" s="8"/>
      <c r="J1484" s="5" t="str">
        <f t="shared" si="119"/>
        <v/>
      </c>
      <c r="K1484" s="3"/>
      <c r="L1484" s="3" t="str">
        <f t="shared" si="118"/>
        <v/>
      </c>
      <c r="N1484" s="3" t="str">
        <f t="shared" si="117"/>
        <v/>
      </c>
      <c r="O1484" s="6" t="str">
        <f t="shared" si="120"/>
        <v/>
      </c>
      <c r="P1484" s="7">
        <f ca="1">SUMIFS($N$2:$N1484,$B$2:$B1484,"&lt;&gt;"&amp;B1484)+SUM($Q$2:$Q1484)</f>
        <v>135.05500000000001</v>
      </c>
      <c r="R1484" t="b">
        <f>AND(ISNUMBER(FIND($E1484,Tables!$I$2)), ISNUMBER(FIND($D1484,Tables!$J$2)), $E1484&lt;&gt;"")</f>
        <v>0</v>
      </c>
    </row>
    <row r="1485" spans="1:18" x14ac:dyDescent="0.3">
      <c r="A1485">
        <f t="shared" si="116"/>
        <v>1468</v>
      </c>
      <c r="B1485" s="4"/>
      <c r="I1485" s="8"/>
      <c r="J1485" s="5" t="str">
        <f t="shared" si="119"/>
        <v/>
      </c>
      <c r="K1485" s="3"/>
      <c r="L1485" s="3" t="str">
        <f t="shared" si="118"/>
        <v/>
      </c>
      <c r="N1485" s="3" t="str">
        <f t="shared" si="117"/>
        <v/>
      </c>
      <c r="O1485" s="6" t="str">
        <f t="shared" si="120"/>
        <v/>
      </c>
      <c r="P1485" s="7">
        <f ca="1">SUMIFS($N$2:$N1485,$B$2:$B1485,"&lt;&gt;"&amp;B1485)+SUM($Q$2:$Q1485)</f>
        <v>135.05500000000001</v>
      </c>
      <c r="R1485" t="b">
        <f>AND(ISNUMBER(FIND($E1485,Tables!$I$2)), ISNUMBER(FIND($D1485,Tables!$J$2)), $E1485&lt;&gt;"")</f>
        <v>0</v>
      </c>
    </row>
    <row r="1486" spans="1:18" x14ac:dyDescent="0.3">
      <c r="A1486">
        <f t="shared" si="116"/>
        <v>1469</v>
      </c>
      <c r="B1486" s="4"/>
      <c r="I1486" s="8"/>
      <c r="J1486" s="5" t="str">
        <f t="shared" si="119"/>
        <v/>
      </c>
      <c r="K1486" s="3"/>
      <c r="L1486" s="3" t="str">
        <f t="shared" si="118"/>
        <v/>
      </c>
      <c r="N1486" s="3" t="str">
        <f t="shared" si="117"/>
        <v/>
      </c>
      <c r="O1486" s="6" t="str">
        <f t="shared" si="120"/>
        <v/>
      </c>
      <c r="P1486" s="7">
        <f ca="1">SUMIFS($N$2:$N1486,$B$2:$B1486,"&lt;&gt;"&amp;B1486)+SUM($Q$2:$Q1486)</f>
        <v>135.05500000000001</v>
      </c>
      <c r="R1486" t="b">
        <f>AND(ISNUMBER(FIND($E1486,Tables!$I$2)), ISNUMBER(FIND($D1486,Tables!$J$2)), $E1486&lt;&gt;"")</f>
        <v>0</v>
      </c>
    </row>
    <row r="1487" spans="1:18" x14ac:dyDescent="0.3">
      <c r="A1487">
        <f t="shared" si="116"/>
        <v>1470</v>
      </c>
      <c r="B1487" s="4"/>
      <c r="I1487" s="8"/>
      <c r="J1487" s="5" t="str">
        <f t="shared" si="119"/>
        <v/>
      </c>
      <c r="K1487" s="3"/>
      <c r="L1487" s="3" t="str">
        <f t="shared" si="118"/>
        <v/>
      </c>
      <c r="N1487" s="3" t="str">
        <f t="shared" si="117"/>
        <v/>
      </c>
      <c r="O1487" s="6" t="str">
        <f t="shared" si="120"/>
        <v/>
      </c>
      <c r="P1487" s="7">
        <f ca="1">SUMIFS($N$2:$N1487,$B$2:$B1487,"&lt;&gt;"&amp;B1487)+SUM($Q$2:$Q1487)</f>
        <v>135.05500000000001</v>
      </c>
      <c r="R1487" t="b">
        <f>AND(ISNUMBER(FIND($E1487,Tables!$I$2)), ISNUMBER(FIND($D1487,Tables!$J$2)), $E1487&lt;&gt;"")</f>
        <v>0</v>
      </c>
    </row>
    <row r="1488" spans="1:18" x14ac:dyDescent="0.3">
      <c r="A1488">
        <f t="shared" si="116"/>
        <v>1471</v>
      </c>
      <c r="B1488" s="4"/>
      <c r="I1488" s="8"/>
      <c r="J1488" s="5" t="str">
        <f t="shared" si="119"/>
        <v/>
      </c>
      <c r="K1488" s="3"/>
      <c r="L1488" s="3" t="str">
        <f t="shared" si="118"/>
        <v/>
      </c>
      <c r="N1488" s="3" t="str">
        <f t="shared" si="117"/>
        <v/>
      </c>
      <c r="O1488" s="6" t="str">
        <f t="shared" si="120"/>
        <v/>
      </c>
      <c r="P1488" s="7">
        <f ca="1">SUMIFS($N$2:$N1488,$B$2:$B1488,"&lt;&gt;"&amp;B1488)+SUM($Q$2:$Q1488)</f>
        <v>135.05500000000001</v>
      </c>
      <c r="R1488" t="b">
        <f>AND(ISNUMBER(FIND($E1488,Tables!$I$2)), ISNUMBER(FIND($D1488,Tables!$J$2)), $E1488&lt;&gt;"")</f>
        <v>0</v>
      </c>
    </row>
    <row r="1489" spans="1:18" x14ac:dyDescent="0.3">
      <c r="A1489">
        <f t="shared" si="116"/>
        <v>1472</v>
      </c>
      <c r="B1489" s="4"/>
      <c r="I1489" s="8"/>
      <c r="J1489" s="5" t="str">
        <f t="shared" si="119"/>
        <v/>
      </c>
      <c r="K1489" s="3"/>
      <c r="L1489" s="3" t="str">
        <f t="shared" si="118"/>
        <v/>
      </c>
      <c r="N1489" s="3" t="str">
        <f t="shared" si="117"/>
        <v/>
      </c>
      <c r="O1489" s="6" t="str">
        <f t="shared" si="120"/>
        <v/>
      </c>
      <c r="P1489" s="7">
        <f ca="1">SUMIFS($N$2:$N1489,$B$2:$B1489,"&lt;&gt;"&amp;B1489)+SUM($Q$2:$Q1489)</f>
        <v>135.05500000000001</v>
      </c>
      <c r="R1489" t="b">
        <f>AND(ISNUMBER(FIND($E1489,Tables!$I$2)), ISNUMBER(FIND($D1489,Tables!$J$2)), $E1489&lt;&gt;"")</f>
        <v>0</v>
      </c>
    </row>
    <row r="1490" spans="1:18" x14ac:dyDescent="0.3">
      <c r="A1490">
        <f t="shared" si="116"/>
        <v>1473</v>
      </c>
      <c r="B1490" s="4"/>
      <c r="I1490" s="8"/>
      <c r="J1490" s="5" t="str">
        <f t="shared" si="119"/>
        <v/>
      </c>
      <c r="K1490" s="3"/>
      <c r="L1490" s="3" t="str">
        <f t="shared" si="118"/>
        <v/>
      </c>
      <c r="N1490" s="3" t="str">
        <f t="shared" si="117"/>
        <v/>
      </c>
      <c r="O1490" s="6" t="str">
        <f t="shared" si="120"/>
        <v/>
      </c>
      <c r="P1490" s="7">
        <f ca="1">SUMIFS($N$2:$N1490,$B$2:$B1490,"&lt;&gt;"&amp;B1490)+SUM($Q$2:$Q1490)</f>
        <v>135.05500000000001</v>
      </c>
      <c r="R1490" t="b">
        <f>AND(ISNUMBER(FIND($E1490,Tables!$I$2)), ISNUMBER(FIND($D1490,Tables!$J$2)), $E1490&lt;&gt;"")</f>
        <v>0</v>
      </c>
    </row>
    <row r="1491" spans="1:18" x14ac:dyDescent="0.3">
      <c r="A1491">
        <f t="shared" si="116"/>
        <v>1474</v>
      </c>
      <c r="B1491" s="4"/>
      <c r="I1491" s="8"/>
      <c r="J1491" s="5" t="str">
        <f t="shared" si="119"/>
        <v/>
      </c>
      <c r="K1491" s="3"/>
      <c r="L1491" s="3" t="str">
        <f t="shared" si="118"/>
        <v/>
      </c>
      <c r="N1491" s="3" t="str">
        <f t="shared" si="117"/>
        <v/>
      </c>
      <c r="O1491" s="6" t="str">
        <f t="shared" si="120"/>
        <v/>
      </c>
      <c r="P1491" s="7">
        <f ca="1">SUMIFS($N$2:$N1491,$B$2:$B1491,"&lt;&gt;"&amp;B1491)+SUM($Q$2:$Q1491)</f>
        <v>135.05500000000001</v>
      </c>
      <c r="R1491" t="b">
        <f>AND(ISNUMBER(FIND($E1491,Tables!$I$2)), ISNUMBER(FIND($D1491,Tables!$J$2)), $E1491&lt;&gt;"")</f>
        <v>0</v>
      </c>
    </row>
    <row r="1492" spans="1:18" x14ac:dyDescent="0.3">
      <c r="A1492">
        <f t="shared" si="116"/>
        <v>1475</v>
      </c>
      <c r="B1492" s="4"/>
      <c r="I1492" s="8"/>
      <c r="J1492" s="5" t="str">
        <f t="shared" si="119"/>
        <v/>
      </c>
      <c r="K1492" s="3"/>
      <c r="L1492" s="3" t="str">
        <f t="shared" si="118"/>
        <v/>
      </c>
      <c r="N1492" s="3" t="str">
        <f t="shared" si="117"/>
        <v/>
      </c>
      <c r="O1492" s="6" t="str">
        <f t="shared" si="120"/>
        <v/>
      </c>
      <c r="P1492" s="7">
        <f ca="1">SUMIFS($N$2:$N1492,$B$2:$B1492,"&lt;&gt;"&amp;B1492)+SUM($Q$2:$Q1492)</f>
        <v>135.05500000000001</v>
      </c>
      <c r="R1492" t="b">
        <f>AND(ISNUMBER(FIND($E1492,Tables!$I$2)), ISNUMBER(FIND($D1492,Tables!$J$2)), $E1492&lt;&gt;"")</f>
        <v>0</v>
      </c>
    </row>
    <row r="1493" spans="1:18" x14ac:dyDescent="0.3">
      <c r="A1493">
        <f t="shared" si="116"/>
        <v>1476</v>
      </c>
      <c r="B1493" s="4"/>
      <c r="I1493" s="8"/>
      <c r="J1493" s="5" t="str">
        <f t="shared" si="119"/>
        <v/>
      </c>
      <c r="K1493" s="3"/>
      <c r="L1493" s="3" t="str">
        <f t="shared" si="118"/>
        <v/>
      </c>
      <c r="N1493" s="3" t="str">
        <f t="shared" si="117"/>
        <v/>
      </c>
      <c r="O1493" s="6" t="str">
        <f t="shared" si="120"/>
        <v/>
      </c>
      <c r="P1493" s="7">
        <f ca="1">SUMIFS($N$2:$N1493,$B$2:$B1493,"&lt;&gt;"&amp;B1493)+SUM($Q$2:$Q1493)</f>
        <v>135.05500000000001</v>
      </c>
      <c r="R1493" t="b">
        <f>AND(ISNUMBER(FIND($E1493,Tables!$I$2)), ISNUMBER(FIND($D1493,Tables!$J$2)), $E1493&lt;&gt;"")</f>
        <v>0</v>
      </c>
    </row>
    <row r="1494" spans="1:18" x14ac:dyDescent="0.3">
      <c r="A1494">
        <f t="shared" si="116"/>
        <v>1477</v>
      </c>
      <c r="B1494" s="4"/>
      <c r="I1494" s="8"/>
      <c r="J1494" s="5" t="str">
        <f t="shared" si="119"/>
        <v/>
      </c>
      <c r="K1494" s="3"/>
      <c r="L1494" s="3" t="str">
        <f t="shared" si="118"/>
        <v/>
      </c>
      <c r="N1494" s="3" t="str">
        <f t="shared" si="117"/>
        <v/>
      </c>
      <c r="O1494" s="6" t="str">
        <f t="shared" si="120"/>
        <v/>
      </c>
      <c r="P1494" s="7">
        <f ca="1">SUMIFS($N$2:$N1494,$B$2:$B1494,"&lt;&gt;"&amp;B1494)+SUM($Q$2:$Q1494)</f>
        <v>135.05500000000001</v>
      </c>
      <c r="R1494" t="b">
        <f>AND(ISNUMBER(FIND($E1494,Tables!$I$2)), ISNUMBER(FIND($D1494,Tables!$J$2)), $E1494&lt;&gt;"")</f>
        <v>0</v>
      </c>
    </row>
    <row r="1495" spans="1:18" x14ac:dyDescent="0.3">
      <c r="A1495">
        <f t="shared" si="116"/>
        <v>1478</v>
      </c>
      <c r="B1495" s="4"/>
      <c r="I1495" s="8"/>
      <c r="J1495" s="5" t="str">
        <f t="shared" si="119"/>
        <v/>
      </c>
      <c r="K1495" s="3"/>
      <c r="L1495" s="3" t="str">
        <f t="shared" si="118"/>
        <v/>
      </c>
      <c r="N1495" s="3" t="str">
        <f t="shared" si="117"/>
        <v/>
      </c>
      <c r="O1495" s="6" t="str">
        <f t="shared" si="120"/>
        <v/>
      </c>
      <c r="P1495" s="7">
        <f ca="1">SUMIFS($N$2:$N1495,$B$2:$B1495,"&lt;&gt;"&amp;B1495)+SUM($Q$2:$Q1495)</f>
        <v>135.05500000000001</v>
      </c>
      <c r="R1495" t="b">
        <f>AND(ISNUMBER(FIND($E1495,Tables!$I$2)), ISNUMBER(FIND($D1495,Tables!$J$2)), $E1495&lt;&gt;"")</f>
        <v>0</v>
      </c>
    </row>
    <row r="1496" spans="1:18" x14ac:dyDescent="0.3">
      <c r="A1496">
        <f t="shared" si="116"/>
        <v>1479</v>
      </c>
      <c r="B1496" s="4"/>
      <c r="I1496" s="8"/>
      <c r="J1496" s="5" t="str">
        <f t="shared" si="119"/>
        <v/>
      </c>
      <c r="K1496" s="3"/>
      <c r="L1496" s="3" t="str">
        <f t="shared" si="118"/>
        <v/>
      </c>
      <c r="N1496" s="3" t="str">
        <f t="shared" si="117"/>
        <v/>
      </c>
      <c r="O1496" s="6" t="str">
        <f t="shared" si="120"/>
        <v/>
      </c>
      <c r="P1496" s="7">
        <f ca="1">SUMIFS($N$2:$N1496,$B$2:$B1496,"&lt;&gt;"&amp;B1496)+SUM($Q$2:$Q1496)</f>
        <v>135.05500000000001</v>
      </c>
      <c r="R1496" t="b">
        <f>AND(ISNUMBER(FIND($E1496,Tables!$I$2)), ISNUMBER(FIND($D1496,Tables!$J$2)), $E1496&lt;&gt;"")</f>
        <v>0</v>
      </c>
    </row>
    <row r="1497" spans="1:18" x14ac:dyDescent="0.3">
      <c r="A1497">
        <f t="shared" si="116"/>
        <v>1480</v>
      </c>
      <c r="B1497" s="4"/>
      <c r="I1497" s="8"/>
      <c r="J1497" s="5" t="str">
        <f t="shared" si="119"/>
        <v/>
      </c>
      <c r="K1497" s="3"/>
      <c r="L1497" s="3" t="str">
        <f t="shared" si="118"/>
        <v/>
      </c>
      <c r="N1497" s="3" t="str">
        <f t="shared" si="117"/>
        <v/>
      </c>
      <c r="O1497" s="6" t="str">
        <f t="shared" si="120"/>
        <v/>
      </c>
      <c r="P1497" s="7">
        <f ca="1">SUMIFS($N$2:$N1497,$B$2:$B1497,"&lt;&gt;"&amp;B1497)+SUM($Q$2:$Q1497)</f>
        <v>135.05500000000001</v>
      </c>
      <c r="R1497" t="b">
        <f>AND(ISNUMBER(FIND($E1497,Tables!$I$2)), ISNUMBER(FIND($D1497,Tables!$J$2)), $E1497&lt;&gt;"")</f>
        <v>0</v>
      </c>
    </row>
    <row r="1498" spans="1:18" x14ac:dyDescent="0.3">
      <c r="A1498">
        <f t="shared" si="116"/>
        <v>1481</v>
      </c>
      <c r="B1498" s="4"/>
      <c r="I1498" s="8"/>
      <c r="J1498" s="5" t="str">
        <f t="shared" si="119"/>
        <v/>
      </c>
      <c r="K1498" s="3"/>
      <c r="L1498" s="3" t="str">
        <f t="shared" si="118"/>
        <v/>
      </c>
      <c r="N1498" s="3" t="str">
        <f t="shared" si="117"/>
        <v/>
      </c>
      <c r="O1498" s="6" t="str">
        <f t="shared" si="120"/>
        <v/>
      </c>
      <c r="P1498" s="7">
        <f ca="1">SUMIFS($N$2:$N1498,$B$2:$B1498,"&lt;&gt;"&amp;B1498)+SUM($Q$2:$Q1498)</f>
        <v>135.05500000000001</v>
      </c>
      <c r="R1498" t="b">
        <f>AND(ISNUMBER(FIND($E1498,Tables!$I$2)), ISNUMBER(FIND($D1498,Tables!$J$2)), $E1498&lt;&gt;"")</f>
        <v>0</v>
      </c>
    </row>
    <row r="1499" spans="1:18" x14ac:dyDescent="0.3">
      <c r="A1499">
        <f t="shared" si="116"/>
        <v>1482</v>
      </c>
      <c r="B1499" s="4"/>
      <c r="I1499" s="8"/>
      <c r="J1499" s="5" t="str">
        <f t="shared" si="119"/>
        <v/>
      </c>
      <c r="K1499" s="3"/>
      <c r="L1499" s="3" t="str">
        <f t="shared" si="118"/>
        <v/>
      </c>
      <c r="N1499" s="3" t="str">
        <f t="shared" si="117"/>
        <v/>
      </c>
      <c r="O1499" s="6" t="str">
        <f t="shared" si="120"/>
        <v/>
      </c>
      <c r="P1499" s="7">
        <f ca="1">SUMIFS($N$2:$N1499,$B$2:$B1499,"&lt;&gt;"&amp;B1499)+SUM($Q$2:$Q1499)</f>
        <v>135.05500000000001</v>
      </c>
      <c r="R1499" t="b">
        <f>AND(ISNUMBER(FIND($E1499,Tables!$I$2)), ISNUMBER(FIND($D1499,Tables!$J$2)), $E1499&lt;&gt;"")</f>
        <v>0</v>
      </c>
    </row>
    <row r="1500" spans="1:18" x14ac:dyDescent="0.3">
      <c r="A1500">
        <f t="shared" si="116"/>
        <v>1483</v>
      </c>
      <c r="B1500" s="4"/>
      <c r="I1500" s="8"/>
      <c r="J1500" s="5" t="str">
        <f t="shared" si="119"/>
        <v/>
      </c>
      <c r="K1500" s="3"/>
      <c r="L1500" s="3" t="str">
        <f t="shared" si="118"/>
        <v/>
      </c>
      <c r="N1500" s="3" t="str">
        <f t="shared" si="117"/>
        <v/>
      </c>
      <c r="O1500" s="6" t="str">
        <f t="shared" si="120"/>
        <v/>
      </c>
      <c r="P1500" s="7">
        <f ca="1">SUMIFS($N$2:$N1500,$B$2:$B1500,"&lt;&gt;"&amp;B1500)+SUM($Q$2:$Q1500)</f>
        <v>135.05500000000001</v>
      </c>
      <c r="R1500" t="b">
        <f>AND(ISNUMBER(FIND($E1500,Tables!$I$2)), ISNUMBER(FIND($D1500,Tables!$J$2)), $E1500&lt;&gt;"")</f>
        <v>0</v>
      </c>
    </row>
    <row r="1501" spans="1:18" x14ac:dyDescent="0.3">
      <c r="A1501">
        <f t="shared" si="116"/>
        <v>1484</v>
      </c>
      <c r="B1501" s="4"/>
      <c r="I1501" s="8"/>
      <c r="J1501" s="5" t="str">
        <f t="shared" si="119"/>
        <v/>
      </c>
      <c r="K1501" s="3"/>
      <c r="L1501" s="3" t="str">
        <f t="shared" si="118"/>
        <v/>
      </c>
      <c r="N1501" s="3" t="str">
        <f t="shared" si="117"/>
        <v/>
      </c>
      <c r="O1501" s="6" t="str">
        <f t="shared" si="120"/>
        <v/>
      </c>
      <c r="P1501" s="7">
        <f ca="1">SUMIFS($N$2:$N1501,$B$2:$B1501,"&lt;&gt;"&amp;B1501)+SUM($Q$2:$Q1501)</f>
        <v>135.05500000000001</v>
      </c>
      <c r="R1501" t="b">
        <f>AND(ISNUMBER(FIND($E1501,Tables!$I$2)), ISNUMBER(FIND($D1501,Tables!$J$2)), $E1501&lt;&gt;"")</f>
        <v>0</v>
      </c>
    </row>
    <row r="1502" spans="1:18" x14ac:dyDescent="0.3">
      <c r="A1502">
        <f t="shared" si="116"/>
        <v>1485</v>
      </c>
      <c r="B1502" s="4"/>
      <c r="I1502" s="8"/>
      <c r="J1502" s="5" t="str">
        <f t="shared" si="119"/>
        <v/>
      </c>
      <c r="K1502" s="3"/>
      <c r="L1502" s="3" t="str">
        <f t="shared" si="118"/>
        <v/>
      </c>
      <c r="N1502" s="3" t="str">
        <f t="shared" si="117"/>
        <v/>
      </c>
      <c r="O1502" s="6" t="str">
        <f t="shared" si="120"/>
        <v/>
      </c>
      <c r="P1502" s="7">
        <f ca="1">SUMIFS($N$2:$N1502,$B$2:$B1502,"&lt;&gt;"&amp;B1502)+SUM($Q$2:$Q1502)</f>
        <v>135.05500000000001</v>
      </c>
      <c r="R1502" t="b">
        <f>AND(ISNUMBER(FIND($E1502,Tables!$I$2)), ISNUMBER(FIND($D1502,Tables!$J$2)), $E1502&lt;&gt;"")</f>
        <v>0</v>
      </c>
    </row>
    <row r="1503" spans="1:18" x14ac:dyDescent="0.3">
      <c r="A1503">
        <f t="shared" si="116"/>
        <v>1486</v>
      </c>
      <c r="B1503" s="4"/>
      <c r="I1503" s="8"/>
      <c r="J1503" s="5" t="str">
        <f t="shared" si="119"/>
        <v/>
      </c>
      <c r="K1503" s="3"/>
      <c r="L1503" s="3" t="str">
        <f t="shared" si="118"/>
        <v/>
      </c>
      <c r="N1503" s="3" t="str">
        <f t="shared" si="117"/>
        <v/>
      </c>
      <c r="O1503" s="6" t="str">
        <f t="shared" si="120"/>
        <v/>
      </c>
      <c r="P1503" s="7">
        <f ca="1">SUMIFS($N$2:$N1503,$B$2:$B1503,"&lt;&gt;"&amp;B1503)+SUM($Q$2:$Q1503)</f>
        <v>135.05500000000001</v>
      </c>
      <c r="R1503" t="b">
        <f>AND(ISNUMBER(FIND($E1503,Tables!$I$2)), ISNUMBER(FIND($D1503,Tables!$J$2)), $E1503&lt;&gt;"")</f>
        <v>0</v>
      </c>
    </row>
    <row r="1504" spans="1:18" x14ac:dyDescent="0.3">
      <c r="A1504">
        <f t="shared" si="116"/>
        <v>1487</v>
      </c>
      <c r="B1504" s="4"/>
      <c r="I1504" s="8"/>
      <c r="J1504" s="5" t="str">
        <f t="shared" si="119"/>
        <v/>
      </c>
      <c r="K1504" s="3"/>
      <c r="L1504" s="3" t="str">
        <f t="shared" si="118"/>
        <v/>
      </c>
      <c r="N1504" s="3" t="str">
        <f t="shared" si="117"/>
        <v/>
      </c>
      <c r="O1504" s="6" t="str">
        <f t="shared" si="120"/>
        <v/>
      </c>
      <c r="P1504" s="7">
        <f ca="1">SUMIFS($N$2:$N1504,$B$2:$B1504,"&lt;&gt;"&amp;B1504)+SUM($Q$2:$Q1504)</f>
        <v>135.05500000000001</v>
      </c>
      <c r="R1504" t="b">
        <f>AND(ISNUMBER(FIND($E1504,Tables!$I$2)), ISNUMBER(FIND($D1504,Tables!$J$2)), $E1504&lt;&gt;"")</f>
        <v>0</v>
      </c>
    </row>
    <row r="1505" spans="1:18" x14ac:dyDescent="0.3">
      <c r="A1505">
        <f t="shared" si="116"/>
        <v>1488</v>
      </c>
      <c r="B1505" s="4"/>
      <c r="I1505" s="8"/>
      <c r="J1505" s="5" t="str">
        <f t="shared" si="119"/>
        <v/>
      </c>
      <c r="K1505" s="3"/>
      <c r="L1505" s="3" t="str">
        <f t="shared" si="118"/>
        <v/>
      </c>
      <c r="N1505" s="3" t="str">
        <f t="shared" si="117"/>
        <v/>
      </c>
      <c r="O1505" s="6" t="str">
        <f t="shared" si="120"/>
        <v/>
      </c>
      <c r="P1505" s="7">
        <f ca="1">SUMIFS($N$2:$N1505,$B$2:$B1505,"&lt;&gt;"&amp;B1505)+SUM($Q$2:$Q1505)</f>
        <v>135.05500000000001</v>
      </c>
      <c r="R1505" t="b">
        <f>AND(ISNUMBER(FIND($E1505,Tables!$I$2)), ISNUMBER(FIND($D1505,Tables!$J$2)), $E1505&lt;&gt;"")</f>
        <v>0</v>
      </c>
    </row>
    <row r="1506" spans="1:18" x14ac:dyDescent="0.3">
      <c r="A1506">
        <f t="shared" ref="A1506:A1569" si="121">IF(AND(B1506="", D1506&lt;&gt;""), A1505, A1505+1)</f>
        <v>1489</v>
      </c>
      <c r="B1506" s="4"/>
      <c r="I1506" s="8"/>
      <c r="J1506" s="5" t="str">
        <f t="shared" si="119"/>
        <v/>
      </c>
      <c r="K1506" s="3"/>
      <c r="L1506" s="3" t="str">
        <f t="shared" si="118"/>
        <v/>
      </c>
      <c r="N1506" s="3" t="str">
        <f t="shared" si="117"/>
        <v/>
      </c>
      <c r="O1506" s="6" t="str">
        <f t="shared" si="120"/>
        <v/>
      </c>
      <c r="P1506" s="7">
        <f ca="1">SUMIFS($N$2:$N1506,$B$2:$B1506,"&lt;&gt;"&amp;B1506)+SUM($Q$2:$Q1506)</f>
        <v>135.05500000000001</v>
      </c>
      <c r="R1506" t="b">
        <f>AND(ISNUMBER(FIND($E1506,Tables!$I$2)), ISNUMBER(FIND($D1506,Tables!$J$2)), $E1506&lt;&gt;"")</f>
        <v>0</v>
      </c>
    </row>
    <row r="1507" spans="1:18" x14ac:dyDescent="0.3">
      <c r="A1507">
        <f t="shared" si="121"/>
        <v>1490</v>
      </c>
      <c r="B1507" s="4"/>
      <c r="I1507" s="8"/>
      <c r="J1507" s="5" t="str">
        <f t="shared" si="119"/>
        <v/>
      </c>
      <c r="K1507" s="3"/>
      <c r="L1507" s="3" t="str">
        <f t="shared" si="118"/>
        <v/>
      </c>
      <c r="N1507" s="3" t="str">
        <f t="shared" si="117"/>
        <v/>
      </c>
      <c r="O1507" s="6" t="str">
        <f t="shared" si="120"/>
        <v/>
      </c>
      <c r="P1507" s="7">
        <f ca="1">SUMIFS($N$2:$N1507,$B$2:$B1507,"&lt;&gt;"&amp;B1507)+SUM($Q$2:$Q1507)</f>
        <v>135.05500000000001</v>
      </c>
      <c r="R1507" t="b">
        <f>AND(ISNUMBER(FIND($E1507,Tables!$I$2)), ISNUMBER(FIND($D1507,Tables!$J$2)), $E1507&lt;&gt;"")</f>
        <v>0</v>
      </c>
    </row>
    <row r="1508" spans="1:18" x14ac:dyDescent="0.3">
      <c r="A1508">
        <f t="shared" si="121"/>
        <v>1491</v>
      </c>
      <c r="B1508" s="4"/>
      <c r="I1508" s="8"/>
      <c r="J1508" s="5" t="str">
        <f t="shared" si="119"/>
        <v/>
      </c>
      <c r="K1508" s="3"/>
      <c r="L1508" s="3" t="str">
        <f t="shared" si="118"/>
        <v/>
      </c>
      <c r="N1508" s="3" t="str">
        <f t="shared" si="117"/>
        <v/>
      </c>
      <c r="O1508" s="6" t="str">
        <f t="shared" si="120"/>
        <v/>
      </c>
      <c r="P1508" s="7">
        <f ca="1">SUMIFS($N$2:$N1508,$B$2:$B1508,"&lt;&gt;"&amp;B1508)+SUM($Q$2:$Q1508)</f>
        <v>135.05500000000001</v>
      </c>
      <c r="R1508" t="b">
        <f>AND(ISNUMBER(FIND($E1508,Tables!$I$2)), ISNUMBER(FIND($D1508,Tables!$J$2)), $E1508&lt;&gt;"")</f>
        <v>0</v>
      </c>
    </row>
    <row r="1509" spans="1:18" x14ac:dyDescent="0.3">
      <c r="A1509">
        <f t="shared" si="121"/>
        <v>1492</v>
      </c>
      <c r="B1509" s="4"/>
      <c r="I1509" s="8"/>
      <c r="J1509" s="5" t="str">
        <f t="shared" si="119"/>
        <v/>
      </c>
      <c r="K1509" s="3"/>
      <c r="L1509" s="3" t="str">
        <f t="shared" si="118"/>
        <v/>
      </c>
      <c r="N1509" s="3" t="str">
        <f t="shared" si="117"/>
        <v/>
      </c>
      <c r="O1509" s="6" t="str">
        <f t="shared" si="120"/>
        <v/>
      </c>
      <c r="P1509" s="7">
        <f ca="1">SUMIFS($N$2:$N1509,$B$2:$B1509,"&lt;&gt;"&amp;B1509)+SUM($Q$2:$Q1509)</f>
        <v>135.05500000000001</v>
      </c>
      <c r="R1509" t="b">
        <f>AND(ISNUMBER(FIND($E1509,Tables!$I$2)), ISNUMBER(FIND($D1509,Tables!$J$2)), $E1509&lt;&gt;"")</f>
        <v>0</v>
      </c>
    </row>
    <row r="1510" spans="1:18" x14ac:dyDescent="0.3">
      <c r="A1510">
        <f t="shared" si="121"/>
        <v>1493</v>
      </c>
      <c r="B1510" s="4"/>
      <c r="I1510" s="8"/>
      <c r="J1510" s="5" t="str">
        <f t="shared" si="119"/>
        <v/>
      </c>
      <c r="K1510" s="3"/>
      <c r="L1510" s="3" t="str">
        <f t="shared" si="118"/>
        <v/>
      </c>
      <c r="N1510" s="3" t="str">
        <f t="shared" si="117"/>
        <v/>
      </c>
      <c r="O1510" s="6" t="str">
        <f t="shared" si="120"/>
        <v/>
      </c>
      <c r="P1510" s="7">
        <f ca="1">SUMIFS($N$2:$N1510,$B$2:$B1510,"&lt;&gt;"&amp;B1510)+SUM($Q$2:$Q1510)</f>
        <v>135.05500000000001</v>
      </c>
      <c r="R1510" t="b">
        <f>AND(ISNUMBER(FIND($E1510,Tables!$I$2)), ISNUMBER(FIND($D1510,Tables!$J$2)), $E1510&lt;&gt;"")</f>
        <v>0</v>
      </c>
    </row>
    <row r="1511" spans="1:18" x14ac:dyDescent="0.3">
      <c r="A1511">
        <f t="shared" si="121"/>
        <v>1494</v>
      </c>
      <c r="B1511" s="4"/>
      <c r="I1511" s="8"/>
      <c r="J1511" s="5" t="str">
        <f t="shared" si="119"/>
        <v/>
      </c>
      <c r="K1511" s="3"/>
      <c r="L1511" s="3" t="str">
        <f t="shared" si="118"/>
        <v/>
      </c>
      <c r="N1511" s="3" t="str">
        <f t="shared" si="117"/>
        <v/>
      </c>
      <c r="O1511" s="6" t="str">
        <f t="shared" si="120"/>
        <v/>
      </c>
      <c r="P1511" s="7">
        <f ca="1">SUMIFS($N$2:$N1511,$B$2:$B1511,"&lt;&gt;"&amp;B1511)+SUM($Q$2:$Q1511)</f>
        <v>135.05500000000001</v>
      </c>
      <c r="R1511" t="b">
        <f>AND(ISNUMBER(FIND($E1511,Tables!$I$2)), ISNUMBER(FIND($D1511,Tables!$J$2)), $E1511&lt;&gt;"")</f>
        <v>0</v>
      </c>
    </row>
    <row r="1512" spans="1:18" x14ac:dyDescent="0.3">
      <c r="A1512">
        <f t="shared" si="121"/>
        <v>1495</v>
      </c>
      <c r="B1512" s="4"/>
      <c r="I1512" s="8"/>
      <c r="J1512" s="5" t="str">
        <f t="shared" si="119"/>
        <v/>
      </c>
      <c r="K1512" s="3"/>
      <c r="L1512" s="3" t="str">
        <f t="shared" si="118"/>
        <v/>
      </c>
      <c r="N1512" s="3" t="str">
        <f t="shared" ref="N1512:N1575" si="122">IF(L1512 = "", "", IF(M1512="", "", IF(OR(M1512="Draw",M1512="NC"), 0, IF(M1512="win", L1512, -1*K1512))))</f>
        <v/>
      </c>
      <c r="O1512" s="6" t="str">
        <f t="shared" si="120"/>
        <v/>
      </c>
      <c r="P1512" s="7">
        <f ca="1">SUMIFS($N$2:$N1512,$B$2:$B1512,"&lt;&gt;"&amp;B1512)+SUM($Q$2:$Q1512)</f>
        <v>135.05500000000001</v>
      </c>
      <c r="R1512" t="b">
        <f>AND(ISNUMBER(FIND($E1512,Tables!$I$2)), ISNUMBER(FIND($D1512,Tables!$J$2)), $E1512&lt;&gt;"")</f>
        <v>0</v>
      </c>
    </row>
    <row r="1513" spans="1:18" x14ac:dyDescent="0.3">
      <c r="A1513">
        <f t="shared" si="121"/>
        <v>1496</v>
      </c>
      <c r="B1513" s="4"/>
      <c r="I1513" s="8"/>
      <c r="J1513" s="5" t="str">
        <f t="shared" si="119"/>
        <v/>
      </c>
      <c r="K1513" s="3"/>
      <c r="L1513" s="3" t="str">
        <f t="shared" si="118"/>
        <v/>
      </c>
      <c r="N1513" s="3" t="str">
        <f t="shared" si="122"/>
        <v/>
      </c>
      <c r="O1513" s="6" t="str">
        <f t="shared" si="120"/>
        <v/>
      </c>
      <c r="P1513" s="7">
        <f ca="1">SUMIFS($N$2:$N1513,$B$2:$B1513,"&lt;&gt;"&amp;B1513)+SUM($Q$2:$Q1513)</f>
        <v>135.05500000000001</v>
      </c>
      <c r="R1513" t="b">
        <f>AND(ISNUMBER(FIND($E1513,Tables!$I$2)), ISNUMBER(FIND($D1513,Tables!$J$2)), $E1513&lt;&gt;"")</f>
        <v>0</v>
      </c>
    </row>
    <row r="1514" spans="1:18" x14ac:dyDescent="0.3">
      <c r="A1514">
        <f t="shared" si="121"/>
        <v>1497</v>
      </c>
      <c r="B1514" s="4"/>
      <c r="I1514" s="8"/>
      <c r="J1514" s="5" t="str">
        <f t="shared" si="119"/>
        <v/>
      </c>
      <c r="K1514" s="3"/>
      <c r="L1514" s="3" t="str">
        <f t="shared" si="118"/>
        <v/>
      </c>
      <c r="N1514" s="3" t="str">
        <f t="shared" si="122"/>
        <v/>
      </c>
      <c r="O1514" s="6" t="str">
        <f t="shared" si="120"/>
        <v/>
      </c>
      <c r="P1514" s="7">
        <f ca="1">SUMIFS($N$2:$N1514,$B$2:$B1514,"&lt;&gt;"&amp;B1514)+SUM($Q$2:$Q1514)</f>
        <v>135.05500000000001</v>
      </c>
      <c r="R1514" t="b">
        <f>AND(ISNUMBER(FIND($E1514,Tables!$I$2)), ISNUMBER(FIND($D1514,Tables!$J$2)), $E1514&lt;&gt;"")</f>
        <v>0</v>
      </c>
    </row>
    <row r="1515" spans="1:18" x14ac:dyDescent="0.3">
      <c r="A1515">
        <f t="shared" si="121"/>
        <v>1498</v>
      </c>
      <c r="B1515" s="4"/>
      <c r="I1515" s="8"/>
      <c r="J1515" s="5" t="str">
        <f t="shared" si="119"/>
        <v/>
      </c>
      <c r="K1515" s="3"/>
      <c r="L1515" s="3" t="str">
        <f t="shared" si="118"/>
        <v/>
      </c>
      <c r="N1515" s="3" t="str">
        <f t="shared" si="122"/>
        <v/>
      </c>
      <c r="O1515" s="6" t="str">
        <f t="shared" si="120"/>
        <v/>
      </c>
      <c r="P1515" s="7">
        <f ca="1">SUMIFS($N$2:$N1515,$B$2:$B1515,"&lt;&gt;"&amp;B1515)+SUM($Q$2:$Q1515)</f>
        <v>135.05500000000001</v>
      </c>
      <c r="R1515" t="b">
        <f>AND(ISNUMBER(FIND($E1515,Tables!$I$2)), ISNUMBER(FIND($D1515,Tables!$J$2)), $E1515&lt;&gt;"")</f>
        <v>0</v>
      </c>
    </row>
    <row r="1516" spans="1:18" x14ac:dyDescent="0.3">
      <c r="A1516">
        <f t="shared" si="121"/>
        <v>1499</v>
      </c>
      <c r="B1516" s="4"/>
      <c r="I1516" s="8"/>
      <c r="J1516" s="5" t="str">
        <f t="shared" si="119"/>
        <v/>
      </c>
      <c r="K1516" s="3"/>
      <c r="L1516" s="3" t="str">
        <f t="shared" si="118"/>
        <v/>
      </c>
      <c r="N1516" s="3" t="str">
        <f t="shared" si="122"/>
        <v/>
      </c>
      <c r="O1516" s="6" t="str">
        <f t="shared" si="120"/>
        <v/>
      </c>
      <c r="P1516" s="7">
        <f ca="1">SUMIFS($N$2:$N1516,$B$2:$B1516,"&lt;&gt;"&amp;B1516)+SUM($Q$2:$Q1516)</f>
        <v>135.05500000000001</v>
      </c>
      <c r="R1516" t="b">
        <f>AND(ISNUMBER(FIND($E1516,Tables!$I$2)), ISNUMBER(FIND($D1516,Tables!$J$2)), $E1516&lt;&gt;"")</f>
        <v>0</v>
      </c>
    </row>
    <row r="1517" spans="1:18" x14ac:dyDescent="0.3">
      <c r="A1517">
        <f t="shared" si="121"/>
        <v>1500</v>
      </c>
      <c r="B1517" s="4"/>
      <c r="I1517" s="8"/>
      <c r="J1517" s="5" t="str">
        <f t="shared" si="119"/>
        <v/>
      </c>
      <c r="K1517" s="3"/>
      <c r="L1517" s="3" t="str">
        <f t="shared" si="118"/>
        <v/>
      </c>
      <c r="N1517" s="3" t="str">
        <f t="shared" si="122"/>
        <v/>
      </c>
      <c r="O1517" s="6" t="str">
        <f t="shared" si="120"/>
        <v/>
      </c>
      <c r="P1517" s="7">
        <f ca="1">SUMIFS($N$2:$N1517,$B$2:$B1517,"&lt;&gt;"&amp;B1517)+SUM($Q$2:$Q1517)</f>
        <v>135.05500000000001</v>
      </c>
      <c r="R1517" t="b">
        <f>AND(ISNUMBER(FIND($E1517,Tables!$I$2)), ISNUMBER(FIND($D1517,Tables!$J$2)), $E1517&lt;&gt;"")</f>
        <v>0</v>
      </c>
    </row>
    <row r="1518" spans="1:18" x14ac:dyDescent="0.3">
      <c r="A1518">
        <f t="shared" si="121"/>
        <v>1501</v>
      </c>
      <c r="B1518" s="4"/>
      <c r="I1518" s="8"/>
      <c r="J1518" s="5" t="str">
        <f t="shared" si="119"/>
        <v/>
      </c>
      <c r="K1518" s="3"/>
      <c r="L1518" s="3" t="str">
        <f t="shared" si="118"/>
        <v/>
      </c>
      <c r="N1518" s="3" t="str">
        <f t="shared" si="122"/>
        <v/>
      </c>
      <c r="O1518" s="6" t="str">
        <f t="shared" si="120"/>
        <v/>
      </c>
      <c r="P1518" s="7">
        <f ca="1">SUMIFS($N$2:$N1518,$B$2:$B1518,"&lt;&gt;"&amp;B1518)+SUM($Q$2:$Q1518)</f>
        <v>135.05500000000001</v>
      </c>
      <c r="R1518" t="b">
        <f>AND(ISNUMBER(FIND($E1518,Tables!$I$2)), ISNUMBER(FIND($D1518,Tables!$J$2)), $E1518&lt;&gt;"")</f>
        <v>0</v>
      </c>
    </row>
    <row r="1519" spans="1:18" x14ac:dyDescent="0.3">
      <c r="A1519">
        <f t="shared" si="121"/>
        <v>1502</v>
      </c>
      <c r="B1519" s="4"/>
      <c r="I1519" s="8"/>
      <c r="J1519" s="5" t="str">
        <f t="shared" si="119"/>
        <v/>
      </c>
      <c r="K1519" s="3"/>
      <c r="L1519" s="3" t="str">
        <f t="shared" si="118"/>
        <v/>
      </c>
      <c r="N1519" s="3" t="str">
        <f t="shared" si="122"/>
        <v/>
      </c>
      <c r="O1519" s="6" t="str">
        <f t="shared" si="120"/>
        <v/>
      </c>
      <c r="P1519" s="7">
        <f ca="1">SUMIFS($N$2:$N1519,$B$2:$B1519,"&lt;&gt;"&amp;B1519)+SUM($Q$2:$Q1519)</f>
        <v>135.05500000000001</v>
      </c>
      <c r="R1519" t="b">
        <f>AND(ISNUMBER(FIND($E1519,Tables!$I$2)), ISNUMBER(FIND($D1519,Tables!$J$2)), $E1519&lt;&gt;"")</f>
        <v>0</v>
      </c>
    </row>
    <row r="1520" spans="1:18" x14ac:dyDescent="0.3">
      <c r="A1520">
        <f t="shared" si="121"/>
        <v>1503</v>
      </c>
      <c r="B1520" s="4"/>
      <c r="I1520" s="8"/>
      <c r="J1520" s="5" t="str">
        <f t="shared" si="119"/>
        <v/>
      </c>
      <c r="K1520" s="3"/>
      <c r="L1520" s="3" t="str">
        <f t="shared" si="118"/>
        <v/>
      </c>
      <c r="N1520" s="3" t="str">
        <f t="shared" si="122"/>
        <v/>
      </c>
      <c r="O1520" s="6" t="str">
        <f t="shared" si="120"/>
        <v/>
      </c>
      <c r="P1520" s="7">
        <f ca="1">SUMIFS($N$2:$N1520,$B$2:$B1520,"&lt;&gt;"&amp;B1520)+SUM($Q$2:$Q1520)</f>
        <v>135.05500000000001</v>
      </c>
      <c r="R1520" t="b">
        <f>AND(ISNUMBER(FIND($E1520,Tables!$I$2)), ISNUMBER(FIND($D1520,Tables!$J$2)), $E1520&lt;&gt;"")</f>
        <v>0</v>
      </c>
    </row>
    <row r="1521" spans="1:18" x14ac:dyDescent="0.3">
      <c r="A1521">
        <f t="shared" si="121"/>
        <v>1504</v>
      </c>
      <c r="B1521" s="4"/>
      <c r="I1521" s="8"/>
      <c r="J1521" s="5" t="str">
        <f t="shared" si="119"/>
        <v/>
      </c>
      <c r="K1521" s="3"/>
      <c r="L1521" s="3" t="str">
        <f t="shared" si="118"/>
        <v/>
      </c>
      <c r="N1521" s="3" t="str">
        <f t="shared" si="122"/>
        <v/>
      </c>
      <c r="O1521" s="6" t="str">
        <f t="shared" si="120"/>
        <v/>
      </c>
      <c r="P1521" s="7">
        <f ca="1">SUMIFS($N$2:$N1521,$B$2:$B1521,"&lt;&gt;"&amp;B1521)+SUM($Q$2:$Q1521)</f>
        <v>135.05500000000001</v>
      </c>
      <c r="R1521" t="b">
        <f>AND(ISNUMBER(FIND($E1521,Tables!$I$2)), ISNUMBER(FIND($D1521,Tables!$J$2)), $E1521&lt;&gt;"")</f>
        <v>0</v>
      </c>
    </row>
    <row r="1522" spans="1:18" x14ac:dyDescent="0.3">
      <c r="A1522">
        <f t="shared" si="121"/>
        <v>1505</v>
      </c>
      <c r="B1522" s="4"/>
      <c r="I1522" s="8"/>
      <c r="J1522" s="5" t="str">
        <f t="shared" si="119"/>
        <v/>
      </c>
      <c r="K1522" s="3"/>
      <c r="L1522" s="3" t="str">
        <f t="shared" ref="L1522:L1585" si="123">IFERROR(IF(K1522=0, "", IF(I1522&gt;0, K1522/100*I1522,K1522/I1522*-100)), "")</f>
        <v/>
      </c>
      <c r="N1522" s="3" t="str">
        <f t="shared" si="122"/>
        <v/>
      </c>
      <c r="O1522" s="6" t="str">
        <f t="shared" si="120"/>
        <v/>
      </c>
      <c r="P1522" s="7">
        <f ca="1">SUMIFS($N$2:$N1522,$B$2:$B1522,"&lt;&gt;"&amp;B1522)+SUM($Q$2:$Q1522)</f>
        <v>135.05500000000001</v>
      </c>
      <c r="R1522" t="b">
        <f>AND(ISNUMBER(FIND($E1522,Tables!$I$2)), ISNUMBER(FIND($D1522,Tables!$J$2)), $E1522&lt;&gt;"")</f>
        <v>0</v>
      </c>
    </row>
    <row r="1523" spans="1:18" x14ac:dyDescent="0.3">
      <c r="A1523">
        <f t="shared" si="121"/>
        <v>1506</v>
      </c>
      <c r="B1523" s="4"/>
      <c r="I1523" s="8"/>
      <c r="J1523" s="5" t="str">
        <f t="shared" si="119"/>
        <v/>
      </c>
      <c r="K1523" s="3"/>
      <c r="L1523" s="3" t="str">
        <f t="shared" si="123"/>
        <v/>
      </c>
      <c r="N1523" s="3" t="str">
        <f t="shared" si="122"/>
        <v/>
      </c>
      <c r="O1523" s="6" t="str">
        <f t="shared" si="120"/>
        <v/>
      </c>
      <c r="P1523" s="7">
        <f ca="1">SUMIFS($N$2:$N1523,$B$2:$B1523,"&lt;&gt;"&amp;B1523)+SUM($Q$2:$Q1523)</f>
        <v>135.05500000000001</v>
      </c>
      <c r="R1523" t="b">
        <f>AND(ISNUMBER(FIND($E1523,Tables!$I$2)), ISNUMBER(FIND($D1523,Tables!$J$2)), $E1523&lt;&gt;"")</f>
        <v>0</v>
      </c>
    </row>
    <row r="1524" spans="1:18" x14ac:dyDescent="0.3">
      <c r="A1524">
        <f t="shared" si="121"/>
        <v>1507</v>
      </c>
      <c r="B1524" s="4"/>
      <c r="I1524" s="8"/>
      <c r="J1524" s="5" t="str">
        <f t="shared" si="119"/>
        <v/>
      </c>
      <c r="K1524" s="3"/>
      <c r="L1524" s="3" t="str">
        <f t="shared" si="123"/>
        <v/>
      </c>
      <c r="N1524" s="3" t="str">
        <f t="shared" si="122"/>
        <v/>
      </c>
      <c r="O1524" s="6" t="str">
        <f t="shared" si="120"/>
        <v/>
      </c>
      <c r="P1524" s="7">
        <f ca="1">SUMIFS($N$2:$N1524,$B$2:$B1524,"&lt;&gt;"&amp;B1524)+SUM($Q$2:$Q1524)</f>
        <v>135.05500000000001</v>
      </c>
      <c r="R1524" t="b">
        <f>AND(ISNUMBER(FIND($E1524,Tables!$I$2)), ISNUMBER(FIND($D1524,Tables!$J$2)), $E1524&lt;&gt;"")</f>
        <v>0</v>
      </c>
    </row>
    <row r="1525" spans="1:18" x14ac:dyDescent="0.3">
      <c r="A1525">
        <f t="shared" si="121"/>
        <v>1508</v>
      </c>
      <c r="B1525" s="4"/>
      <c r="I1525" s="8"/>
      <c r="J1525" s="5" t="str">
        <f t="shared" si="119"/>
        <v/>
      </c>
      <c r="K1525" s="3"/>
      <c r="L1525" s="3" t="str">
        <f t="shared" si="123"/>
        <v/>
      </c>
      <c r="N1525" s="3" t="str">
        <f t="shared" si="122"/>
        <v/>
      </c>
      <c r="O1525" s="6" t="str">
        <f t="shared" si="120"/>
        <v/>
      </c>
      <c r="P1525" s="7">
        <f ca="1">SUMIFS($N$2:$N1525,$B$2:$B1525,"&lt;&gt;"&amp;B1525)+SUM($Q$2:$Q1525)</f>
        <v>135.05500000000001</v>
      </c>
      <c r="R1525" t="b">
        <f>AND(ISNUMBER(FIND($E1525,Tables!$I$2)), ISNUMBER(FIND($D1525,Tables!$J$2)), $E1525&lt;&gt;"")</f>
        <v>0</v>
      </c>
    </row>
    <row r="1526" spans="1:18" x14ac:dyDescent="0.3">
      <c r="A1526">
        <f t="shared" si="121"/>
        <v>1509</v>
      </c>
      <c r="B1526" s="4"/>
      <c r="I1526" s="8"/>
      <c r="J1526" s="5" t="str">
        <f t="shared" si="119"/>
        <v/>
      </c>
      <c r="K1526" s="3"/>
      <c r="L1526" s="3" t="str">
        <f t="shared" si="123"/>
        <v/>
      </c>
      <c r="N1526" s="3" t="str">
        <f t="shared" si="122"/>
        <v/>
      </c>
      <c r="O1526" s="6" t="str">
        <f t="shared" si="120"/>
        <v/>
      </c>
      <c r="P1526" s="7">
        <f ca="1">SUMIFS($N$2:$N1526,$B$2:$B1526,"&lt;&gt;"&amp;B1526)+SUM($Q$2:$Q1526)</f>
        <v>135.05500000000001</v>
      </c>
      <c r="R1526" t="b">
        <f>AND(ISNUMBER(FIND($E1526,Tables!$I$2)), ISNUMBER(FIND($D1526,Tables!$J$2)), $E1526&lt;&gt;"")</f>
        <v>0</v>
      </c>
    </row>
    <row r="1527" spans="1:18" x14ac:dyDescent="0.3">
      <c r="A1527">
        <f t="shared" si="121"/>
        <v>1510</v>
      </c>
      <c r="B1527" s="4"/>
      <c r="I1527" s="8"/>
      <c r="J1527" s="5" t="str">
        <f t="shared" si="119"/>
        <v/>
      </c>
      <c r="K1527" s="3"/>
      <c r="L1527" s="3" t="str">
        <f t="shared" si="123"/>
        <v/>
      </c>
      <c r="N1527" s="3" t="str">
        <f t="shared" si="122"/>
        <v/>
      </c>
      <c r="O1527" s="6" t="str">
        <f t="shared" si="120"/>
        <v/>
      </c>
      <c r="P1527" s="7">
        <f ca="1">SUMIFS($N$2:$N1527,$B$2:$B1527,"&lt;&gt;"&amp;B1527)+SUM($Q$2:$Q1527)</f>
        <v>135.05500000000001</v>
      </c>
      <c r="R1527" t="b">
        <f>AND(ISNUMBER(FIND($E1527,Tables!$I$2)), ISNUMBER(FIND($D1527,Tables!$J$2)), $E1527&lt;&gt;"")</f>
        <v>0</v>
      </c>
    </row>
    <row r="1528" spans="1:18" x14ac:dyDescent="0.3">
      <c r="A1528">
        <f t="shared" si="121"/>
        <v>1511</v>
      </c>
      <c r="B1528" s="4"/>
      <c r="I1528" s="8"/>
      <c r="J1528" s="5" t="str">
        <f t="shared" si="119"/>
        <v/>
      </c>
      <c r="K1528" s="3"/>
      <c r="L1528" s="3" t="str">
        <f t="shared" si="123"/>
        <v/>
      </c>
      <c r="N1528" s="3" t="str">
        <f t="shared" si="122"/>
        <v/>
      </c>
      <c r="O1528" s="6" t="str">
        <f t="shared" si="120"/>
        <v/>
      </c>
      <c r="P1528" s="7">
        <f ca="1">SUMIFS($N$2:$N1528,$B$2:$B1528,"&lt;&gt;"&amp;B1528)+SUM($Q$2:$Q1528)</f>
        <v>135.05500000000001</v>
      </c>
      <c r="R1528" t="b">
        <f>AND(ISNUMBER(FIND($E1528,Tables!$I$2)), ISNUMBER(FIND($D1528,Tables!$J$2)), $E1528&lt;&gt;"")</f>
        <v>0</v>
      </c>
    </row>
    <row r="1529" spans="1:18" x14ac:dyDescent="0.3">
      <c r="A1529">
        <f t="shared" si="121"/>
        <v>1512</v>
      </c>
      <c r="B1529" s="4"/>
      <c r="I1529" s="8"/>
      <c r="J1529" s="5" t="str">
        <f t="shared" si="119"/>
        <v/>
      </c>
      <c r="K1529" s="3"/>
      <c r="L1529" s="3" t="str">
        <f t="shared" si="123"/>
        <v/>
      </c>
      <c r="N1529" s="3" t="str">
        <f t="shared" si="122"/>
        <v/>
      </c>
      <c r="O1529" s="6" t="str">
        <f t="shared" si="120"/>
        <v/>
      </c>
      <c r="P1529" s="7">
        <f ca="1">SUMIFS($N$2:$N1529,$B$2:$B1529,"&lt;&gt;"&amp;B1529)+SUM($Q$2:$Q1529)</f>
        <v>135.05500000000001</v>
      </c>
      <c r="R1529" t="b">
        <f>AND(ISNUMBER(FIND($E1529,Tables!$I$2)), ISNUMBER(FIND($D1529,Tables!$J$2)), $E1529&lt;&gt;"")</f>
        <v>0</v>
      </c>
    </row>
    <row r="1530" spans="1:18" x14ac:dyDescent="0.3">
      <c r="A1530">
        <f t="shared" si="121"/>
        <v>1513</v>
      </c>
      <c r="B1530" s="4"/>
      <c r="I1530" s="8"/>
      <c r="J1530" s="5" t="str">
        <f t="shared" si="119"/>
        <v/>
      </c>
      <c r="K1530" s="3"/>
      <c r="L1530" s="3" t="str">
        <f t="shared" si="123"/>
        <v/>
      </c>
      <c r="N1530" s="3" t="str">
        <f t="shared" si="122"/>
        <v/>
      </c>
      <c r="O1530" s="6" t="str">
        <f t="shared" si="120"/>
        <v/>
      </c>
      <c r="P1530" s="7">
        <f ca="1">SUMIFS($N$2:$N1530,$B$2:$B1530,"&lt;&gt;"&amp;B1530)+SUM($Q$2:$Q1530)</f>
        <v>135.05500000000001</v>
      </c>
      <c r="R1530" t="b">
        <f>AND(ISNUMBER(FIND($E1530,Tables!$I$2)), ISNUMBER(FIND($D1530,Tables!$J$2)), $E1530&lt;&gt;"")</f>
        <v>0</v>
      </c>
    </row>
    <row r="1531" spans="1:18" x14ac:dyDescent="0.3">
      <c r="A1531">
        <f t="shared" si="121"/>
        <v>1514</v>
      </c>
      <c r="B1531" s="4"/>
      <c r="I1531" s="8"/>
      <c r="J1531" s="5" t="str">
        <f t="shared" si="119"/>
        <v/>
      </c>
      <c r="K1531" s="3"/>
      <c r="L1531" s="3" t="str">
        <f t="shared" si="123"/>
        <v/>
      </c>
      <c r="N1531" s="3" t="str">
        <f t="shared" si="122"/>
        <v/>
      </c>
      <c r="O1531" s="6" t="str">
        <f t="shared" si="120"/>
        <v/>
      </c>
      <c r="P1531" s="7">
        <f ca="1">SUMIFS($N$2:$N1531,$B$2:$B1531,"&lt;&gt;"&amp;B1531)+SUM($Q$2:$Q1531)</f>
        <v>135.05500000000001</v>
      </c>
      <c r="R1531" t="b">
        <f>AND(ISNUMBER(FIND($E1531,Tables!$I$2)), ISNUMBER(FIND($D1531,Tables!$J$2)), $E1531&lt;&gt;"")</f>
        <v>0</v>
      </c>
    </row>
    <row r="1532" spans="1:18" x14ac:dyDescent="0.3">
      <c r="A1532">
        <f t="shared" si="121"/>
        <v>1515</v>
      </c>
      <c r="B1532" s="4"/>
      <c r="I1532" s="8"/>
      <c r="J1532" s="5" t="str">
        <f t="shared" si="119"/>
        <v/>
      </c>
      <c r="K1532" s="3"/>
      <c r="L1532" s="3" t="str">
        <f t="shared" si="123"/>
        <v/>
      </c>
      <c r="N1532" s="3" t="str">
        <f t="shared" si="122"/>
        <v/>
      </c>
      <c r="O1532" s="6" t="str">
        <f t="shared" si="120"/>
        <v/>
      </c>
      <c r="P1532" s="7">
        <f ca="1">SUMIFS($N$2:$N1532,$B$2:$B1532,"&lt;&gt;"&amp;B1532)+SUM($Q$2:$Q1532)</f>
        <v>135.05500000000001</v>
      </c>
      <c r="R1532" t="b">
        <f>AND(ISNUMBER(FIND($E1532,Tables!$I$2)), ISNUMBER(FIND($D1532,Tables!$J$2)), $E1532&lt;&gt;"")</f>
        <v>0</v>
      </c>
    </row>
    <row r="1533" spans="1:18" x14ac:dyDescent="0.3">
      <c r="A1533">
        <f t="shared" si="121"/>
        <v>1516</v>
      </c>
      <c r="B1533" s="4"/>
      <c r="I1533" s="8"/>
      <c r="J1533" s="5" t="str">
        <f t="shared" si="119"/>
        <v/>
      </c>
      <c r="K1533" s="3"/>
      <c r="L1533" s="3" t="str">
        <f t="shared" si="123"/>
        <v/>
      </c>
      <c r="N1533" s="3" t="str">
        <f t="shared" si="122"/>
        <v/>
      </c>
      <c r="O1533" s="6" t="str">
        <f t="shared" si="120"/>
        <v/>
      </c>
      <c r="P1533" s="7">
        <f ca="1">SUMIFS($N$2:$N1533,$B$2:$B1533,"&lt;&gt;"&amp;B1533)+SUM($Q$2:$Q1533)</f>
        <v>135.05500000000001</v>
      </c>
      <c r="R1533" t="b">
        <f>AND(ISNUMBER(FIND($E1533,Tables!$I$2)), ISNUMBER(FIND($D1533,Tables!$J$2)), $E1533&lt;&gt;"")</f>
        <v>0</v>
      </c>
    </row>
    <row r="1534" spans="1:18" x14ac:dyDescent="0.3">
      <c r="A1534">
        <f t="shared" si="121"/>
        <v>1517</v>
      </c>
      <c r="B1534" s="4"/>
      <c r="I1534" s="8"/>
      <c r="J1534" s="5" t="str">
        <f t="shared" si="119"/>
        <v/>
      </c>
      <c r="K1534" s="3"/>
      <c r="L1534" s="3" t="str">
        <f t="shared" si="123"/>
        <v/>
      </c>
      <c r="N1534" s="3" t="str">
        <f t="shared" si="122"/>
        <v/>
      </c>
      <c r="O1534" s="6" t="str">
        <f t="shared" si="120"/>
        <v/>
      </c>
      <c r="P1534" s="7">
        <f ca="1">SUMIFS($N$2:$N1534,$B$2:$B1534,"&lt;&gt;"&amp;B1534)+SUM($Q$2:$Q1534)</f>
        <v>135.05500000000001</v>
      </c>
      <c r="R1534" t="b">
        <f>AND(ISNUMBER(FIND($E1534,Tables!$I$2)), ISNUMBER(FIND($D1534,Tables!$J$2)), $E1534&lt;&gt;"")</f>
        <v>0</v>
      </c>
    </row>
    <row r="1535" spans="1:18" x14ac:dyDescent="0.3">
      <c r="A1535">
        <f t="shared" si="121"/>
        <v>1518</v>
      </c>
      <c r="B1535" s="4"/>
      <c r="I1535" s="8"/>
      <c r="J1535" s="5" t="str">
        <f t="shared" si="119"/>
        <v/>
      </c>
      <c r="K1535" s="3"/>
      <c r="L1535" s="3" t="str">
        <f t="shared" si="123"/>
        <v/>
      </c>
      <c r="N1535" s="3" t="str">
        <f t="shared" si="122"/>
        <v/>
      </c>
      <c r="O1535" s="6" t="str">
        <f t="shared" si="120"/>
        <v/>
      </c>
      <c r="P1535" s="7">
        <f ca="1">SUMIFS($N$2:$N1535,$B$2:$B1535,"&lt;&gt;"&amp;B1535)+SUM($Q$2:$Q1535)</f>
        <v>135.05500000000001</v>
      </c>
      <c r="R1535" t="b">
        <f>AND(ISNUMBER(FIND($E1535,Tables!$I$2)), ISNUMBER(FIND($D1535,Tables!$J$2)), $E1535&lt;&gt;"")</f>
        <v>0</v>
      </c>
    </row>
    <row r="1536" spans="1:18" x14ac:dyDescent="0.3">
      <c r="A1536">
        <f t="shared" si="121"/>
        <v>1519</v>
      </c>
      <c r="B1536" s="4"/>
      <c r="I1536" s="8"/>
      <c r="J1536" s="5" t="str">
        <f t="shared" si="119"/>
        <v/>
      </c>
      <c r="K1536" s="3"/>
      <c r="L1536" s="3" t="str">
        <f t="shared" si="123"/>
        <v/>
      </c>
      <c r="N1536" s="3" t="str">
        <f t="shared" si="122"/>
        <v/>
      </c>
      <c r="O1536" s="6" t="str">
        <f t="shared" si="120"/>
        <v/>
      </c>
      <c r="P1536" s="7">
        <f ca="1">SUMIFS($N$2:$N1536,$B$2:$B1536,"&lt;&gt;"&amp;B1536)+SUM($Q$2:$Q1536)</f>
        <v>135.05500000000001</v>
      </c>
      <c r="R1536" t="b">
        <f>AND(ISNUMBER(FIND($E1536,Tables!$I$2)), ISNUMBER(FIND($D1536,Tables!$J$2)), $E1536&lt;&gt;"")</f>
        <v>0</v>
      </c>
    </row>
    <row r="1537" spans="1:18" x14ac:dyDescent="0.3">
      <c r="A1537">
        <f t="shared" si="121"/>
        <v>1520</v>
      </c>
      <c r="B1537" s="4"/>
      <c r="I1537" s="8"/>
      <c r="J1537" s="5" t="str">
        <f t="shared" si="119"/>
        <v/>
      </c>
      <c r="K1537" s="3"/>
      <c r="L1537" s="3" t="str">
        <f t="shared" si="123"/>
        <v/>
      </c>
      <c r="N1537" s="3" t="str">
        <f t="shared" si="122"/>
        <v/>
      </c>
      <c r="O1537" s="6" t="str">
        <f t="shared" si="120"/>
        <v/>
      </c>
      <c r="P1537" s="7">
        <f ca="1">SUMIFS($N$2:$N1537,$B$2:$B1537,"&lt;&gt;"&amp;B1537)+SUM($Q$2:$Q1537)</f>
        <v>135.05500000000001</v>
      </c>
      <c r="R1537" t="b">
        <f>AND(ISNUMBER(FIND($E1537,Tables!$I$2)), ISNUMBER(FIND($D1537,Tables!$J$2)), $E1537&lt;&gt;"")</f>
        <v>0</v>
      </c>
    </row>
    <row r="1538" spans="1:18" x14ac:dyDescent="0.3">
      <c r="A1538">
        <f t="shared" si="121"/>
        <v>1521</v>
      </c>
      <c r="B1538" s="4"/>
      <c r="I1538" s="8"/>
      <c r="J1538" s="5" t="str">
        <f t="shared" ref="J1538:J1601" si="124">IF(I1538="", "", IF(I1538&gt;0, I1538/100 +1, -100/I1538 +1))</f>
        <v/>
      </c>
      <c r="K1538" s="3"/>
      <c r="L1538" s="3" t="str">
        <f t="shared" si="123"/>
        <v/>
      </c>
      <c r="N1538" s="3" t="str">
        <f t="shared" si="122"/>
        <v/>
      </c>
      <c r="O1538" s="6" t="str">
        <f t="shared" ref="O1538:O1601" si="125">IFERROR(K1538/VLOOKUP(_xlfn.MINIFS(A:A,B:B,B1538,C:C,C1538),A:P,16),"")</f>
        <v/>
      </c>
      <c r="P1538" s="7">
        <f ca="1">SUMIFS($N$2:$N1538,$B$2:$B1538,"&lt;&gt;"&amp;B1538)+SUM($Q$2:$Q1538)</f>
        <v>135.05500000000001</v>
      </c>
      <c r="R1538" t="b">
        <f>AND(ISNUMBER(FIND($E1538,Tables!$I$2)), ISNUMBER(FIND($D1538,Tables!$J$2)), $E1538&lt;&gt;"")</f>
        <v>0</v>
      </c>
    </row>
    <row r="1539" spans="1:18" x14ac:dyDescent="0.3">
      <c r="A1539">
        <f t="shared" si="121"/>
        <v>1522</v>
      </c>
      <c r="B1539" s="4"/>
      <c r="I1539" s="8"/>
      <c r="J1539" s="5" t="str">
        <f t="shared" si="124"/>
        <v/>
      </c>
      <c r="K1539" s="3"/>
      <c r="L1539" s="3" t="str">
        <f t="shared" si="123"/>
        <v/>
      </c>
      <c r="N1539" s="3" t="str">
        <f t="shared" si="122"/>
        <v/>
      </c>
      <c r="O1539" s="6" t="str">
        <f t="shared" si="125"/>
        <v/>
      </c>
      <c r="P1539" s="7">
        <f ca="1">SUMIFS($N$2:$N1539,$B$2:$B1539,"&lt;&gt;"&amp;B1539)+SUM($Q$2:$Q1539)</f>
        <v>135.05500000000001</v>
      </c>
      <c r="R1539" t="b">
        <f>AND(ISNUMBER(FIND($E1539,Tables!$I$2)), ISNUMBER(FIND($D1539,Tables!$J$2)), $E1539&lt;&gt;"")</f>
        <v>0</v>
      </c>
    </row>
    <row r="1540" spans="1:18" x14ac:dyDescent="0.3">
      <c r="A1540">
        <f t="shared" si="121"/>
        <v>1523</v>
      </c>
      <c r="B1540" s="4"/>
      <c r="I1540" s="8"/>
      <c r="J1540" s="5" t="str">
        <f t="shared" si="124"/>
        <v/>
      </c>
      <c r="K1540" s="3"/>
      <c r="L1540" s="3" t="str">
        <f t="shared" si="123"/>
        <v/>
      </c>
      <c r="N1540" s="3" t="str">
        <f t="shared" si="122"/>
        <v/>
      </c>
      <c r="O1540" s="6" t="str">
        <f t="shared" si="125"/>
        <v/>
      </c>
      <c r="P1540" s="7">
        <f ca="1">SUMIFS($N$2:$N1540,$B$2:$B1540,"&lt;&gt;"&amp;B1540)+SUM($Q$2:$Q1540)</f>
        <v>135.05500000000001</v>
      </c>
      <c r="R1540" t="b">
        <f>AND(ISNUMBER(FIND($E1540,Tables!$I$2)), ISNUMBER(FIND($D1540,Tables!$J$2)), $E1540&lt;&gt;"")</f>
        <v>0</v>
      </c>
    </row>
    <row r="1541" spans="1:18" x14ac:dyDescent="0.3">
      <c r="A1541">
        <f t="shared" si="121"/>
        <v>1524</v>
      </c>
      <c r="B1541" s="4"/>
      <c r="I1541" s="8"/>
      <c r="J1541" s="5" t="str">
        <f t="shared" si="124"/>
        <v/>
      </c>
      <c r="K1541" s="3"/>
      <c r="L1541" s="3" t="str">
        <f t="shared" si="123"/>
        <v/>
      </c>
      <c r="N1541" s="3" t="str">
        <f t="shared" si="122"/>
        <v/>
      </c>
      <c r="O1541" s="6" t="str">
        <f t="shared" si="125"/>
        <v/>
      </c>
      <c r="P1541" s="7">
        <f ca="1">SUMIFS($N$2:$N1541,$B$2:$B1541,"&lt;&gt;"&amp;B1541)+SUM($Q$2:$Q1541)</f>
        <v>135.05500000000001</v>
      </c>
      <c r="R1541" t="b">
        <f>AND(ISNUMBER(FIND($E1541,Tables!$I$2)), ISNUMBER(FIND($D1541,Tables!$J$2)), $E1541&lt;&gt;"")</f>
        <v>0</v>
      </c>
    </row>
    <row r="1542" spans="1:18" x14ac:dyDescent="0.3">
      <c r="A1542">
        <f t="shared" si="121"/>
        <v>1525</v>
      </c>
      <c r="B1542" s="4"/>
      <c r="I1542" s="8"/>
      <c r="J1542" s="5" t="str">
        <f t="shared" si="124"/>
        <v/>
      </c>
      <c r="K1542" s="3"/>
      <c r="L1542" s="3" t="str">
        <f t="shared" si="123"/>
        <v/>
      </c>
      <c r="N1542" s="3" t="str">
        <f t="shared" si="122"/>
        <v/>
      </c>
      <c r="O1542" s="6" t="str">
        <f t="shared" si="125"/>
        <v/>
      </c>
      <c r="P1542" s="7">
        <f ca="1">SUMIFS($N$2:$N1542,$B$2:$B1542,"&lt;&gt;"&amp;B1542)+SUM($Q$2:$Q1542)</f>
        <v>135.05500000000001</v>
      </c>
      <c r="R1542" t="b">
        <f>AND(ISNUMBER(FIND($E1542,Tables!$I$2)), ISNUMBER(FIND($D1542,Tables!$J$2)), $E1542&lt;&gt;"")</f>
        <v>0</v>
      </c>
    </row>
    <row r="1543" spans="1:18" x14ac:dyDescent="0.3">
      <c r="A1543">
        <f t="shared" si="121"/>
        <v>1526</v>
      </c>
      <c r="B1543" s="4"/>
      <c r="I1543" s="8"/>
      <c r="J1543" s="5" t="str">
        <f t="shared" si="124"/>
        <v/>
      </c>
      <c r="K1543" s="3"/>
      <c r="L1543" s="3" t="str">
        <f t="shared" si="123"/>
        <v/>
      </c>
      <c r="N1543" s="3" t="str">
        <f t="shared" si="122"/>
        <v/>
      </c>
      <c r="O1543" s="6" t="str">
        <f t="shared" si="125"/>
        <v/>
      </c>
      <c r="P1543" s="7">
        <f ca="1">SUMIFS($N$2:$N1543,$B$2:$B1543,"&lt;&gt;"&amp;B1543)+SUM($Q$2:$Q1543)</f>
        <v>135.05500000000001</v>
      </c>
      <c r="R1543" t="b">
        <f>AND(ISNUMBER(FIND($E1543,Tables!$I$2)), ISNUMBER(FIND($D1543,Tables!$J$2)), $E1543&lt;&gt;"")</f>
        <v>0</v>
      </c>
    </row>
    <row r="1544" spans="1:18" x14ac:dyDescent="0.3">
      <c r="A1544">
        <f t="shared" si="121"/>
        <v>1527</v>
      </c>
      <c r="B1544" s="4"/>
      <c r="I1544" s="8"/>
      <c r="J1544" s="5" t="str">
        <f t="shared" si="124"/>
        <v/>
      </c>
      <c r="K1544" s="3"/>
      <c r="L1544" s="3" t="str">
        <f t="shared" si="123"/>
        <v/>
      </c>
      <c r="N1544" s="3" t="str">
        <f t="shared" si="122"/>
        <v/>
      </c>
      <c r="O1544" s="6" t="str">
        <f t="shared" si="125"/>
        <v/>
      </c>
      <c r="P1544" s="7">
        <f ca="1">SUMIFS($N$2:$N1544,$B$2:$B1544,"&lt;&gt;"&amp;B1544)+SUM($Q$2:$Q1544)</f>
        <v>135.05500000000001</v>
      </c>
      <c r="R1544" t="b">
        <f>AND(ISNUMBER(FIND($E1544,Tables!$I$2)), ISNUMBER(FIND($D1544,Tables!$J$2)), $E1544&lt;&gt;"")</f>
        <v>0</v>
      </c>
    </row>
    <row r="1545" spans="1:18" x14ac:dyDescent="0.3">
      <c r="A1545">
        <f t="shared" si="121"/>
        <v>1528</v>
      </c>
      <c r="B1545" s="4"/>
      <c r="I1545" s="8"/>
      <c r="J1545" s="5" t="str">
        <f t="shared" si="124"/>
        <v/>
      </c>
      <c r="K1545" s="3"/>
      <c r="L1545" s="3" t="str">
        <f t="shared" si="123"/>
        <v/>
      </c>
      <c r="N1545" s="3" t="str">
        <f t="shared" si="122"/>
        <v/>
      </c>
      <c r="O1545" s="6" t="str">
        <f t="shared" si="125"/>
        <v/>
      </c>
      <c r="P1545" s="7">
        <f ca="1">SUMIFS($N$2:$N1545,$B$2:$B1545,"&lt;&gt;"&amp;B1545)+SUM($Q$2:$Q1545)</f>
        <v>135.05500000000001</v>
      </c>
      <c r="R1545" t="b">
        <f>AND(ISNUMBER(FIND($E1545,Tables!$I$2)), ISNUMBER(FIND($D1545,Tables!$J$2)), $E1545&lt;&gt;"")</f>
        <v>0</v>
      </c>
    </row>
    <row r="1546" spans="1:18" x14ac:dyDescent="0.3">
      <c r="A1546">
        <f t="shared" si="121"/>
        <v>1529</v>
      </c>
      <c r="B1546" s="4"/>
      <c r="I1546" s="8"/>
      <c r="J1546" s="5" t="str">
        <f t="shared" si="124"/>
        <v/>
      </c>
      <c r="K1546" s="3"/>
      <c r="L1546" s="3" t="str">
        <f t="shared" si="123"/>
        <v/>
      </c>
      <c r="N1546" s="3" t="str">
        <f t="shared" si="122"/>
        <v/>
      </c>
      <c r="O1546" s="6" t="str">
        <f t="shared" si="125"/>
        <v/>
      </c>
      <c r="P1546" s="7">
        <f ca="1">SUMIFS($N$2:$N1546,$B$2:$B1546,"&lt;&gt;"&amp;B1546)+SUM($Q$2:$Q1546)</f>
        <v>135.05500000000001</v>
      </c>
      <c r="R1546" t="b">
        <f>AND(ISNUMBER(FIND($E1546,Tables!$I$2)), ISNUMBER(FIND($D1546,Tables!$J$2)), $E1546&lt;&gt;"")</f>
        <v>0</v>
      </c>
    </row>
    <row r="1547" spans="1:18" x14ac:dyDescent="0.3">
      <c r="A1547">
        <f t="shared" si="121"/>
        <v>1530</v>
      </c>
      <c r="B1547" s="4"/>
      <c r="I1547" s="8"/>
      <c r="J1547" s="5" t="str">
        <f t="shared" si="124"/>
        <v/>
      </c>
      <c r="K1547" s="3"/>
      <c r="L1547" s="3" t="str">
        <f t="shared" si="123"/>
        <v/>
      </c>
      <c r="N1547" s="3" t="str">
        <f t="shared" si="122"/>
        <v/>
      </c>
      <c r="O1547" s="6" t="str">
        <f t="shared" si="125"/>
        <v/>
      </c>
      <c r="P1547" s="7">
        <f ca="1">SUMIFS($N$2:$N1547,$B$2:$B1547,"&lt;&gt;"&amp;B1547)+SUM($Q$2:$Q1547)</f>
        <v>135.05500000000001</v>
      </c>
      <c r="R1547" t="b">
        <f>AND(ISNUMBER(FIND($E1547,Tables!$I$2)), ISNUMBER(FIND($D1547,Tables!$J$2)), $E1547&lt;&gt;"")</f>
        <v>0</v>
      </c>
    </row>
    <row r="1548" spans="1:18" x14ac:dyDescent="0.3">
      <c r="A1548">
        <f t="shared" si="121"/>
        <v>1531</v>
      </c>
      <c r="B1548" s="4"/>
      <c r="I1548" s="8"/>
      <c r="J1548" s="5" t="str">
        <f t="shared" si="124"/>
        <v/>
      </c>
      <c r="K1548" s="3"/>
      <c r="L1548" s="3" t="str">
        <f t="shared" si="123"/>
        <v/>
      </c>
      <c r="N1548" s="3" t="str">
        <f t="shared" si="122"/>
        <v/>
      </c>
      <c r="O1548" s="6" t="str">
        <f t="shared" si="125"/>
        <v/>
      </c>
      <c r="P1548" s="7">
        <f ca="1">SUMIFS($N$2:$N1548,$B$2:$B1548,"&lt;&gt;"&amp;B1548)+SUM($Q$2:$Q1548)</f>
        <v>135.05500000000001</v>
      </c>
      <c r="R1548" t="b">
        <f>AND(ISNUMBER(FIND($E1548,Tables!$I$2)), ISNUMBER(FIND($D1548,Tables!$J$2)), $E1548&lt;&gt;"")</f>
        <v>0</v>
      </c>
    </row>
    <row r="1549" spans="1:18" x14ac:dyDescent="0.3">
      <c r="A1549">
        <f t="shared" si="121"/>
        <v>1532</v>
      </c>
      <c r="B1549" s="4"/>
      <c r="I1549" s="8"/>
      <c r="J1549" s="5" t="str">
        <f t="shared" si="124"/>
        <v/>
      </c>
      <c r="K1549" s="3"/>
      <c r="L1549" s="3" t="str">
        <f t="shared" si="123"/>
        <v/>
      </c>
      <c r="N1549" s="3" t="str">
        <f t="shared" si="122"/>
        <v/>
      </c>
      <c r="O1549" s="6" t="str">
        <f t="shared" si="125"/>
        <v/>
      </c>
      <c r="P1549" s="7">
        <f ca="1">SUMIFS($N$2:$N1549,$B$2:$B1549,"&lt;&gt;"&amp;B1549)+SUM($Q$2:$Q1549)</f>
        <v>135.05500000000001</v>
      </c>
      <c r="R1549" t="b">
        <f>AND(ISNUMBER(FIND($E1549,Tables!$I$2)), ISNUMBER(FIND($D1549,Tables!$J$2)), $E1549&lt;&gt;"")</f>
        <v>0</v>
      </c>
    </row>
    <row r="1550" spans="1:18" x14ac:dyDescent="0.3">
      <c r="A1550">
        <f t="shared" si="121"/>
        <v>1533</v>
      </c>
      <c r="B1550" s="4"/>
      <c r="I1550" s="8"/>
      <c r="J1550" s="5" t="str">
        <f t="shared" si="124"/>
        <v/>
      </c>
      <c r="K1550" s="3"/>
      <c r="L1550" s="3" t="str">
        <f t="shared" si="123"/>
        <v/>
      </c>
      <c r="N1550" s="3" t="str">
        <f t="shared" si="122"/>
        <v/>
      </c>
      <c r="O1550" s="6" t="str">
        <f t="shared" si="125"/>
        <v/>
      </c>
      <c r="P1550" s="7">
        <f ca="1">SUMIFS($N$2:$N1550,$B$2:$B1550,"&lt;&gt;"&amp;B1550)+SUM($Q$2:$Q1550)</f>
        <v>135.05500000000001</v>
      </c>
      <c r="R1550" t="b">
        <f>AND(ISNUMBER(FIND($E1550,Tables!$I$2)), ISNUMBER(FIND($D1550,Tables!$J$2)), $E1550&lt;&gt;"")</f>
        <v>0</v>
      </c>
    </row>
    <row r="1551" spans="1:18" x14ac:dyDescent="0.3">
      <c r="A1551">
        <f t="shared" si="121"/>
        <v>1534</v>
      </c>
      <c r="B1551" s="4"/>
      <c r="I1551" s="8"/>
      <c r="J1551" s="5" t="str">
        <f t="shared" si="124"/>
        <v/>
      </c>
      <c r="K1551" s="3"/>
      <c r="L1551" s="3" t="str">
        <f t="shared" si="123"/>
        <v/>
      </c>
      <c r="N1551" s="3" t="str">
        <f t="shared" si="122"/>
        <v/>
      </c>
      <c r="O1551" s="6" t="str">
        <f t="shared" si="125"/>
        <v/>
      </c>
      <c r="P1551" s="7">
        <f ca="1">SUMIFS($N$2:$N1551,$B$2:$B1551,"&lt;&gt;"&amp;B1551)+SUM($Q$2:$Q1551)</f>
        <v>135.05500000000001</v>
      </c>
      <c r="R1551" t="b">
        <f>AND(ISNUMBER(FIND($E1551,Tables!$I$2)), ISNUMBER(FIND($D1551,Tables!$J$2)), $E1551&lt;&gt;"")</f>
        <v>0</v>
      </c>
    </row>
    <row r="1552" spans="1:18" x14ac:dyDescent="0.3">
      <c r="A1552">
        <f t="shared" si="121"/>
        <v>1535</v>
      </c>
      <c r="B1552" s="4"/>
      <c r="I1552" s="8"/>
      <c r="J1552" s="5" t="str">
        <f t="shared" si="124"/>
        <v/>
      </c>
      <c r="K1552" s="3"/>
      <c r="L1552" s="3" t="str">
        <f t="shared" si="123"/>
        <v/>
      </c>
      <c r="N1552" s="3" t="str">
        <f t="shared" si="122"/>
        <v/>
      </c>
      <c r="O1552" s="6" t="str">
        <f t="shared" si="125"/>
        <v/>
      </c>
      <c r="P1552" s="7">
        <f ca="1">SUMIFS($N$2:$N1552,$B$2:$B1552,"&lt;&gt;"&amp;B1552)+SUM($Q$2:$Q1552)</f>
        <v>135.05500000000001</v>
      </c>
      <c r="R1552" t="b">
        <f>AND(ISNUMBER(FIND($E1552,Tables!$I$2)), ISNUMBER(FIND($D1552,Tables!$J$2)), $E1552&lt;&gt;"")</f>
        <v>0</v>
      </c>
    </row>
    <row r="1553" spans="1:18" x14ac:dyDescent="0.3">
      <c r="A1553">
        <f t="shared" si="121"/>
        <v>1536</v>
      </c>
      <c r="B1553" s="4"/>
      <c r="I1553" s="8"/>
      <c r="J1553" s="5" t="str">
        <f t="shared" si="124"/>
        <v/>
      </c>
      <c r="K1553" s="3"/>
      <c r="L1553" s="3" t="str">
        <f t="shared" si="123"/>
        <v/>
      </c>
      <c r="N1553" s="3" t="str">
        <f t="shared" si="122"/>
        <v/>
      </c>
      <c r="O1553" s="6" t="str">
        <f t="shared" si="125"/>
        <v/>
      </c>
      <c r="P1553" s="7">
        <f ca="1">SUMIFS($N$2:$N1553,$B$2:$B1553,"&lt;&gt;"&amp;B1553)+SUM($Q$2:$Q1553)</f>
        <v>135.05500000000001</v>
      </c>
      <c r="R1553" t="b">
        <f>AND(ISNUMBER(FIND($E1553,Tables!$I$2)), ISNUMBER(FIND($D1553,Tables!$J$2)), $E1553&lt;&gt;"")</f>
        <v>0</v>
      </c>
    </row>
    <row r="1554" spans="1:18" x14ac:dyDescent="0.3">
      <c r="A1554">
        <f t="shared" si="121"/>
        <v>1537</v>
      </c>
      <c r="B1554" s="4"/>
      <c r="I1554" s="8"/>
      <c r="J1554" s="5" t="str">
        <f t="shared" si="124"/>
        <v/>
      </c>
      <c r="K1554" s="3"/>
      <c r="L1554" s="3" t="str">
        <f t="shared" si="123"/>
        <v/>
      </c>
      <c r="N1554" s="3" t="str">
        <f t="shared" si="122"/>
        <v/>
      </c>
      <c r="O1554" s="6" t="str">
        <f t="shared" si="125"/>
        <v/>
      </c>
      <c r="P1554" s="7">
        <f ca="1">SUMIFS($N$2:$N1554,$B$2:$B1554,"&lt;&gt;"&amp;B1554)+SUM($Q$2:$Q1554)</f>
        <v>135.05500000000001</v>
      </c>
      <c r="R1554" t="b">
        <f>AND(ISNUMBER(FIND($E1554,Tables!$I$2)), ISNUMBER(FIND($D1554,Tables!$J$2)), $E1554&lt;&gt;"")</f>
        <v>0</v>
      </c>
    </row>
    <row r="1555" spans="1:18" x14ac:dyDescent="0.3">
      <c r="A1555">
        <f t="shared" si="121"/>
        <v>1538</v>
      </c>
      <c r="B1555" s="4"/>
      <c r="I1555" s="8"/>
      <c r="J1555" s="5" t="str">
        <f t="shared" si="124"/>
        <v/>
      </c>
      <c r="K1555" s="3"/>
      <c r="L1555" s="3" t="str">
        <f t="shared" si="123"/>
        <v/>
      </c>
      <c r="N1555" s="3" t="str">
        <f t="shared" si="122"/>
        <v/>
      </c>
      <c r="O1555" s="6" t="str">
        <f t="shared" si="125"/>
        <v/>
      </c>
      <c r="P1555" s="7">
        <f ca="1">SUMIFS($N$2:$N1555,$B$2:$B1555,"&lt;&gt;"&amp;B1555)+SUM($Q$2:$Q1555)</f>
        <v>135.05500000000001</v>
      </c>
      <c r="R1555" t="b">
        <f>AND(ISNUMBER(FIND($E1555,Tables!$I$2)), ISNUMBER(FIND($D1555,Tables!$J$2)), $E1555&lt;&gt;"")</f>
        <v>0</v>
      </c>
    </row>
    <row r="1556" spans="1:18" x14ac:dyDescent="0.3">
      <c r="A1556">
        <f t="shared" si="121"/>
        <v>1539</v>
      </c>
      <c r="B1556" s="4"/>
      <c r="I1556" s="8"/>
      <c r="J1556" s="5" t="str">
        <f t="shared" si="124"/>
        <v/>
      </c>
      <c r="K1556" s="3"/>
      <c r="L1556" s="3" t="str">
        <f t="shared" si="123"/>
        <v/>
      </c>
      <c r="N1556" s="3" t="str">
        <f t="shared" si="122"/>
        <v/>
      </c>
      <c r="O1556" s="6" t="str">
        <f t="shared" si="125"/>
        <v/>
      </c>
      <c r="P1556" s="7">
        <f ca="1">SUMIFS($N$2:$N1556,$B$2:$B1556,"&lt;&gt;"&amp;B1556)+SUM($Q$2:$Q1556)</f>
        <v>135.05500000000001</v>
      </c>
      <c r="R1556" t="b">
        <f>AND(ISNUMBER(FIND($E1556,Tables!$I$2)), ISNUMBER(FIND($D1556,Tables!$J$2)), $E1556&lt;&gt;"")</f>
        <v>0</v>
      </c>
    </row>
    <row r="1557" spans="1:18" x14ac:dyDescent="0.3">
      <c r="A1557">
        <f t="shared" si="121"/>
        <v>1540</v>
      </c>
      <c r="B1557" s="4"/>
      <c r="I1557" s="8"/>
      <c r="J1557" s="5" t="str">
        <f t="shared" si="124"/>
        <v/>
      </c>
      <c r="K1557" s="3"/>
      <c r="L1557" s="3" t="str">
        <f t="shared" si="123"/>
        <v/>
      </c>
      <c r="N1557" s="3" t="str">
        <f t="shared" si="122"/>
        <v/>
      </c>
      <c r="O1557" s="6" t="str">
        <f t="shared" si="125"/>
        <v/>
      </c>
      <c r="P1557" s="7">
        <f ca="1">SUMIFS($N$2:$N1557,$B$2:$B1557,"&lt;&gt;"&amp;B1557)+SUM($Q$2:$Q1557)</f>
        <v>135.05500000000001</v>
      </c>
      <c r="R1557" t="b">
        <f>AND(ISNUMBER(FIND($E1557,Tables!$I$2)), ISNUMBER(FIND($D1557,Tables!$J$2)), $E1557&lt;&gt;"")</f>
        <v>0</v>
      </c>
    </row>
    <row r="1558" spans="1:18" x14ac:dyDescent="0.3">
      <c r="A1558">
        <f t="shared" si="121"/>
        <v>1541</v>
      </c>
      <c r="B1558" s="4"/>
      <c r="I1558" s="8"/>
      <c r="J1558" s="5" t="str">
        <f t="shared" si="124"/>
        <v/>
      </c>
      <c r="K1558" s="3"/>
      <c r="L1558" s="3" t="str">
        <f t="shared" si="123"/>
        <v/>
      </c>
      <c r="N1558" s="3" t="str">
        <f t="shared" si="122"/>
        <v/>
      </c>
      <c r="O1558" s="6" t="str">
        <f t="shared" si="125"/>
        <v/>
      </c>
      <c r="P1558" s="7">
        <f ca="1">SUMIFS($N$2:$N1558,$B$2:$B1558,"&lt;&gt;"&amp;B1558)+SUM($Q$2:$Q1558)</f>
        <v>135.05500000000001</v>
      </c>
      <c r="R1558" t="b">
        <f>AND(ISNUMBER(FIND($E1558,Tables!$I$2)), ISNUMBER(FIND($D1558,Tables!$J$2)), $E1558&lt;&gt;"")</f>
        <v>0</v>
      </c>
    </row>
    <row r="1559" spans="1:18" x14ac:dyDescent="0.3">
      <c r="A1559">
        <f t="shared" si="121"/>
        <v>1542</v>
      </c>
      <c r="B1559" s="4"/>
      <c r="I1559" s="8"/>
      <c r="J1559" s="5" t="str">
        <f t="shared" si="124"/>
        <v/>
      </c>
      <c r="K1559" s="3"/>
      <c r="L1559" s="3" t="str">
        <f t="shared" si="123"/>
        <v/>
      </c>
      <c r="N1559" s="3" t="str">
        <f t="shared" si="122"/>
        <v/>
      </c>
      <c r="O1559" s="6" t="str">
        <f t="shared" si="125"/>
        <v/>
      </c>
      <c r="P1559" s="7">
        <f ca="1">SUMIFS($N$2:$N1559,$B$2:$B1559,"&lt;&gt;"&amp;B1559)+SUM($Q$2:$Q1559)</f>
        <v>135.05500000000001</v>
      </c>
      <c r="R1559" t="b">
        <f>AND(ISNUMBER(FIND($E1559,Tables!$I$2)), ISNUMBER(FIND($D1559,Tables!$J$2)), $E1559&lt;&gt;"")</f>
        <v>0</v>
      </c>
    </row>
    <row r="1560" spans="1:18" x14ac:dyDescent="0.3">
      <c r="A1560">
        <f t="shared" si="121"/>
        <v>1543</v>
      </c>
      <c r="B1560" s="4"/>
      <c r="I1560" s="8"/>
      <c r="J1560" s="5" t="str">
        <f t="shared" si="124"/>
        <v/>
      </c>
      <c r="K1560" s="3"/>
      <c r="L1560" s="3" t="str">
        <f t="shared" si="123"/>
        <v/>
      </c>
      <c r="N1560" s="3" t="str">
        <f t="shared" si="122"/>
        <v/>
      </c>
      <c r="O1560" s="6" t="str">
        <f t="shared" si="125"/>
        <v/>
      </c>
      <c r="P1560" s="7">
        <f ca="1">SUMIFS($N$2:$N1560,$B$2:$B1560,"&lt;&gt;"&amp;B1560)+SUM($Q$2:$Q1560)</f>
        <v>135.05500000000001</v>
      </c>
      <c r="R1560" t="b">
        <f>AND(ISNUMBER(FIND($E1560,Tables!$I$2)), ISNUMBER(FIND($D1560,Tables!$J$2)), $E1560&lt;&gt;"")</f>
        <v>0</v>
      </c>
    </row>
    <row r="1561" spans="1:18" x14ac:dyDescent="0.3">
      <c r="A1561">
        <f t="shared" si="121"/>
        <v>1544</v>
      </c>
      <c r="B1561" s="4"/>
      <c r="I1561" s="8"/>
      <c r="J1561" s="5" t="str">
        <f t="shared" si="124"/>
        <v/>
      </c>
      <c r="K1561" s="3"/>
      <c r="L1561" s="3" t="str">
        <f t="shared" si="123"/>
        <v/>
      </c>
      <c r="N1561" s="3" t="str">
        <f t="shared" si="122"/>
        <v/>
      </c>
      <c r="O1561" s="6" t="str">
        <f t="shared" si="125"/>
        <v/>
      </c>
      <c r="P1561" s="7">
        <f ca="1">SUMIFS($N$2:$N1561,$B$2:$B1561,"&lt;&gt;"&amp;B1561)+SUM($Q$2:$Q1561)</f>
        <v>135.05500000000001</v>
      </c>
      <c r="R1561" t="b">
        <f>AND(ISNUMBER(FIND($E1561,Tables!$I$2)), ISNUMBER(FIND($D1561,Tables!$J$2)), $E1561&lt;&gt;"")</f>
        <v>0</v>
      </c>
    </row>
    <row r="1562" spans="1:18" x14ac:dyDescent="0.3">
      <c r="A1562">
        <f t="shared" si="121"/>
        <v>1545</v>
      </c>
      <c r="B1562" s="4"/>
      <c r="I1562" s="8"/>
      <c r="J1562" s="5" t="str">
        <f t="shared" si="124"/>
        <v/>
      </c>
      <c r="K1562" s="3"/>
      <c r="L1562" s="3" t="str">
        <f t="shared" si="123"/>
        <v/>
      </c>
      <c r="N1562" s="3" t="str">
        <f t="shared" si="122"/>
        <v/>
      </c>
      <c r="O1562" s="6" t="str">
        <f t="shared" si="125"/>
        <v/>
      </c>
      <c r="P1562" s="7">
        <f ca="1">SUMIFS($N$2:$N1562,$B$2:$B1562,"&lt;&gt;"&amp;B1562)+SUM($Q$2:$Q1562)</f>
        <v>135.05500000000001</v>
      </c>
      <c r="R1562" t="b">
        <f>AND(ISNUMBER(FIND($E1562,Tables!$I$2)), ISNUMBER(FIND($D1562,Tables!$J$2)), $E1562&lt;&gt;"")</f>
        <v>0</v>
      </c>
    </row>
    <row r="1563" spans="1:18" x14ac:dyDescent="0.3">
      <c r="A1563">
        <f t="shared" si="121"/>
        <v>1546</v>
      </c>
      <c r="B1563" s="4"/>
      <c r="I1563" s="8"/>
      <c r="J1563" s="5" t="str">
        <f t="shared" si="124"/>
        <v/>
      </c>
      <c r="K1563" s="3"/>
      <c r="L1563" s="3" t="str">
        <f t="shared" si="123"/>
        <v/>
      </c>
      <c r="N1563" s="3" t="str">
        <f t="shared" si="122"/>
        <v/>
      </c>
      <c r="O1563" s="6" t="str">
        <f t="shared" si="125"/>
        <v/>
      </c>
      <c r="P1563" s="7">
        <f ca="1">SUMIFS($N$2:$N1563,$B$2:$B1563,"&lt;&gt;"&amp;B1563)+SUM($Q$2:$Q1563)</f>
        <v>135.05500000000001</v>
      </c>
      <c r="R1563" t="b">
        <f>AND(ISNUMBER(FIND($E1563,Tables!$I$2)), ISNUMBER(FIND($D1563,Tables!$J$2)), $E1563&lt;&gt;"")</f>
        <v>0</v>
      </c>
    </row>
    <row r="1564" spans="1:18" x14ac:dyDescent="0.3">
      <c r="A1564">
        <f t="shared" si="121"/>
        <v>1547</v>
      </c>
      <c r="B1564" s="4"/>
      <c r="I1564" s="8"/>
      <c r="J1564" s="5" t="str">
        <f t="shared" si="124"/>
        <v/>
      </c>
      <c r="K1564" s="3"/>
      <c r="L1564" s="3" t="str">
        <f t="shared" si="123"/>
        <v/>
      </c>
      <c r="N1564" s="3" t="str">
        <f t="shared" si="122"/>
        <v/>
      </c>
      <c r="O1564" s="6" t="str">
        <f t="shared" si="125"/>
        <v/>
      </c>
      <c r="P1564" s="7">
        <f ca="1">SUMIFS($N$2:$N1564,$B$2:$B1564,"&lt;&gt;"&amp;B1564)+SUM($Q$2:$Q1564)</f>
        <v>135.05500000000001</v>
      </c>
      <c r="R1564" t="b">
        <f>AND(ISNUMBER(FIND($E1564,Tables!$I$2)), ISNUMBER(FIND($D1564,Tables!$J$2)), $E1564&lt;&gt;"")</f>
        <v>0</v>
      </c>
    </row>
    <row r="1565" spans="1:18" x14ac:dyDescent="0.3">
      <c r="A1565">
        <f t="shared" si="121"/>
        <v>1548</v>
      </c>
      <c r="B1565" s="4"/>
      <c r="I1565" s="8"/>
      <c r="J1565" s="5" t="str">
        <f t="shared" si="124"/>
        <v/>
      </c>
      <c r="K1565" s="3"/>
      <c r="L1565" s="3" t="str">
        <f t="shared" si="123"/>
        <v/>
      </c>
      <c r="N1565" s="3" t="str">
        <f t="shared" si="122"/>
        <v/>
      </c>
      <c r="O1565" s="6" t="str">
        <f t="shared" si="125"/>
        <v/>
      </c>
      <c r="P1565" s="7">
        <f ca="1">SUMIFS($N$2:$N1565,$B$2:$B1565,"&lt;&gt;"&amp;B1565)+SUM($Q$2:$Q1565)</f>
        <v>135.05500000000001</v>
      </c>
      <c r="R1565" t="b">
        <f>AND(ISNUMBER(FIND($E1565,Tables!$I$2)), ISNUMBER(FIND($D1565,Tables!$J$2)), $E1565&lt;&gt;"")</f>
        <v>0</v>
      </c>
    </row>
    <row r="1566" spans="1:18" x14ac:dyDescent="0.3">
      <c r="A1566">
        <f t="shared" si="121"/>
        <v>1549</v>
      </c>
      <c r="B1566" s="4"/>
      <c r="I1566" s="8"/>
      <c r="J1566" s="5" t="str">
        <f t="shared" si="124"/>
        <v/>
      </c>
      <c r="K1566" s="3"/>
      <c r="L1566" s="3" t="str">
        <f t="shared" si="123"/>
        <v/>
      </c>
      <c r="N1566" s="3" t="str">
        <f t="shared" si="122"/>
        <v/>
      </c>
      <c r="O1566" s="6" t="str">
        <f t="shared" si="125"/>
        <v/>
      </c>
      <c r="P1566" s="7">
        <f ca="1">SUMIFS($N$2:$N1566,$B$2:$B1566,"&lt;&gt;"&amp;B1566)+SUM($Q$2:$Q1566)</f>
        <v>135.05500000000001</v>
      </c>
      <c r="R1566" t="b">
        <f>AND(ISNUMBER(FIND($E1566,Tables!$I$2)), ISNUMBER(FIND($D1566,Tables!$J$2)), $E1566&lt;&gt;"")</f>
        <v>0</v>
      </c>
    </row>
    <row r="1567" spans="1:18" x14ac:dyDescent="0.3">
      <c r="A1567">
        <f t="shared" si="121"/>
        <v>1550</v>
      </c>
      <c r="B1567" s="4"/>
      <c r="I1567" s="8"/>
      <c r="J1567" s="5" t="str">
        <f t="shared" si="124"/>
        <v/>
      </c>
      <c r="K1567" s="3"/>
      <c r="L1567" s="3" t="str">
        <f t="shared" si="123"/>
        <v/>
      </c>
      <c r="N1567" s="3" t="str">
        <f t="shared" si="122"/>
        <v/>
      </c>
      <c r="O1567" s="6" t="str">
        <f t="shared" si="125"/>
        <v/>
      </c>
      <c r="P1567" s="7">
        <f ca="1">SUMIFS($N$2:$N1567,$B$2:$B1567,"&lt;&gt;"&amp;B1567)+SUM($Q$2:$Q1567)</f>
        <v>135.05500000000001</v>
      </c>
      <c r="R1567" t="b">
        <f>AND(ISNUMBER(FIND($E1567,Tables!$I$2)), ISNUMBER(FIND($D1567,Tables!$J$2)), $E1567&lt;&gt;"")</f>
        <v>0</v>
      </c>
    </row>
    <row r="1568" spans="1:18" x14ac:dyDescent="0.3">
      <c r="A1568">
        <f t="shared" si="121"/>
        <v>1551</v>
      </c>
      <c r="B1568" s="4"/>
      <c r="I1568" s="8"/>
      <c r="J1568" s="5" t="str">
        <f t="shared" si="124"/>
        <v/>
      </c>
      <c r="K1568" s="3"/>
      <c r="L1568" s="3" t="str">
        <f t="shared" si="123"/>
        <v/>
      </c>
      <c r="N1568" s="3" t="str">
        <f t="shared" si="122"/>
        <v/>
      </c>
      <c r="O1568" s="6" t="str">
        <f t="shared" si="125"/>
        <v/>
      </c>
      <c r="P1568" s="7">
        <f ca="1">SUMIFS($N$2:$N1568,$B$2:$B1568,"&lt;&gt;"&amp;B1568)+SUM($Q$2:$Q1568)</f>
        <v>135.05500000000001</v>
      </c>
      <c r="R1568" t="b">
        <f>AND(ISNUMBER(FIND($E1568,Tables!$I$2)), ISNUMBER(FIND($D1568,Tables!$J$2)), $E1568&lt;&gt;"")</f>
        <v>0</v>
      </c>
    </row>
    <row r="1569" spans="1:18" x14ac:dyDescent="0.3">
      <c r="A1569">
        <f t="shared" si="121"/>
        <v>1552</v>
      </c>
      <c r="B1569" s="4"/>
      <c r="I1569" s="8"/>
      <c r="J1569" s="5" t="str">
        <f t="shared" si="124"/>
        <v/>
      </c>
      <c r="K1569" s="3"/>
      <c r="L1569" s="3" t="str">
        <f t="shared" si="123"/>
        <v/>
      </c>
      <c r="N1569" s="3" t="str">
        <f t="shared" si="122"/>
        <v/>
      </c>
      <c r="O1569" s="6" t="str">
        <f t="shared" si="125"/>
        <v/>
      </c>
      <c r="P1569" s="7">
        <f ca="1">SUMIFS($N$2:$N1569,$B$2:$B1569,"&lt;&gt;"&amp;B1569)+SUM($Q$2:$Q1569)</f>
        <v>135.05500000000001</v>
      </c>
      <c r="R1569" t="b">
        <f>AND(ISNUMBER(FIND($E1569,Tables!$I$2)), ISNUMBER(FIND($D1569,Tables!$J$2)), $E1569&lt;&gt;"")</f>
        <v>0</v>
      </c>
    </row>
    <row r="1570" spans="1:18" x14ac:dyDescent="0.3">
      <c r="A1570">
        <f t="shared" ref="A1570:A1633" si="126">IF(AND(B1570="", D1570&lt;&gt;""), A1569, A1569+1)</f>
        <v>1553</v>
      </c>
      <c r="B1570" s="4"/>
      <c r="I1570" s="8"/>
      <c r="J1570" s="5" t="str">
        <f t="shared" si="124"/>
        <v/>
      </c>
      <c r="K1570" s="3"/>
      <c r="L1570" s="3" t="str">
        <f t="shared" si="123"/>
        <v/>
      </c>
      <c r="N1570" s="3" t="str">
        <f t="shared" si="122"/>
        <v/>
      </c>
      <c r="O1570" s="6" t="str">
        <f t="shared" si="125"/>
        <v/>
      </c>
      <c r="P1570" s="7">
        <f ca="1">SUMIFS($N$2:$N1570,$B$2:$B1570,"&lt;&gt;"&amp;B1570)+SUM($Q$2:$Q1570)</f>
        <v>135.05500000000001</v>
      </c>
      <c r="R1570" t="b">
        <f>AND(ISNUMBER(FIND($E1570,Tables!$I$2)), ISNUMBER(FIND($D1570,Tables!$J$2)), $E1570&lt;&gt;"")</f>
        <v>0</v>
      </c>
    </row>
    <row r="1571" spans="1:18" x14ac:dyDescent="0.3">
      <c r="A1571">
        <f t="shared" si="126"/>
        <v>1554</v>
      </c>
      <c r="B1571" s="4"/>
      <c r="I1571" s="8"/>
      <c r="J1571" s="5" t="str">
        <f t="shared" si="124"/>
        <v/>
      </c>
      <c r="K1571" s="3"/>
      <c r="L1571" s="3" t="str">
        <f t="shared" si="123"/>
        <v/>
      </c>
      <c r="N1571" s="3" t="str">
        <f t="shared" si="122"/>
        <v/>
      </c>
      <c r="O1571" s="6" t="str">
        <f t="shared" si="125"/>
        <v/>
      </c>
      <c r="P1571" s="7">
        <f ca="1">SUMIFS($N$2:$N1571,$B$2:$B1571,"&lt;&gt;"&amp;B1571)+SUM($Q$2:$Q1571)</f>
        <v>135.05500000000001</v>
      </c>
      <c r="R1571" t="b">
        <f>AND(ISNUMBER(FIND($E1571,Tables!$I$2)), ISNUMBER(FIND($D1571,Tables!$J$2)), $E1571&lt;&gt;"")</f>
        <v>0</v>
      </c>
    </row>
    <row r="1572" spans="1:18" x14ac:dyDescent="0.3">
      <c r="A1572">
        <f t="shared" si="126"/>
        <v>1555</v>
      </c>
      <c r="B1572" s="4"/>
      <c r="I1572" s="8"/>
      <c r="J1572" s="5" t="str">
        <f t="shared" si="124"/>
        <v/>
      </c>
      <c r="K1572" s="3"/>
      <c r="L1572" s="3" t="str">
        <f t="shared" si="123"/>
        <v/>
      </c>
      <c r="N1572" s="3" t="str">
        <f t="shared" si="122"/>
        <v/>
      </c>
      <c r="O1572" s="6" t="str">
        <f t="shared" si="125"/>
        <v/>
      </c>
      <c r="P1572" s="7">
        <f ca="1">SUMIFS($N$2:$N1572,$B$2:$B1572,"&lt;&gt;"&amp;B1572)+SUM($Q$2:$Q1572)</f>
        <v>135.05500000000001</v>
      </c>
      <c r="R1572" t="b">
        <f>AND(ISNUMBER(FIND($E1572,Tables!$I$2)), ISNUMBER(FIND($D1572,Tables!$J$2)), $E1572&lt;&gt;"")</f>
        <v>0</v>
      </c>
    </row>
    <row r="1573" spans="1:18" x14ac:dyDescent="0.3">
      <c r="A1573">
        <f t="shared" si="126"/>
        <v>1556</v>
      </c>
      <c r="B1573" s="4"/>
      <c r="I1573" s="8"/>
      <c r="J1573" s="5" t="str">
        <f t="shared" si="124"/>
        <v/>
      </c>
      <c r="K1573" s="3"/>
      <c r="L1573" s="3" t="str">
        <f t="shared" si="123"/>
        <v/>
      </c>
      <c r="N1573" s="3" t="str">
        <f t="shared" si="122"/>
        <v/>
      </c>
      <c r="O1573" s="6" t="str">
        <f t="shared" si="125"/>
        <v/>
      </c>
      <c r="P1573" s="7">
        <f ca="1">SUMIFS($N$2:$N1573,$B$2:$B1573,"&lt;&gt;"&amp;B1573)+SUM($Q$2:$Q1573)</f>
        <v>135.05500000000001</v>
      </c>
      <c r="R1573" t="b">
        <f>AND(ISNUMBER(FIND($E1573,Tables!$I$2)), ISNUMBER(FIND($D1573,Tables!$J$2)), $E1573&lt;&gt;"")</f>
        <v>0</v>
      </c>
    </row>
    <row r="1574" spans="1:18" x14ac:dyDescent="0.3">
      <c r="A1574">
        <f t="shared" si="126"/>
        <v>1557</v>
      </c>
      <c r="B1574" s="4"/>
      <c r="I1574" s="8"/>
      <c r="J1574" s="5" t="str">
        <f t="shared" si="124"/>
        <v/>
      </c>
      <c r="K1574" s="3"/>
      <c r="L1574" s="3" t="str">
        <f t="shared" si="123"/>
        <v/>
      </c>
      <c r="N1574" s="3" t="str">
        <f t="shared" si="122"/>
        <v/>
      </c>
      <c r="O1574" s="6" t="str">
        <f t="shared" si="125"/>
        <v/>
      </c>
      <c r="P1574" s="7">
        <f ca="1">SUMIFS($N$2:$N1574,$B$2:$B1574,"&lt;&gt;"&amp;B1574)+SUM($Q$2:$Q1574)</f>
        <v>135.05500000000001</v>
      </c>
      <c r="R1574" t="b">
        <f>AND(ISNUMBER(FIND($E1574,Tables!$I$2)), ISNUMBER(FIND($D1574,Tables!$J$2)), $E1574&lt;&gt;"")</f>
        <v>0</v>
      </c>
    </row>
    <row r="1575" spans="1:18" x14ac:dyDescent="0.3">
      <c r="A1575">
        <f t="shared" si="126"/>
        <v>1558</v>
      </c>
      <c r="B1575" s="4"/>
      <c r="I1575" s="8"/>
      <c r="J1575" s="5" t="str">
        <f t="shared" si="124"/>
        <v/>
      </c>
      <c r="K1575" s="3"/>
      <c r="L1575" s="3" t="str">
        <f t="shared" si="123"/>
        <v/>
      </c>
      <c r="N1575" s="3" t="str">
        <f t="shared" si="122"/>
        <v/>
      </c>
      <c r="O1575" s="6" t="str">
        <f t="shared" si="125"/>
        <v/>
      </c>
      <c r="P1575" s="7">
        <f ca="1">SUMIFS($N$2:$N1575,$B$2:$B1575,"&lt;&gt;"&amp;B1575)+SUM($Q$2:$Q1575)</f>
        <v>135.05500000000001</v>
      </c>
      <c r="R1575" t="b">
        <f>AND(ISNUMBER(FIND($E1575,Tables!$I$2)), ISNUMBER(FIND($D1575,Tables!$J$2)), $E1575&lt;&gt;"")</f>
        <v>0</v>
      </c>
    </row>
    <row r="1576" spans="1:18" x14ac:dyDescent="0.3">
      <c r="A1576">
        <f t="shared" si="126"/>
        <v>1559</v>
      </c>
      <c r="B1576" s="4"/>
      <c r="I1576" s="8"/>
      <c r="J1576" s="5" t="str">
        <f t="shared" si="124"/>
        <v/>
      </c>
      <c r="K1576" s="3"/>
      <c r="L1576" s="3" t="str">
        <f t="shared" si="123"/>
        <v/>
      </c>
      <c r="N1576" s="3" t="str">
        <f t="shared" ref="N1576:N1639" si="127">IF(L1576 = "", "", IF(M1576="", "", IF(OR(M1576="Draw",M1576="NC"), 0, IF(M1576="win", L1576, -1*K1576))))</f>
        <v/>
      </c>
      <c r="O1576" s="6" t="str">
        <f t="shared" si="125"/>
        <v/>
      </c>
      <c r="P1576" s="7">
        <f ca="1">SUMIFS($N$2:$N1576,$B$2:$B1576,"&lt;&gt;"&amp;B1576)+SUM($Q$2:$Q1576)</f>
        <v>135.05500000000001</v>
      </c>
      <c r="R1576" t="b">
        <f>AND(ISNUMBER(FIND($E1576,Tables!$I$2)), ISNUMBER(FIND($D1576,Tables!$J$2)), $E1576&lt;&gt;"")</f>
        <v>0</v>
      </c>
    </row>
    <row r="1577" spans="1:18" x14ac:dyDescent="0.3">
      <c r="A1577">
        <f t="shared" si="126"/>
        <v>1560</v>
      </c>
      <c r="B1577" s="4"/>
      <c r="I1577" s="8"/>
      <c r="J1577" s="5" t="str">
        <f t="shared" si="124"/>
        <v/>
      </c>
      <c r="K1577" s="3"/>
      <c r="L1577" s="3" t="str">
        <f t="shared" si="123"/>
        <v/>
      </c>
      <c r="N1577" s="3" t="str">
        <f t="shared" si="127"/>
        <v/>
      </c>
      <c r="O1577" s="6" t="str">
        <f t="shared" si="125"/>
        <v/>
      </c>
      <c r="P1577" s="7">
        <f ca="1">SUMIFS($N$2:$N1577,$B$2:$B1577,"&lt;&gt;"&amp;B1577)+SUM($Q$2:$Q1577)</f>
        <v>135.05500000000001</v>
      </c>
      <c r="R1577" t="b">
        <f>AND(ISNUMBER(FIND($E1577,Tables!$I$2)), ISNUMBER(FIND($D1577,Tables!$J$2)), $E1577&lt;&gt;"")</f>
        <v>0</v>
      </c>
    </row>
    <row r="1578" spans="1:18" x14ac:dyDescent="0.3">
      <c r="A1578">
        <f t="shared" si="126"/>
        <v>1561</v>
      </c>
      <c r="B1578" s="4"/>
      <c r="I1578" s="8"/>
      <c r="J1578" s="5" t="str">
        <f t="shared" si="124"/>
        <v/>
      </c>
      <c r="K1578" s="3"/>
      <c r="L1578" s="3" t="str">
        <f t="shared" si="123"/>
        <v/>
      </c>
      <c r="N1578" s="3" t="str">
        <f t="shared" si="127"/>
        <v/>
      </c>
      <c r="O1578" s="6" t="str">
        <f t="shared" si="125"/>
        <v/>
      </c>
      <c r="P1578" s="7">
        <f ca="1">SUMIFS($N$2:$N1578,$B$2:$B1578,"&lt;&gt;"&amp;B1578)+SUM($Q$2:$Q1578)</f>
        <v>135.05500000000001</v>
      </c>
      <c r="R1578" t="b">
        <f>AND(ISNUMBER(FIND($E1578,Tables!$I$2)), ISNUMBER(FIND($D1578,Tables!$J$2)), $E1578&lt;&gt;"")</f>
        <v>0</v>
      </c>
    </row>
    <row r="1579" spans="1:18" x14ac:dyDescent="0.3">
      <c r="A1579">
        <f t="shared" si="126"/>
        <v>1562</v>
      </c>
      <c r="B1579" s="4"/>
      <c r="I1579" s="8"/>
      <c r="J1579" s="5" t="str">
        <f t="shared" si="124"/>
        <v/>
      </c>
      <c r="K1579" s="3"/>
      <c r="L1579" s="3" t="str">
        <f t="shared" si="123"/>
        <v/>
      </c>
      <c r="N1579" s="3" t="str">
        <f t="shared" si="127"/>
        <v/>
      </c>
      <c r="O1579" s="6" t="str">
        <f t="shared" si="125"/>
        <v/>
      </c>
      <c r="P1579" s="7">
        <f ca="1">SUMIFS($N$2:$N1579,$B$2:$B1579,"&lt;&gt;"&amp;B1579)+SUM($Q$2:$Q1579)</f>
        <v>135.05500000000001</v>
      </c>
      <c r="R1579" t="b">
        <f>AND(ISNUMBER(FIND($E1579,Tables!$I$2)), ISNUMBER(FIND($D1579,Tables!$J$2)), $E1579&lt;&gt;"")</f>
        <v>0</v>
      </c>
    </row>
    <row r="1580" spans="1:18" x14ac:dyDescent="0.3">
      <c r="A1580">
        <f t="shared" si="126"/>
        <v>1563</v>
      </c>
      <c r="B1580" s="4"/>
      <c r="I1580" s="8"/>
      <c r="J1580" s="5" t="str">
        <f t="shared" si="124"/>
        <v/>
      </c>
      <c r="K1580" s="3"/>
      <c r="L1580" s="3" t="str">
        <f t="shared" si="123"/>
        <v/>
      </c>
      <c r="N1580" s="3" t="str">
        <f t="shared" si="127"/>
        <v/>
      </c>
      <c r="O1580" s="6" t="str">
        <f t="shared" si="125"/>
        <v/>
      </c>
      <c r="P1580" s="7">
        <f ca="1">SUMIFS($N$2:$N1580,$B$2:$B1580,"&lt;&gt;"&amp;B1580)+SUM($Q$2:$Q1580)</f>
        <v>135.05500000000001</v>
      </c>
      <c r="R1580" t="b">
        <f>AND(ISNUMBER(FIND($E1580,Tables!$I$2)), ISNUMBER(FIND($D1580,Tables!$J$2)), $E1580&lt;&gt;"")</f>
        <v>0</v>
      </c>
    </row>
    <row r="1581" spans="1:18" x14ac:dyDescent="0.3">
      <c r="A1581">
        <f t="shared" si="126"/>
        <v>1564</v>
      </c>
      <c r="B1581" s="4"/>
      <c r="I1581" s="8"/>
      <c r="J1581" s="5" t="str">
        <f t="shared" si="124"/>
        <v/>
      </c>
      <c r="K1581" s="3"/>
      <c r="L1581" s="3" t="str">
        <f t="shared" si="123"/>
        <v/>
      </c>
      <c r="N1581" s="3" t="str">
        <f t="shared" si="127"/>
        <v/>
      </c>
      <c r="O1581" s="6" t="str">
        <f t="shared" si="125"/>
        <v/>
      </c>
      <c r="P1581" s="7">
        <f ca="1">SUMIFS($N$2:$N1581,$B$2:$B1581,"&lt;&gt;"&amp;B1581)+SUM($Q$2:$Q1581)</f>
        <v>135.05500000000001</v>
      </c>
      <c r="R1581" t="b">
        <f>AND(ISNUMBER(FIND($E1581,Tables!$I$2)), ISNUMBER(FIND($D1581,Tables!$J$2)), $E1581&lt;&gt;"")</f>
        <v>0</v>
      </c>
    </row>
    <row r="1582" spans="1:18" x14ac:dyDescent="0.3">
      <c r="A1582">
        <f t="shared" si="126"/>
        <v>1565</v>
      </c>
      <c r="B1582" s="4"/>
      <c r="I1582" s="8"/>
      <c r="J1582" s="5" t="str">
        <f t="shared" si="124"/>
        <v/>
      </c>
      <c r="K1582" s="3"/>
      <c r="L1582" s="3" t="str">
        <f t="shared" si="123"/>
        <v/>
      </c>
      <c r="N1582" s="3" t="str">
        <f t="shared" si="127"/>
        <v/>
      </c>
      <c r="O1582" s="6" t="str">
        <f t="shared" si="125"/>
        <v/>
      </c>
      <c r="P1582" s="7">
        <f ca="1">SUMIFS($N$2:$N1582,$B$2:$B1582,"&lt;&gt;"&amp;B1582)+SUM($Q$2:$Q1582)</f>
        <v>135.05500000000001</v>
      </c>
      <c r="R1582" t="b">
        <f>AND(ISNUMBER(FIND($E1582,Tables!$I$2)), ISNUMBER(FIND($D1582,Tables!$J$2)), $E1582&lt;&gt;"")</f>
        <v>0</v>
      </c>
    </row>
    <row r="1583" spans="1:18" x14ac:dyDescent="0.3">
      <c r="A1583">
        <f t="shared" si="126"/>
        <v>1566</v>
      </c>
      <c r="B1583" s="4"/>
      <c r="I1583" s="8"/>
      <c r="J1583" s="5" t="str">
        <f t="shared" si="124"/>
        <v/>
      </c>
      <c r="K1583" s="3"/>
      <c r="L1583" s="3" t="str">
        <f t="shared" si="123"/>
        <v/>
      </c>
      <c r="N1583" s="3" t="str">
        <f t="shared" si="127"/>
        <v/>
      </c>
      <c r="O1583" s="6" t="str">
        <f t="shared" si="125"/>
        <v/>
      </c>
      <c r="P1583" s="7">
        <f ca="1">SUMIFS($N$2:$N1583,$B$2:$B1583,"&lt;&gt;"&amp;B1583)+SUM($Q$2:$Q1583)</f>
        <v>135.05500000000001</v>
      </c>
      <c r="R1583" t="b">
        <f>AND(ISNUMBER(FIND($E1583,Tables!$I$2)), ISNUMBER(FIND($D1583,Tables!$J$2)), $E1583&lt;&gt;"")</f>
        <v>0</v>
      </c>
    </row>
    <row r="1584" spans="1:18" x14ac:dyDescent="0.3">
      <c r="A1584">
        <f t="shared" si="126"/>
        <v>1567</v>
      </c>
      <c r="B1584" s="4"/>
      <c r="I1584" s="8"/>
      <c r="J1584" s="5" t="str">
        <f t="shared" si="124"/>
        <v/>
      </c>
      <c r="K1584" s="3"/>
      <c r="L1584" s="3" t="str">
        <f t="shared" si="123"/>
        <v/>
      </c>
      <c r="N1584" s="3" t="str">
        <f t="shared" si="127"/>
        <v/>
      </c>
      <c r="O1584" s="6" t="str">
        <f t="shared" si="125"/>
        <v/>
      </c>
      <c r="P1584" s="7">
        <f ca="1">SUMIFS($N$2:$N1584,$B$2:$B1584,"&lt;&gt;"&amp;B1584)+SUM($Q$2:$Q1584)</f>
        <v>135.05500000000001</v>
      </c>
      <c r="R1584" t="b">
        <f>AND(ISNUMBER(FIND($E1584,Tables!$I$2)), ISNUMBER(FIND($D1584,Tables!$J$2)), $E1584&lt;&gt;"")</f>
        <v>0</v>
      </c>
    </row>
    <row r="1585" spans="1:18" x14ac:dyDescent="0.3">
      <c r="A1585">
        <f t="shared" si="126"/>
        <v>1568</v>
      </c>
      <c r="B1585" s="4"/>
      <c r="I1585" s="8"/>
      <c r="J1585" s="5" t="str">
        <f t="shared" si="124"/>
        <v/>
      </c>
      <c r="K1585" s="3"/>
      <c r="L1585" s="3" t="str">
        <f t="shared" si="123"/>
        <v/>
      </c>
      <c r="N1585" s="3" t="str">
        <f t="shared" si="127"/>
        <v/>
      </c>
      <c r="O1585" s="6" t="str">
        <f t="shared" si="125"/>
        <v/>
      </c>
      <c r="P1585" s="7">
        <f ca="1">SUMIFS($N$2:$N1585,$B$2:$B1585,"&lt;&gt;"&amp;B1585)+SUM($Q$2:$Q1585)</f>
        <v>135.05500000000001</v>
      </c>
      <c r="R1585" t="b">
        <f>AND(ISNUMBER(FIND($E1585,Tables!$I$2)), ISNUMBER(FIND($D1585,Tables!$J$2)), $E1585&lt;&gt;"")</f>
        <v>0</v>
      </c>
    </row>
    <row r="1586" spans="1:18" x14ac:dyDescent="0.3">
      <c r="A1586">
        <f t="shared" si="126"/>
        <v>1569</v>
      </c>
      <c r="B1586" s="4"/>
      <c r="I1586" s="8"/>
      <c r="J1586" s="5" t="str">
        <f t="shared" si="124"/>
        <v/>
      </c>
      <c r="K1586" s="3"/>
      <c r="L1586" s="3" t="str">
        <f t="shared" ref="L1586:L1649" si="128">IFERROR(IF(K1586=0, "", IF(I1586&gt;0, K1586/100*I1586,K1586/I1586*-100)), "")</f>
        <v/>
      </c>
      <c r="N1586" s="3" t="str">
        <f t="shared" si="127"/>
        <v/>
      </c>
      <c r="O1586" s="6" t="str">
        <f t="shared" si="125"/>
        <v/>
      </c>
      <c r="P1586" s="7">
        <f ca="1">SUMIFS($N$2:$N1586,$B$2:$B1586,"&lt;&gt;"&amp;B1586)+SUM($Q$2:$Q1586)</f>
        <v>135.05500000000001</v>
      </c>
      <c r="R1586" t="b">
        <f>AND(ISNUMBER(FIND($E1586,Tables!$I$2)), ISNUMBER(FIND($D1586,Tables!$J$2)), $E1586&lt;&gt;"")</f>
        <v>0</v>
      </c>
    </row>
    <row r="1587" spans="1:18" x14ac:dyDescent="0.3">
      <c r="A1587">
        <f t="shared" si="126"/>
        <v>1570</v>
      </c>
      <c r="B1587" s="4"/>
      <c r="I1587" s="8"/>
      <c r="J1587" s="5" t="str">
        <f t="shared" si="124"/>
        <v/>
      </c>
      <c r="K1587" s="3"/>
      <c r="L1587" s="3" t="str">
        <f t="shared" si="128"/>
        <v/>
      </c>
      <c r="N1587" s="3" t="str">
        <f t="shared" si="127"/>
        <v/>
      </c>
      <c r="O1587" s="6" t="str">
        <f t="shared" si="125"/>
        <v/>
      </c>
      <c r="P1587" s="7">
        <f ca="1">SUMIFS($N$2:$N1587,$B$2:$B1587,"&lt;&gt;"&amp;B1587)+SUM($Q$2:$Q1587)</f>
        <v>135.05500000000001</v>
      </c>
      <c r="R1587" t="b">
        <f>AND(ISNUMBER(FIND($E1587,Tables!$I$2)), ISNUMBER(FIND($D1587,Tables!$J$2)), $E1587&lt;&gt;"")</f>
        <v>0</v>
      </c>
    </row>
    <row r="1588" spans="1:18" x14ac:dyDescent="0.3">
      <c r="A1588">
        <f t="shared" si="126"/>
        <v>1571</v>
      </c>
      <c r="B1588" s="4"/>
      <c r="I1588" s="8"/>
      <c r="J1588" s="5" t="str">
        <f t="shared" si="124"/>
        <v/>
      </c>
      <c r="K1588" s="3"/>
      <c r="L1588" s="3" t="str">
        <f t="shared" si="128"/>
        <v/>
      </c>
      <c r="N1588" s="3" t="str">
        <f t="shared" si="127"/>
        <v/>
      </c>
      <c r="O1588" s="6" t="str">
        <f t="shared" si="125"/>
        <v/>
      </c>
      <c r="P1588" s="7">
        <f ca="1">SUMIFS($N$2:$N1588,$B$2:$B1588,"&lt;&gt;"&amp;B1588)+SUM($Q$2:$Q1588)</f>
        <v>135.05500000000001</v>
      </c>
      <c r="R1588" t="b">
        <f>AND(ISNUMBER(FIND($E1588,Tables!$I$2)), ISNUMBER(FIND($D1588,Tables!$J$2)), $E1588&lt;&gt;"")</f>
        <v>0</v>
      </c>
    </row>
    <row r="1589" spans="1:18" x14ac:dyDescent="0.3">
      <c r="A1589">
        <f t="shared" si="126"/>
        <v>1572</v>
      </c>
      <c r="B1589" s="4"/>
      <c r="I1589" s="8"/>
      <c r="J1589" s="5" t="str">
        <f t="shared" si="124"/>
        <v/>
      </c>
      <c r="K1589" s="3"/>
      <c r="L1589" s="3" t="str">
        <f t="shared" si="128"/>
        <v/>
      </c>
      <c r="N1589" s="3" t="str">
        <f t="shared" si="127"/>
        <v/>
      </c>
      <c r="O1589" s="6" t="str">
        <f t="shared" si="125"/>
        <v/>
      </c>
      <c r="P1589" s="7">
        <f ca="1">SUMIFS($N$2:$N1589,$B$2:$B1589,"&lt;&gt;"&amp;B1589)+SUM($Q$2:$Q1589)</f>
        <v>135.05500000000001</v>
      </c>
      <c r="R1589" t="b">
        <f>AND(ISNUMBER(FIND($E1589,Tables!$I$2)), ISNUMBER(FIND($D1589,Tables!$J$2)), $E1589&lt;&gt;"")</f>
        <v>0</v>
      </c>
    </row>
    <row r="1590" spans="1:18" x14ac:dyDescent="0.3">
      <c r="A1590">
        <f t="shared" si="126"/>
        <v>1573</v>
      </c>
      <c r="B1590" s="4"/>
      <c r="I1590" s="8"/>
      <c r="J1590" s="5" t="str">
        <f t="shared" si="124"/>
        <v/>
      </c>
      <c r="K1590" s="3"/>
      <c r="L1590" s="3" t="str">
        <f t="shared" si="128"/>
        <v/>
      </c>
      <c r="N1590" s="3" t="str">
        <f t="shared" si="127"/>
        <v/>
      </c>
      <c r="O1590" s="6" t="str">
        <f t="shared" si="125"/>
        <v/>
      </c>
      <c r="P1590" s="7">
        <f ca="1">SUMIFS($N$2:$N1590,$B$2:$B1590,"&lt;&gt;"&amp;B1590)+SUM($Q$2:$Q1590)</f>
        <v>135.05500000000001</v>
      </c>
      <c r="R1590" t="b">
        <f>AND(ISNUMBER(FIND($E1590,Tables!$I$2)), ISNUMBER(FIND($D1590,Tables!$J$2)), $E1590&lt;&gt;"")</f>
        <v>0</v>
      </c>
    </row>
    <row r="1591" spans="1:18" x14ac:dyDescent="0.3">
      <c r="A1591">
        <f t="shared" si="126"/>
        <v>1574</v>
      </c>
      <c r="B1591" s="4"/>
      <c r="I1591" s="8"/>
      <c r="J1591" s="5" t="str">
        <f t="shared" si="124"/>
        <v/>
      </c>
      <c r="K1591" s="3"/>
      <c r="L1591" s="3" t="str">
        <f t="shared" si="128"/>
        <v/>
      </c>
      <c r="N1591" s="3" t="str">
        <f t="shared" si="127"/>
        <v/>
      </c>
      <c r="O1591" s="6" t="str">
        <f t="shared" si="125"/>
        <v/>
      </c>
      <c r="P1591" s="7">
        <f ca="1">SUMIFS($N$2:$N1591,$B$2:$B1591,"&lt;&gt;"&amp;B1591)+SUM($Q$2:$Q1591)</f>
        <v>135.05500000000001</v>
      </c>
      <c r="R1591" t="b">
        <f>AND(ISNUMBER(FIND($E1591,Tables!$I$2)), ISNUMBER(FIND($D1591,Tables!$J$2)), $E1591&lt;&gt;"")</f>
        <v>0</v>
      </c>
    </row>
    <row r="1592" spans="1:18" x14ac:dyDescent="0.3">
      <c r="A1592">
        <f t="shared" si="126"/>
        <v>1575</v>
      </c>
      <c r="B1592" s="4"/>
      <c r="I1592" s="8"/>
      <c r="J1592" s="5" t="str">
        <f t="shared" si="124"/>
        <v/>
      </c>
      <c r="K1592" s="3"/>
      <c r="L1592" s="3" t="str">
        <f t="shared" si="128"/>
        <v/>
      </c>
      <c r="N1592" s="3" t="str">
        <f t="shared" si="127"/>
        <v/>
      </c>
      <c r="O1592" s="6" t="str">
        <f t="shared" si="125"/>
        <v/>
      </c>
      <c r="P1592" s="7">
        <f ca="1">SUMIFS($N$2:$N1592,$B$2:$B1592,"&lt;&gt;"&amp;B1592)+SUM($Q$2:$Q1592)</f>
        <v>135.05500000000001</v>
      </c>
      <c r="R1592" t="b">
        <f>AND(ISNUMBER(FIND($E1592,Tables!$I$2)), ISNUMBER(FIND($D1592,Tables!$J$2)), $E1592&lt;&gt;"")</f>
        <v>0</v>
      </c>
    </row>
    <row r="1593" spans="1:18" x14ac:dyDescent="0.3">
      <c r="A1593">
        <f t="shared" si="126"/>
        <v>1576</v>
      </c>
      <c r="B1593" s="4"/>
      <c r="I1593" s="8"/>
      <c r="J1593" s="5" t="str">
        <f t="shared" si="124"/>
        <v/>
      </c>
      <c r="K1593" s="3"/>
      <c r="L1593" s="3" t="str">
        <f t="shared" si="128"/>
        <v/>
      </c>
      <c r="N1593" s="3" t="str">
        <f t="shared" si="127"/>
        <v/>
      </c>
      <c r="O1593" s="6" t="str">
        <f t="shared" si="125"/>
        <v/>
      </c>
      <c r="P1593" s="7">
        <f ca="1">SUMIFS($N$2:$N1593,$B$2:$B1593,"&lt;&gt;"&amp;B1593)+SUM($Q$2:$Q1593)</f>
        <v>135.05500000000001</v>
      </c>
      <c r="R1593" t="b">
        <f>AND(ISNUMBER(FIND($E1593,Tables!$I$2)), ISNUMBER(FIND($D1593,Tables!$J$2)), $E1593&lt;&gt;"")</f>
        <v>0</v>
      </c>
    </row>
    <row r="1594" spans="1:18" x14ac:dyDescent="0.3">
      <c r="A1594">
        <f t="shared" si="126"/>
        <v>1577</v>
      </c>
      <c r="B1594" s="4"/>
      <c r="I1594" s="8"/>
      <c r="J1594" s="5" t="str">
        <f t="shared" si="124"/>
        <v/>
      </c>
      <c r="K1594" s="3"/>
      <c r="L1594" s="3" t="str">
        <f t="shared" si="128"/>
        <v/>
      </c>
      <c r="N1594" s="3" t="str">
        <f t="shared" si="127"/>
        <v/>
      </c>
      <c r="O1594" s="6" t="str">
        <f t="shared" si="125"/>
        <v/>
      </c>
      <c r="P1594" s="7">
        <f ca="1">SUMIFS($N$2:$N1594,$B$2:$B1594,"&lt;&gt;"&amp;B1594)+SUM($Q$2:$Q1594)</f>
        <v>135.05500000000001</v>
      </c>
      <c r="R1594" t="b">
        <f>AND(ISNUMBER(FIND($E1594,Tables!$I$2)), ISNUMBER(FIND($D1594,Tables!$J$2)), $E1594&lt;&gt;"")</f>
        <v>0</v>
      </c>
    </row>
    <row r="1595" spans="1:18" x14ac:dyDescent="0.3">
      <c r="A1595">
        <f t="shared" si="126"/>
        <v>1578</v>
      </c>
      <c r="B1595" s="4"/>
      <c r="I1595" s="8"/>
      <c r="J1595" s="5" t="str">
        <f t="shared" si="124"/>
        <v/>
      </c>
      <c r="K1595" s="3"/>
      <c r="L1595" s="3" t="str">
        <f t="shared" si="128"/>
        <v/>
      </c>
      <c r="N1595" s="3" t="str">
        <f t="shared" si="127"/>
        <v/>
      </c>
      <c r="O1595" s="6" t="str">
        <f t="shared" si="125"/>
        <v/>
      </c>
      <c r="P1595" s="7">
        <f ca="1">SUMIFS($N$2:$N1595,$B$2:$B1595,"&lt;&gt;"&amp;B1595)+SUM($Q$2:$Q1595)</f>
        <v>135.05500000000001</v>
      </c>
      <c r="R1595" t="b">
        <f>AND(ISNUMBER(FIND($E1595,Tables!$I$2)), ISNUMBER(FIND($D1595,Tables!$J$2)), $E1595&lt;&gt;"")</f>
        <v>0</v>
      </c>
    </row>
    <row r="1596" spans="1:18" x14ac:dyDescent="0.3">
      <c r="A1596">
        <f t="shared" si="126"/>
        <v>1579</v>
      </c>
      <c r="B1596" s="4"/>
      <c r="I1596" s="8"/>
      <c r="J1596" s="5" t="str">
        <f t="shared" si="124"/>
        <v/>
      </c>
      <c r="K1596" s="3"/>
      <c r="L1596" s="3" t="str">
        <f t="shared" si="128"/>
        <v/>
      </c>
      <c r="N1596" s="3" t="str">
        <f t="shared" si="127"/>
        <v/>
      </c>
      <c r="O1596" s="6" t="str">
        <f t="shared" si="125"/>
        <v/>
      </c>
      <c r="P1596" s="7">
        <f ca="1">SUMIFS($N$2:$N1596,$B$2:$B1596,"&lt;&gt;"&amp;B1596)+SUM($Q$2:$Q1596)</f>
        <v>135.05500000000001</v>
      </c>
      <c r="R1596" t="b">
        <f>AND(ISNUMBER(FIND($E1596,Tables!$I$2)), ISNUMBER(FIND($D1596,Tables!$J$2)), $E1596&lt;&gt;"")</f>
        <v>0</v>
      </c>
    </row>
    <row r="1597" spans="1:18" x14ac:dyDescent="0.3">
      <c r="A1597">
        <f t="shared" si="126"/>
        <v>1580</v>
      </c>
      <c r="B1597" s="4"/>
      <c r="I1597" s="8"/>
      <c r="J1597" s="5" t="str">
        <f t="shared" si="124"/>
        <v/>
      </c>
      <c r="K1597" s="3"/>
      <c r="L1597" s="3" t="str">
        <f t="shared" si="128"/>
        <v/>
      </c>
      <c r="N1597" s="3" t="str">
        <f t="shared" si="127"/>
        <v/>
      </c>
      <c r="O1597" s="6" t="str">
        <f t="shared" si="125"/>
        <v/>
      </c>
      <c r="P1597" s="7">
        <f ca="1">SUMIFS($N$2:$N1597,$B$2:$B1597,"&lt;&gt;"&amp;B1597)+SUM($Q$2:$Q1597)</f>
        <v>135.05500000000001</v>
      </c>
      <c r="R1597" t="b">
        <f>AND(ISNUMBER(FIND($E1597,Tables!$I$2)), ISNUMBER(FIND($D1597,Tables!$J$2)), $E1597&lt;&gt;"")</f>
        <v>0</v>
      </c>
    </row>
    <row r="1598" spans="1:18" x14ac:dyDescent="0.3">
      <c r="A1598">
        <f t="shared" si="126"/>
        <v>1581</v>
      </c>
      <c r="B1598" s="4"/>
      <c r="I1598" s="8"/>
      <c r="J1598" s="5" t="str">
        <f t="shared" si="124"/>
        <v/>
      </c>
      <c r="K1598" s="3"/>
      <c r="L1598" s="3" t="str">
        <f t="shared" si="128"/>
        <v/>
      </c>
      <c r="N1598" s="3" t="str">
        <f t="shared" si="127"/>
        <v/>
      </c>
      <c r="O1598" s="6" t="str">
        <f t="shared" si="125"/>
        <v/>
      </c>
      <c r="P1598" s="7">
        <f ca="1">SUMIFS($N$2:$N1598,$B$2:$B1598,"&lt;&gt;"&amp;B1598)+SUM($Q$2:$Q1598)</f>
        <v>135.05500000000001</v>
      </c>
      <c r="R1598" t="b">
        <f>AND(ISNUMBER(FIND($E1598,Tables!$I$2)), ISNUMBER(FIND($D1598,Tables!$J$2)), $E1598&lt;&gt;"")</f>
        <v>0</v>
      </c>
    </row>
    <row r="1599" spans="1:18" x14ac:dyDescent="0.3">
      <c r="A1599">
        <f t="shared" si="126"/>
        <v>1582</v>
      </c>
      <c r="B1599" s="4"/>
      <c r="I1599" s="8"/>
      <c r="J1599" s="5" t="str">
        <f t="shared" si="124"/>
        <v/>
      </c>
      <c r="K1599" s="3"/>
      <c r="L1599" s="3" t="str">
        <f t="shared" si="128"/>
        <v/>
      </c>
      <c r="N1599" s="3" t="str">
        <f t="shared" si="127"/>
        <v/>
      </c>
      <c r="O1599" s="6" t="str">
        <f t="shared" si="125"/>
        <v/>
      </c>
      <c r="P1599" s="7">
        <f ca="1">SUMIFS($N$2:$N1599,$B$2:$B1599,"&lt;&gt;"&amp;B1599)+SUM($Q$2:$Q1599)</f>
        <v>135.05500000000001</v>
      </c>
      <c r="R1599" t="b">
        <f>AND(ISNUMBER(FIND($E1599,Tables!$I$2)), ISNUMBER(FIND($D1599,Tables!$J$2)), $E1599&lt;&gt;"")</f>
        <v>0</v>
      </c>
    </row>
    <row r="1600" spans="1:18" x14ac:dyDescent="0.3">
      <c r="A1600">
        <f t="shared" si="126"/>
        <v>1583</v>
      </c>
      <c r="B1600" s="4"/>
      <c r="I1600" s="8"/>
      <c r="J1600" s="5" t="str">
        <f t="shared" si="124"/>
        <v/>
      </c>
      <c r="K1600" s="3"/>
      <c r="L1600" s="3" t="str">
        <f t="shared" si="128"/>
        <v/>
      </c>
      <c r="N1600" s="3" t="str">
        <f t="shared" si="127"/>
        <v/>
      </c>
      <c r="O1600" s="6" t="str">
        <f t="shared" si="125"/>
        <v/>
      </c>
      <c r="P1600" s="7">
        <f ca="1">SUMIFS($N$2:$N1600,$B$2:$B1600,"&lt;&gt;"&amp;B1600)+SUM($Q$2:$Q1600)</f>
        <v>135.05500000000001</v>
      </c>
      <c r="R1600" t="b">
        <f>AND(ISNUMBER(FIND($E1600,Tables!$I$2)), ISNUMBER(FIND($D1600,Tables!$J$2)), $E1600&lt;&gt;"")</f>
        <v>0</v>
      </c>
    </row>
    <row r="1601" spans="1:18" x14ac:dyDescent="0.3">
      <c r="A1601">
        <f t="shared" si="126"/>
        <v>1584</v>
      </c>
      <c r="B1601" s="4"/>
      <c r="I1601" s="8"/>
      <c r="J1601" s="5" t="str">
        <f t="shared" si="124"/>
        <v/>
      </c>
      <c r="K1601" s="3"/>
      <c r="L1601" s="3" t="str">
        <f t="shared" si="128"/>
        <v/>
      </c>
      <c r="N1601" s="3" t="str">
        <f t="shared" si="127"/>
        <v/>
      </c>
      <c r="O1601" s="6" t="str">
        <f t="shared" si="125"/>
        <v/>
      </c>
      <c r="P1601" s="7">
        <f ca="1">SUMIFS($N$2:$N1601,$B$2:$B1601,"&lt;&gt;"&amp;B1601)+SUM($Q$2:$Q1601)</f>
        <v>135.05500000000001</v>
      </c>
      <c r="R1601" t="b">
        <f>AND(ISNUMBER(FIND($E1601,Tables!$I$2)), ISNUMBER(FIND($D1601,Tables!$J$2)), $E1601&lt;&gt;"")</f>
        <v>0</v>
      </c>
    </row>
    <row r="1602" spans="1:18" x14ac:dyDescent="0.3">
      <c r="A1602">
        <f t="shared" si="126"/>
        <v>1585</v>
      </c>
      <c r="B1602" s="4"/>
      <c r="I1602" s="8"/>
      <c r="J1602" s="5" t="str">
        <f t="shared" ref="J1602:J1665" si="129">IF(I1602="", "", IF(I1602&gt;0, I1602/100 +1, -100/I1602 +1))</f>
        <v/>
      </c>
      <c r="K1602" s="3"/>
      <c r="L1602" s="3" t="str">
        <f t="shared" si="128"/>
        <v/>
      </c>
      <c r="N1602" s="3" t="str">
        <f t="shared" si="127"/>
        <v/>
      </c>
      <c r="O1602" s="6" t="str">
        <f t="shared" ref="O1602:O1665" si="130">IFERROR(K1602/VLOOKUP(_xlfn.MINIFS(A:A,B:B,B1602,C:C,C1602),A:P,16),"")</f>
        <v/>
      </c>
      <c r="P1602" s="7">
        <f ca="1">SUMIFS($N$2:$N1602,$B$2:$B1602,"&lt;&gt;"&amp;B1602)+SUM($Q$2:$Q1602)</f>
        <v>135.05500000000001</v>
      </c>
      <c r="R1602" t="b">
        <f>AND(ISNUMBER(FIND($E1602,Tables!$I$2)), ISNUMBER(FIND($D1602,Tables!$J$2)), $E1602&lt;&gt;"")</f>
        <v>0</v>
      </c>
    </row>
    <row r="1603" spans="1:18" x14ac:dyDescent="0.3">
      <c r="A1603">
        <f t="shared" si="126"/>
        <v>1586</v>
      </c>
      <c r="B1603" s="4"/>
      <c r="I1603" s="8"/>
      <c r="J1603" s="5" t="str">
        <f t="shared" si="129"/>
        <v/>
      </c>
      <c r="K1603" s="3"/>
      <c r="L1603" s="3" t="str">
        <f t="shared" si="128"/>
        <v/>
      </c>
      <c r="N1603" s="3" t="str">
        <f t="shared" si="127"/>
        <v/>
      </c>
      <c r="O1603" s="6" t="str">
        <f t="shared" si="130"/>
        <v/>
      </c>
      <c r="P1603" s="7">
        <f ca="1">SUMIFS($N$2:$N1603,$B$2:$B1603,"&lt;&gt;"&amp;B1603)+SUM($Q$2:$Q1603)</f>
        <v>135.05500000000001</v>
      </c>
      <c r="R1603" t="b">
        <f>AND(ISNUMBER(FIND($E1603,Tables!$I$2)), ISNUMBER(FIND($D1603,Tables!$J$2)), $E1603&lt;&gt;"")</f>
        <v>0</v>
      </c>
    </row>
    <row r="1604" spans="1:18" x14ac:dyDescent="0.3">
      <c r="A1604">
        <f t="shared" si="126"/>
        <v>1587</v>
      </c>
      <c r="B1604" s="4"/>
      <c r="I1604" s="8"/>
      <c r="J1604" s="5" t="str">
        <f t="shared" si="129"/>
        <v/>
      </c>
      <c r="K1604" s="3"/>
      <c r="L1604" s="3" t="str">
        <f t="shared" si="128"/>
        <v/>
      </c>
      <c r="N1604" s="3" t="str">
        <f t="shared" si="127"/>
        <v/>
      </c>
      <c r="O1604" s="6" t="str">
        <f t="shared" si="130"/>
        <v/>
      </c>
      <c r="P1604" s="7">
        <f ca="1">SUMIFS($N$2:$N1604,$B$2:$B1604,"&lt;&gt;"&amp;B1604)+SUM($Q$2:$Q1604)</f>
        <v>135.05500000000001</v>
      </c>
      <c r="R1604" t="b">
        <f>AND(ISNUMBER(FIND($E1604,Tables!$I$2)), ISNUMBER(FIND($D1604,Tables!$J$2)), $E1604&lt;&gt;"")</f>
        <v>0</v>
      </c>
    </row>
    <row r="1605" spans="1:18" x14ac:dyDescent="0.3">
      <c r="A1605">
        <f t="shared" si="126"/>
        <v>1588</v>
      </c>
      <c r="B1605" s="4"/>
      <c r="I1605" s="8"/>
      <c r="J1605" s="5" t="str">
        <f t="shared" si="129"/>
        <v/>
      </c>
      <c r="K1605" s="3"/>
      <c r="L1605" s="3" t="str">
        <f t="shared" si="128"/>
        <v/>
      </c>
      <c r="N1605" s="3" t="str">
        <f t="shared" si="127"/>
        <v/>
      </c>
      <c r="O1605" s="6" t="str">
        <f t="shared" si="130"/>
        <v/>
      </c>
      <c r="P1605" s="7">
        <f ca="1">SUMIFS($N$2:$N1605,$B$2:$B1605,"&lt;&gt;"&amp;B1605)+SUM($Q$2:$Q1605)</f>
        <v>135.05500000000001</v>
      </c>
      <c r="R1605" t="b">
        <f>AND(ISNUMBER(FIND($E1605,Tables!$I$2)), ISNUMBER(FIND($D1605,Tables!$J$2)), $E1605&lt;&gt;"")</f>
        <v>0</v>
      </c>
    </row>
    <row r="1606" spans="1:18" x14ac:dyDescent="0.3">
      <c r="A1606">
        <f t="shared" si="126"/>
        <v>1589</v>
      </c>
      <c r="B1606" s="4"/>
      <c r="I1606" s="8"/>
      <c r="J1606" s="5" t="str">
        <f t="shared" si="129"/>
        <v/>
      </c>
      <c r="K1606" s="3"/>
      <c r="L1606" s="3" t="str">
        <f t="shared" si="128"/>
        <v/>
      </c>
      <c r="N1606" s="3" t="str">
        <f t="shared" si="127"/>
        <v/>
      </c>
      <c r="O1606" s="6" t="str">
        <f t="shared" si="130"/>
        <v/>
      </c>
      <c r="P1606" s="7">
        <f ca="1">SUMIFS($N$2:$N1606,$B$2:$B1606,"&lt;&gt;"&amp;B1606)+SUM($Q$2:$Q1606)</f>
        <v>135.05500000000001</v>
      </c>
      <c r="R1606" t="b">
        <f>AND(ISNUMBER(FIND($E1606,Tables!$I$2)), ISNUMBER(FIND($D1606,Tables!$J$2)), $E1606&lt;&gt;"")</f>
        <v>0</v>
      </c>
    </row>
    <row r="1607" spans="1:18" x14ac:dyDescent="0.3">
      <c r="A1607">
        <f t="shared" si="126"/>
        <v>1590</v>
      </c>
      <c r="B1607" s="4"/>
      <c r="I1607" s="8"/>
      <c r="J1607" s="5" t="str">
        <f t="shared" si="129"/>
        <v/>
      </c>
      <c r="K1607" s="3"/>
      <c r="L1607" s="3" t="str">
        <f t="shared" si="128"/>
        <v/>
      </c>
      <c r="N1607" s="3" t="str">
        <f t="shared" si="127"/>
        <v/>
      </c>
      <c r="O1607" s="6" t="str">
        <f t="shared" si="130"/>
        <v/>
      </c>
      <c r="P1607" s="7">
        <f ca="1">SUMIFS($N$2:$N1607,$B$2:$B1607,"&lt;&gt;"&amp;B1607)+SUM($Q$2:$Q1607)</f>
        <v>135.05500000000001</v>
      </c>
      <c r="R1607" t="b">
        <f>AND(ISNUMBER(FIND($E1607,Tables!$I$2)), ISNUMBER(FIND($D1607,Tables!$J$2)), $E1607&lt;&gt;"")</f>
        <v>0</v>
      </c>
    </row>
    <row r="1608" spans="1:18" x14ac:dyDescent="0.3">
      <c r="A1608">
        <f t="shared" si="126"/>
        <v>1591</v>
      </c>
      <c r="B1608" s="4"/>
      <c r="I1608" s="8"/>
      <c r="J1608" s="5" t="str">
        <f t="shared" si="129"/>
        <v/>
      </c>
      <c r="K1608" s="3"/>
      <c r="L1608" s="3" t="str">
        <f t="shared" si="128"/>
        <v/>
      </c>
      <c r="N1608" s="3" t="str">
        <f t="shared" si="127"/>
        <v/>
      </c>
      <c r="O1608" s="6" t="str">
        <f t="shared" si="130"/>
        <v/>
      </c>
      <c r="P1608" s="7">
        <f ca="1">SUMIFS($N$2:$N1608,$B$2:$B1608,"&lt;&gt;"&amp;B1608)+SUM($Q$2:$Q1608)</f>
        <v>135.05500000000001</v>
      </c>
      <c r="R1608" t="b">
        <f>AND(ISNUMBER(FIND($E1608,Tables!$I$2)), ISNUMBER(FIND($D1608,Tables!$J$2)), $E1608&lt;&gt;"")</f>
        <v>0</v>
      </c>
    </row>
    <row r="1609" spans="1:18" x14ac:dyDescent="0.3">
      <c r="A1609">
        <f t="shared" si="126"/>
        <v>1592</v>
      </c>
      <c r="B1609" s="4"/>
      <c r="I1609" s="8"/>
      <c r="J1609" s="5" t="str">
        <f t="shared" si="129"/>
        <v/>
      </c>
      <c r="K1609" s="3"/>
      <c r="L1609" s="3" t="str">
        <f t="shared" si="128"/>
        <v/>
      </c>
      <c r="N1609" s="3" t="str">
        <f t="shared" si="127"/>
        <v/>
      </c>
      <c r="O1609" s="6" t="str">
        <f t="shared" si="130"/>
        <v/>
      </c>
      <c r="P1609" s="7">
        <f ca="1">SUMIFS($N$2:$N1609,$B$2:$B1609,"&lt;&gt;"&amp;B1609)+SUM($Q$2:$Q1609)</f>
        <v>135.05500000000001</v>
      </c>
      <c r="R1609" t="b">
        <f>AND(ISNUMBER(FIND($E1609,Tables!$I$2)), ISNUMBER(FIND($D1609,Tables!$J$2)), $E1609&lt;&gt;"")</f>
        <v>0</v>
      </c>
    </row>
    <row r="1610" spans="1:18" x14ac:dyDescent="0.3">
      <c r="A1610">
        <f t="shared" si="126"/>
        <v>1593</v>
      </c>
      <c r="B1610" s="4"/>
      <c r="I1610" s="8"/>
      <c r="J1610" s="5" t="str">
        <f t="shared" si="129"/>
        <v/>
      </c>
      <c r="K1610" s="3"/>
      <c r="L1610" s="3" t="str">
        <f t="shared" si="128"/>
        <v/>
      </c>
      <c r="N1610" s="3" t="str">
        <f t="shared" si="127"/>
        <v/>
      </c>
      <c r="O1610" s="6" t="str">
        <f t="shared" si="130"/>
        <v/>
      </c>
      <c r="P1610" s="7">
        <f ca="1">SUMIFS($N$2:$N1610,$B$2:$B1610,"&lt;&gt;"&amp;B1610)+SUM($Q$2:$Q1610)</f>
        <v>135.05500000000001</v>
      </c>
      <c r="R1610" t="b">
        <f>AND(ISNUMBER(FIND($E1610,Tables!$I$2)), ISNUMBER(FIND($D1610,Tables!$J$2)), $E1610&lt;&gt;"")</f>
        <v>0</v>
      </c>
    </row>
    <row r="1611" spans="1:18" x14ac:dyDescent="0.3">
      <c r="A1611">
        <f t="shared" si="126"/>
        <v>1594</v>
      </c>
      <c r="B1611" s="4"/>
      <c r="I1611" s="8"/>
      <c r="J1611" s="5" t="str">
        <f t="shared" si="129"/>
        <v/>
      </c>
      <c r="K1611" s="3"/>
      <c r="L1611" s="3" t="str">
        <f t="shared" si="128"/>
        <v/>
      </c>
      <c r="N1611" s="3" t="str">
        <f t="shared" si="127"/>
        <v/>
      </c>
      <c r="O1611" s="6" t="str">
        <f t="shared" si="130"/>
        <v/>
      </c>
      <c r="P1611" s="7">
        <f ca="1">SUMIFS($N$2:$N1611,$B$2:$B1611,"&lt;&gt;"&amp;B1611)+SUM($Q$2:$Q1611)</f>
        <v>135.05500000000001</v>
      </c>
      <c r="R1611" t="b">
        <f>AND(ISNUMBER(FIND($E1611,Tables!$I$2)), ISNUMBER(FIND($D1611,Tables!$J$2)), $E1611&lt;&gt;"")</f>
        <v>0</v>
      </c>
    </row>
    <row r="1612" spans="1:18" x14ac:dyDescent="0.3">
      <c r="A1612">
        <f t="shared" si="126"/>
        <v>1595</v>
      </c>
      <c r="B1612" s="4"/>
      <c r="I1612" s="8"/>
      <c r="J1612" s="5" t="str">
        <f t="shared" si="129"/>
        <v/>
      </c>
      <c r="K1612" s="3"/>
      <c r="L1612" s="3" t="str">
        <f t="shared" si="128"/>
        <v/>
      </c>
      <c r="N1612" s="3" t="str">
        <f t="shared" si="127"/>
        <v/>
      </c>
      <c r="O1612" s="6" t="str">
        <f t="shared" si="130"/>
        <v/>
      </c>
      <c r="P1612" s="7">
        <f ca="1">SUMIFS($N$2:$N1612,$B$2:$B1612,"&lt;&gt;"&amp;B1612)+SUM($Q$2:$Q1612)</f>
        <v>135.05500000000001</v>
      </c>
      <c r="R1612" t="b">
        <f>AND(ISNUMBER(FIND($E1612,Tables!$I$2)), ISNUMBER(FIND($D1612,Tables!$J$2)), $E1612&lt;&gt;"")</f>
        <v>0</v>
      </c>
    </row>
    <row r="1613" spans="1:18" x14ac:dyDescent="0.3">
      <c r="A1613">
        <f t="shared" si="126"/>
        <v>1596</v>
      </c>
      <c r="B1613" s="4"/>
      <c r="I1613" s="8"/>
      <c r="J1613" s="5" t="str">
        <f t="shared" si="129"/>
        <v/>
      </c>
      <c r="K1613" s="3"/>
      <c r="L1613" s="3" t="str">
        <f t="shared" si="128"/>
        <v/>
      </c>
      <c r="N1613" s="3" t="str">
        <f t="shared" si="127"/>
        <v/>
      </c>
      <c r="O1613" s="6" t="str">
        <f t="shared" si="130"/>
        <v/>
      </c>
      <c r="P1613" s="7">
        <f ca="1">SUMIFS($N$2:$N1613,$B$2:$B1613,"&lt;&gt;"&amp;B1613)+SUM($Q$2:$Q1613)</f>
        <v>135.05500000000001</v>
      </c>
      <c r="R1613" t="b">
        <f>AND(ISNUMBER(FIND($E1613,Tables!$I$2)), ISNUMBER(FIND($D1613,Tables!$J$2)), $E1613&lt;&gt;"")</f>
        <v>0</v>
      </c>
    </row>
    <row r="1614" spans="1:18" x14ac:dyDescent="0.3">
      <c r="A1614">
        <f t="shared" si="126"/>
        <v>1597</v>
      </c>
      <c r="B1614" s="4"/>
      <c r="I1614" s="8"/>
      <c r="J1614" s="5" t="str">
        <f t="shared" si="129"/>
        <v/>
      </c>
      <c r="K1614" s="3"/>
      <c r="L1614" s="3" t="str">
        <f t="shared" si="128"/>
        <v/>
      </c>
      <c r="N1614" s="3" t="str">
        <f t="shared" si="127"/>
        <v/>
      </c>
      <c r="O1614" s="6" t="str">
        <f t="shared" si="130"/>
        <v/>
      </c>
      <c r="P1614" s="7">
        <f ca="1">SUMIFS($N$2:$N1614,$B$2:$B1614,"&lt;&gt;"&amp;B1614)+SUM($Q$2:$Q1614)</f>
        <v>135.05500000000001</v>
      </c>
      <c r="R1614" t="b">
        <f>AND(ISNUMBER(FIND($E1614,Tables!$I$2)), ISNUMBER(FIND($D1614,Tables!$J$2)), $E1614&lt;&gt;"")</f>
        <v>0</v>
      </c>
    </row>
    <row r="1615" spans="1:18" x14ac:dyDescent="0.3">
      <c r="A1615">
        <f t="shared" si="126"/>
        <v>1598</v>
      </c>
      <c r="B1615" s="4"/>
      <c r="I1615" s="8"/>
      <c r="J1615" s="5" t="str">
        <f t="shared" si="129"/>
        <v/>
      </c>
      <c r="K1615" s="3"/>
      <c r="L1615" s="3" t="str">
        <f t="shared" si="128"/>
        <v/>
      </c>
      <c r="N1615" s="3" t="str">
        <f t="shared" si="127"/>
        <v/>
      </c>
      <c r="O1615" s="6" t="str">
        <f t="shared" si="130"/>
        <v/>
      </c>
      <c r="P1615" s="7">
        <f ca="1">SUMIFS($N$2:$N1615,$B$2:$B1615,"&lt;&gt;"&amp;B1615)+SUM($Q$2:$Q1615)</f>
        <v>135.05500000000001</v>
      </c>
      <c r="R1615" t="b">
        <f>AND(ISNUMBER(FIND($E1615,Tables!$I$2)), ISNUMBER(FIND($D1615,Tables!$J$2)), $E1615&lt;&gt;"")</f>
        <v>0</v>
      </c>
    </row>
    <row r="1616" spans="1:18" x14ac:dyDescent="0.3">
      <c r="A1616">
        <f t="shared" si="126"/>
        <v>1599</v>
      </c>
      <c r="B1616" s="4"/>
      <c r="I1616" s="8"/>
      <c r="J1616" s="5" t="str">
        <f t="shared" si="129"/>
        <v/>
      </c>
      <c r="K1616" s="3"/>
      <c r="L1616" s="3" t="str">
        <f t="shared" si="128"/>
        <v/>
      </c>
      <c r="N1616" s="3" t="str">
        <f t="shared" si="127"/>
        <v/>
      </c>
      <c r="O1616" s="6" t="str">
        <f t="shared" si="130"/>
        <v/>
      </c>
      <c r="P1616" s="7">
        <f ca="1">SUMIFS($N$2:$N1616,$B$2:$B1616,"&lt;&gt;"&amp;B1616)+SUM($Q$2:$Q1616)</f>
        <v>135.05500000000001</v>
      </c>
      <c r="R1616" t="b">
        <f>AND(ISNUMBER(FIND($E1616,Tables!$I$2)), ISNUMBER(FIND($D1616,Tables!$J$2)), $E1616&lt;&gt;"")</f>
        <v>0</v>
      </c>
    </row>
    <row r="1617" spans="1:18" x14ac:dyDescent="0.3">
      <c r="A1617">
        <f t="shared" si="126"/>
        <v>1600</v>
      </c>
      <c r="B1617" s="4"/>
      <c r="I1617" s="8"/>
      <c r="J1617" s="5" t="str">
        <f t="shared" si="129"/>
        <v/>
      </c>
      <c r="K1617" s="3"/>
      <c r="L1617" s="3" t="str">
        <f t="shared" si="128"/>
        <v/>
      </c>
      <c r="N1617" s="3" t="str">
        <f t="shared" si="127"/>
        <v/>
      </c>
      <c r="O1617" s="6" t="str">
        <f t="shared" si="130"/>
        <v/>
      </c>
      <c r="P1617" s="7">
        <f ca="1">SUMIFS($N$2:$N1617,$B$2:$B1617,"&lt;&gt;"&amp;B1617)+SUM($Q$2:$Q1617)</f>
        <v>135.05500000000001</v>
      </c>
      <c r="R1617" t="b">
        <f>AND(ISNUMBER(FIND($E1617,Tables!$I$2)), ISNUMBER(FIND($D1617,Tables!$J$2)), $E1617&lt;&gt;"")</f>
        <v>0</v>
      </c>
    </row>
    <row r="1618" spans="1:18" x14ac:dyDescent="0.3">
      <c r="A1618">
        <f t="shared" si="126"/>
        <v>1601</v>
      </c>
      <c r="B1618" s="4"/>
      <c r="I1618" s="8"/>
      <c r="J1618" s="5" t="str">
        <f t="shared" si="129"/>
        <v/>
      </c>
      <c r="K1618" s="3"/>
      <c r="L1618" s="3" t="str">
        <f t="shared" si="128"/>
        <v/>
      </c>
      <c r="N1618" s="3" t="str">
        <f t="shared" si="127"/>
        <v/>
      </c>
      <c r="O1618" s="6" t="str">
        <f t="shared" si="130"/>
        <v/>
      </c>
      <c r="P1618" s="7">
        <f ca="1">SUMIFS($N$2:$N1618,$B$2:$B1618,"&lt;&gt;"&amp;B1618)+SUM($Q$2:$Q1618)</f>
        <v>135.05500000000001</v>
      </c>
      <c r="R1618" t="b">
        <f>AND(ISNUMBER(FIND($E1618,Tables!$I$2)), ISNUMBER(FIND($D1618,Tables!$J$2)), $E1618&lt;&gt;"")</f>
        <v>0</v>
      </c>
    </row>
    <row r="1619" spans="1:18" x14ac:dyDescent="0.3">
      <c r="A1619">
        <f t="shared" si="126"/>
        <v>1602</v>
      </c>
      <c r="B1619" s="4"/>
      <c r="I1619" s="8"/>
      <c r="J1619" s="5" t="str">
        <f t="shared" si="129"/>
        <v/>
      </c>
      <c r="K1619" s="3"/>
      <c r="L1619" s="3" t="str">
        <f t="shared" si="128"/>
        <v/>
      </c>
      <c r="N1619" s="3" t="str">
        <f t="shared" si="127"/>
        <v/>
      </c>
      <c r="O1619" s="6" t="str">
        <f t="shared" si="130"/>
        <v/>
      </c>
      <c r="P1619" s="7">
        <f ca="1">SUMIFS($N$2:$N1619,$B$2:$B1619,"&lt;&gt;"&amp;B1619)+SUM($Q$2:$Q1619)</f>
        <v>135.05500000000001</v>
      </c>
      <c r="R1619" t="b">
        <f>AND(ISNUMBER(FIND($E1619,Tables!$I$2)), ISNUMBER(FIND($D1619,Tables!$J$2)), $E1619&lt;&gt;"")</f>
        <v>0</v>
      </c>
    </row>
    <row r="1620" spans="1:18" x14ac:dyDescent="0.3">
      <c r="A1620">
        <f t="shared" si="126"/>
        <v>1603</v>
      </c>
      <c r="B1620" s="4"/>
      <c r="I1620" s="8"/>
      <c r="J1620" s="5" t="str">
        <f t="shared" si="129"/>
        <v/>
      </c>
      <c r="K1620" s="3"/>
      <c r="L1620" s="3" t="str">
        <f t="shared" si="128"/>
        <v/>
      </c>
      <c r="N1620" s="3" t="str">
        <f t="shared" si="127"/>
        <v/>
      </c>
      <c r="O1620" s="6" t="str">
        <f t="shared" si="130"/>
        <v/>
      </c>
      <c r="P1620" s="7">
        <f ca="1">SUMIFS($N$2:$N1620,$B$2:$B1620,"&lt;&gt;"&amp;B1620)+SUM($Q$2:$Q1620)</f>
        <v>135.05500000000001</v>
      </c>
      <c r="R1620" t="b">
        <f>AND(ISNUMBER(FIND($E1620,Tables!$I$2)), ISNUMBER(FIND($D1620,Tables!$J$2)), $E1620&lt;&gt;"")</f>
        <v>0</v>
      </c>
    </row>
    <row r="1621" spans="1:18" x14ac:dyDescent="0.3">
      <c r="A1621">
        <f t="shared" si="126"/>
        <v>1604</v>
      </c>
      <c r="B1621" s="4"/>
      <c r="I1621" s="8"/>
      <c r="J1621" s="5" t="str">
        <f t="shared" si="129"/>
        <v/>
      </c>
      <c r="K1621" s="3"/>
      <c r="L1621" s="3" t="str">
        <f t="shared" si="128"/>
        <v/>
      </c>
      <c r="N1621" s="3" t="str">
        <f t="shared" si="127"/>
        <v/>
      </c>
      <c r="O1621" s="6" t="str">
        <f t="shared" si="130"/>
        <v/>
      </c>
      <c r="P1621" s="7">
        <f ca="1">SUMIFS($N$2:$N1621,$B$2:$B1621,"&lt;&gt;"&amp;B1621)+SUM($Q$2:$Q1621)</f>
        <v>135.05500000000001</v>
      </c>
      <c r="R1621" t="b">
        <f>AND(ISNUMBER(FIND($E1621,Tables!$I$2)), ISNUMBER(FIND($D1621,Tables!$J$2)), $E1621&lt;&gt;"")</f>
        <v>0</v>
      </c>
    </row>
    <row r="1622" spans="1:18" x14ac:dyDescent="0.3">
      <c r="A1622">
        <f t="shared" si="126"/>
        <v>1605</v>
      </c>
      <c r="B1622" s="4"/>
      <c r="I1622" s="8"/>
      <c r="J1622" s="5" t="str">
        <f t="shared" si="129"/>
        <v/>
      </c>
      <c r="K1622" s="3"/>
      <c r="L1622" s="3" t="str">
        <f t="shared" si="128"/>
        <v/>
      </c>
      <c r="N1622" s="3" t="str">
        <f t="shared" si="127"/>
        <v/>
      </c>
      <c r="O1622" s="6" t="str">
        <f t="shared" si="130"/>
        <v/>
      </c>
      <c r="P1622" s="7">
        <f ca="1">SUMIFS($N$2:$N1622,$B$2:$B1622,"&lt;&gt;"&amp;B1622)+SUM($Q$2:$Q1622)</f>
        <v>135.05500000000001</v>
      </c>
      <c r="R1622" t="b">
        <f>AND(ISNUMBER(FIND($E1622,Tables!$I$2)), ISNUMBER(FIND($D1622,Tables!$J$2)), $E1622&lt;&gt;"")</f>
        <v>0</v>
      </c>
    </row>
    <row r="1623" spans="1:18" x14ac:dyDescent="0.3">
      <c r="A1623">
        <f t="shared" si="126"/>
        <v>1606</v>
      </c>
      <c r="B1623" s="4"/>
      <c r="I1623" s="8"/>
      <c r="J1623" s="5" t="str">
        <f t="shared" si="129"/>
        <v/>
      </c>
      <c r="K1623" s="3"/>
      <c r="L1623" s="3" t="str">
        <f t="shared" si="128"/>
        <v/>
      </c>
      <c r="N1623" s="3" t="str">
        <f t="shared" si="127"/>
        <v/>
      </c>
      <c r="O1623" s="6" t="str">
        <f t="shared" si="130"/>
        <v/>
      </c>
      <c r="P1623" s="7">
        <f ca="1">SUMIFS($N$2:$N1623,$B$2:$B1623,"&lt;&gt;"&amp;B1623)+SUM($Q$2:$Q1623)</f>
        <v>135.05500000000001</v>
      </c>
      <c r="R1623" t="b">
        <f>AND(ISNUMBER(FIND($E1623,Tables!$I$2)), ISNUMBER(FIND($D1623,Tables!$J$2)), $E1623&lt;&gt;"")</f>
        <v>0</v>
      </c>
    </row>
    <row r="1624" spans="1:18" x14ac:dyDescent="0.3">
      <c r="A1624">
        <f t="shared" si="126"/>
        <v>1607</v>
      </c>
      <c r="B1624" s="4"/>
      <c r="I1624" s="8"/>
      <c r="J1624" s="5" t="str">
        <f t="shared" si="129"/>
        <v/>
      </c>
      <c r="K1624" s="3"/>
      <c r="L1624" s="3" t="str">
        <f t="shared" si="128"/>
        <v/>
      </c>
      <c r="N1624" s="3" t="str">
        <f t="shared" si="127"/>
        <v/>
      </c>
      <c r="O1624" s="6" t="str">
        <f t="shared" si="130"/>
        <v/>
      </c>
      <c r="P1624" s="7">
        <f ca="1">SUMIFS($N$2:$N1624,$B$2:$B1624,"&lt;&gt;"&amp;B1624)+SUM($Q$2:$Q1624)</f>
        <v>135.05500000000001</v>
      </c>
      <c r="R1624" t="b">
        <f>AND(ISNUMBER(FIND($E1624,Tables!$I$2)), ISNUMBER(FIND($D1624,Tables!$J$2)), $E1624&lt;&gt;"")</f>
        <v>0</v>
      </c>
    </row>
    <row r="1625" spans="1:18" x14ac:dyDescent="0.3">
      <c r="A1625">
        <f t="shared" si="126"/>
        <v>1608</v>
      </c>
      <c r="B1625" s="4"/>
      <c r="I1625" s="8"/>
      <c r="J1625" s="5" t="str">
        <f t="shared" si="129"/>
        <v/>
      </c>
      <c r="K1625" s="3"/>
      <c r="L1625" s="3" t="str">
        <f t="shared" si="128"/>
        <v/>
      </c>
      <c r="N1625" s="3" t="str">
        <f t="shared" si="127"/>
        <v/>
      </c>
      <c r="O1625" s="6" t="str">
        <f t="shared" si="130"/>
        <v/>
      </c>
      <c r="P1625" s="7">
        <f ca="1">SUMIFS($N$2:$N1625,$B$2:$B1625,"&lt;&gt;"&amp;B1625)+SUM($Q$2:$Q1625)</f>
        <v>135.05500000000001</v>
      </c>
      <c r="R1625" t="b">
        <f>AND(ISNUMBER(FIND($E1625,Tables!$I$2)), ISNUMBER(FIND($D1625,Tables!$J$2)), $E1625&lt;&gt;"")</f>
        <v>0</v>
      </c>
    </row>
    <row r="1626" spans="1:18" x14ac:dyDescent="0.3">
      <c r="A1626">
        <f t="shared" si="126"/>
        <v>1609</v>
      </c>
      <c r="B1626" s="4"/>
      <c r="I1626" s="8"/>
      <c r="J1626" s="5" t="str">
        <f t="shared" si="129"/>
        <v/>
      </c>
      <c r="K1626" s="3"/>
      <c r="L1626" s="3" t="str">
        <f t="shared" si="128"/>
        <v/>
      </c>
      <c r="N1626" s="3" t="str">
        <f t="shared" si="127"/>
        <v/>
      </c>
      <c r="O1626" s="6" t="str">
        <f t="shared" si="130"/>
        <v/>
      </c>
      <c r="P1626" s="7">
        <f ca="1">SUMIFS($N$2:$N1626,$B$2:$B1626,"&lt;&gt;"&amp;B1626)+SUM($Q$2:$Q1626)</f>
        <v>135.05500000000001</v>
      </c>
      <c r="R1626" t="b">
        <f>AND(ISNUMBER(FIND($E1626,Tables!$I$2)), ISNUMBER(FIND($D1626,Tables!$J$2)), $E1626&lt;&gt;"")</f>
        <v>0</v>
      </c>
    </row>
    <row r="1627" spans="1:18" x14ac:dyDescent="0.3">
      <c r="A1627">
        <f t="shared" si="126"/>
        <v>1610</v>
      </c>
      <c r="B1627" s="4"/>
      <c r="I1627" s="8"/>
      <c r="J1627" s="5" t="str">
        <f t="shared" si="129"/>
        <v/>
      </c>
      <c r="K1627" s="3"/>
      <c r="L1627" s="3" t="str">
        <f t="shared" si="128"/>
        <v/>
      </c>
      <c r="N1627" s="3" t="str">
        <f t="shared" si="127"/>
        <v/>
      </c>
      <c r="O1627" s="6" t="str">
        <f t="shared" si="130"/>
        <v/>
      </c>
      <c r="P1627" s="7">
        <f ca="1">SUMIFS($N$2:$N1627,$B$2:$B1627,"&lt;&gt;"&amp;B1627)+SUM($Q$2:$Q1627)</f>
        <v>135.05500000000001</v>
      </c>
      <c r="R1627" t="b">
        <f>AND(ISNUMBER(FIND($E1627,Tables!$I$2)), ISNUMBER(FIND($D1627,Tables!$J$2)), $E1627&lt;&gt;"")</f>
        <v>0</v>
      </c>
    </row>
    <row r="1628" spans="1:18" x14ac:dyDescent="0.3">
      <c r="A1628">
        <f t="shared" si="126"/>
        <v>1611</v>
      </c>
      <c r="B1628" s="4"/>
      <c r="I1628" s="8"/>
      <c r="J1628" s="5" t="str">
        <f t="shared" si="129"/>
        <v/>
      </c>
      <c r="K1628" s="3"/>
      <c r="L1628" s="3" t="str">
        <f t="shared" si="128"/>
        <v/>
      </c>
      <c r="N1628" s="3" t="str">
        <f t="shared" si="127"/>
        <v/>
      </c>
      <c r="O1628" s="6" t="str">
        <f t="shared" si="130"/>
        <v/>
      </c>
      <c r="P1628" s="7">
        <f ca="1">SUMIFS($N$2:$N1628,$B$2:$B1628,"&lt;&gt;"&amp;B1628)+SUM($Q$2:$Q1628)</f>
        <v>135.05500000000001</v>
      </c>
      <c r="R1628" t="b">
        <f>AND(ISNUMBER(FIND($E1628,Tables!$I$2)), ISNUMBER(FIND($D1628,Tables!$J$2)), $E1628&lt;&gt;"")</f>
        <v>0</v>
      </c>
    </row>
    <row r="1629" spans="1:18" x14ac:dyDescent="0.3">
      <c r="A1629">
        <f t="shared" si="126"/>
        <v>1612</v>
      </c>
      <c r="B1629" s="4"/>
      <c r="I1629" s="8"/>
      <c r="J1629" s="5" t="str">
        <f t="shared" si="129"/>
        <v/>
      </c>
      <c r="K1629" s="3"/>
      <c r="L1629" s="3" t="str">
        <f t="shared" si="128"/>
        <v/>
      </c>
      <c r="N1629" s="3" t="str">
        <f t="shared" si="127"/>
        <v/>
      </c>
      <c r="O1629" s="6" t="str">
        <f t="shared" si="130"/>
        <v/>
      </c>
      <c r="P1629" s="7">
        <f ca="1">SUMIFS($N$2:$N1629,$B$2:$B1629,"&lt;&gt;"&amp;B1629)+SUM($Q$2:$Q1629)</f>
        <v>135.05500000000001</v>
      </c>
      <c r="R1629" t="b">
        <f>AND(ISNUMBER(FIND($E1629,Tables!$I$2)), ISNUMBER(FIND($D1629,Tables!$J$2)), $E1629&lt;&gt;"")</f>
        <v>0</v>
      </c>
    </row>
    <row r="1630" spans="1:18" x14ac:dyDescent="0.3">
      <c r="A1630">
        <f t="shared" si="126"/>
        <v>1613</v>
      </c>
      <c r="B1630" s="4"/>
      <c r="I1630" s="8"/>
      <c r="J1630" s="5" t="str">
        <f t="shared" si="129"/>
        <v/>
      </c>
      <c r="K1630" s="3"/>
      <c r="L1630" s="3" t="str">
        <f t="shared" si="128"/>
        <v/>
      </c>
      <c r="N1630" s="3" t="str">
        <f t="shared" si="127"/>
        <v/>
      </c>
      <c r="O1630" s="6" t="str">
        <f t="shared" si="130"/>
        <v/>
      </c>
      <c r="P1630" s="7">
        <f ca="1">SUMIFS($N$2:$N1630,$B$2:$B1630,"&lt;&gt;"&amp;B1630)+SUM($Q$2:$Q1630)</f>
        <v>135.05500000000001</v>
      </c>
      <c r="R1630" t="b">
        <f>AND(ISNUMBER(FIND($E1630,Tables!$I$2)), ISNUMBER(FIND($D1630,Tables!$J$2)), $E1630&lt;&gt;"")</f>
        <v>0</v>
      </c>
    </row>
    <row r="1631" spans="1:18" x14ac:dyDescent="0.3">
      <c r="A1631">
        <f t="shared" si="126"/>
        <v>1614</v>
      </c>
      <c r="B1631" s="4"/>
      <c r="I1631" s="8"/>
      <c r="J1631" s="5" t="str">
        <f t="shared" si="129"/>
        <v/>
      </c>
      <c r="K1631" s="3"/>
      <c r="L1631" s="3" t="str">
        <f t="shared" si="128"/>
        <v/>
      </c>
      <c r="N1631" s="3" t="str">
        <f t="shared" si="127"/>
        <v/>
      </c>
      <c r="O1631" s="6" t="str">
        <f t="shared" si="130"/>
        <v/>
      </c>
      <c r="P1631" s="7">
        <f ca="1">SUMIFS($N$2:$N1631,$B$2:$B1631,"&lt;&gt;"&amp;B1631)+SUM($Q$2:$Q1631)</f>
        <v>135.05500000000001</v>
      </c>
      <c r="R1631" t="b">
        <f>AND(ISNUMBER(FIND($E1631,Tables!$I$2)), ISNUMBER(FIND($D1631,Tables!$J$2)), $E1631&lt;&gt;"")</f>
        <v>0</v>
      </c>
    </row>
    <row r="1632" spans="1:18" x14ac:dyDescent="0.3">
      <c r="A1632">
        <f t="shared" si="126"/>
        <v>1615</v>
      </c>
      <c r="B1632" s="4"/>
      <c r="I1632" s="8"/>
      <c r="J1632" s="5" t="str">
        <f t="shared" si="129"/>
        <v/>
      </c>
      <c r="K1632" s="3"/>
      <c r="L1632" s="3" t="str">
        <f t="shared" si="128"/>
        <v/>
      </c>
      <c r="N1632" s="3" t="str">
        <f t="shared" si="127"/>
        <v/>
      </c>
      <c r="O1632" s="6" t="str">
        <f t="shared" si="130"/>
        <v/>
      </c>
      <c r="P1632" s="7">
        <f ca="1">SUMIFS($N$2:$N1632,$B$2:$B1632,"&lt;&gt;"&amp;B1632)+SUM($Q$2:$Q1632)</f>
        <v>135.05500000000001</v>
      </c>
      <c r="R1632" t="b">
        <f>AND(ISNUMBER(FIND($E1632,Tables!$I$2)), ISNUMBER(FIND($D1632,Tables!$J$2)), $E1632&lt;&gt;"")</f>
        <v>0</v>
      </c>
    </row>
    <row r="1633" spans="1:18" x14ac:dyDescent="0.3">
      <c r="A1633">
        <f t="shared" si="126"/>
        <v>1616</v>
      </c>
      <c r="B1633" s="4"/>
      <c r="I1633" s="8"/>
      <c r="J1633" s="5" t="str">
        <f t="shared" si="129"/>
        <v/>
      </c>
      <c r="K1633" s="3"/>
      <c r="L1633" s="3" t="str">
        <f t="shared" si="128"/>
        <v/>
      </c>
      <c r="N1633" s="3" t="str">
        <f t="shared" si="127"/>
        <v/>
      </c>
      <c r="O1633" s="6" t="str">
        <f t="shared" si="130"/>
        <v/>
      </c>
      <c r="P1633" s="7">
        <f ca="1">SUMIFS($N$2:$N1633,$B$2:$B1633,"&lt;&gt;"&amp;B1633)+SUM($Q$2:$Q1633)</f>
        <v>135.05500000000001</v>
      </c>
      <c r="R1633" t="b">
        <f>AND(ISNUMBER(FIND($E1633,Tables!$I$2)), ISNUMBER(FIND($D1633,Tables!$J$2)), $E1633&lt;&gt;"")</f>
        <v>0</v>
      </c>
    </row>
    <row r="1634" spans="1:18" x14ac:dyDescent="0.3">
      <c r="A1634">
        <f t="shared" ref="A1634:A1697" si="131">IF(AND(B1634="", D1634&lt;&gt;""), A1633, A1633+1)</f>
        <v>1617</v>
      </c>
      <c r="B1634" s="4"/>
      <c r="I1634" s="8"/>
      <c r="J1634" s="5" t="str">
        <f t="shared" si="129"/>
        <v/>
      </c>
      <c r="K1634" s="3"/>
      <c r="L1634" s="3" t="str">
        <f t="shared" si="128"/>
        <v/>
      </c>
      <c r="N1634" s="3" t="str">
        <f t="shared" si="127"/>
        <v/>
      </c>
      <c r="O1634" s="6" t="str">
        <f t="shared" si="130"/>
        <v/>
      </c>
      <c r="P1634" s="7">
        <f ca="1">SUMIFS($N$2:$N1634,$B$2:$B1634,"&lt;&gt;"&amp;B1634)+SUM($Q$2:$Q1634)</f>
        <v>135.05500000000001</v>
      </c>
      <c r="R1634" t="b">
        <f>AND(ISNUMBER(FIND($E1634,Tables!$I$2)), ISNUMBER(FIND($D1634,Tables!$J$2)), $E1634&lt;&gt;"")</f>
        <v>0</v>
      </c>
    </row>
    <row r="1635" spans="1:18" x14ac:dyDescent="0.3">
      <c r="A1635">
        <f t="shared" si="131"/>
        <v>1618</v>
      </c>
      <c r="B1635" s="4"/>
      <c r="I1635" s="8"/>
      <c r="J1635" s="5" t="str">
        <f t="shared" si="129"/>
        <v/>
      </c>
      <c r="K1635" s="3"/>
      <c r="L1635" s="3" t="str">
        <f t="shared" si="128"/>
        <v/>
      </c>
      <c r="N1635" s="3" t="str">
        <f t="shared" si="127"/>
        <v/>
      </c>
      <c r="O1635" s="6" t="str">
        <f t="shared" si="130"/>
        <v/>
      </c>
      <c r="P1635" s="7">
        <f ca="1">SUMIFS($N$2:$N1635,$B$2:$B1635,"&lt;&gt;"&amp;B1635)+SUM($Q$2:$Q1635)</f>
        <v>135.05500000000001</v>
      </c>
      <c r="R1635" t="b">
        <f>AND(ISNUMBER(FIND($E1635,Tables!$I$2)), ISNUMBER(FIND($D1635,Tables!$J$2)), $E1635&lt;&gt;"")</f>
        <v>0</v>
      </c>
    </row>
    <row r="1636" spans="1:18" x14ac:dyDescent="0.3">
      <c r="A1636">
        <f t="shared" si="131"/>
        <v>1619</v>
      </c>
      <c r="B1636" s="4"/>
      <c r="I1636" s="8"/>
      <c r="J1636" s="5" t="str">
        <f t="shared" si="129"/>
        <v/>
      </c>
      <c r="K1636" s="3"/>
      <c r="L1636" s="3" t="str">
        <f t="shared" si="128"/>
        <v/>
      </c>
      <c r="N1636" s="3" t="str">
        <f t="shared" si="127"/>
        <v/>
      </c>
      <c r="O1636" s="6" t="str">
        <f t="shared" si="130"/>
        <v/>
      </c>
      <c r="P1636" s="7">
        <f ca="1">SUMIFS($N$2:$N1636,$B$2:$B1636,"&lt;&gt;"&amp;B1636)+SUM($Q$2:$Q1636)</f>
        <v>135.05500000000001</v>
      </c>
      <c r="R1636" t="b">
        <f>AND(ISNUMBER(FIND($E1636,Tables!$I$2)), ISNUMBER(FIND($D1636,Tables!$J$2)), $E1636&lt;&gt;"")</f>
        <v>0</v>
      </c>
    </row>
    <row r="1637" spans="1:18" x14ac:dyDescent="0.3">
      <c r="A1637">
        <f t="shared" si="131"/>
        <v>1620</v>
      </c>
      <c r="B1637" s="4"/>
      <c r="I1637" s="8"/>
      <c r="J1637" s="5" t="str">
        <f t="shared" si="129"/>
        <v/>
      </c>
      <c r="K1637" s="3"/>
      <c r="L1637" s="3" t="str">
        <f t="shared" si="128"/>
        <v/>
      </c>
      <c r="N1637" s="3" t="str">
        <f t="shared" si="127"/>
        <v/>
      </c>
      <c r="O1637" s="6" t="str">
        <f t="shared" si="130"/>
        <v/>
      </c>
      <c r="P1637" s="7">
        <f ca="1">SUMIFS($N$2:$N1637,$B$2:$B1637,"&lt;&gt;"&amp;B1637)+SUM($Q$2:$Q1637)</f>
        <v>135.05500000000001</v>
      </c>
      <c r="R1637" t="b">
        <f>AND(ISNUMBER(FIND($E1637,Tables!$I$2)), ISNUMBER(FIND($D1637,Tables!$J$2)), $E1637&lt;&gt;"")</f>
        <v>0</v>
      </c>
    </row>
    <row r="1638" spans="1:18" x14ac:dyDescent="0.3">
      <c r="A1638">
        <f t="shared" si="131"/>
        <v>1621</v>
      </c>
      <c r="B1638" s="4"/>
      <c r="I1638" s="8"/>
      <c r="J1638" s="5" t="str">
        <f t="shared" si="129"/>
        <v/>
      </c>
      <c r="K1638" s="3"/>
      <c r="L1638" s="3" t="str">
        <f t="shared" si="128"/>
        <v/>
      </c>
      <c r="N1638" s="3" t="str">
        <f t="shared" si="127"/>
        <v/>
      </c>
      <c r="O1638" s="6" t="str">
        <f t="shared" si="130"/>
        <v/>
      </c>
      <c r="P1638" s="7">
        <f ca="1">SUMIFS($N$2:$N1638,$B$2:$B1638,"&lt;&gt;"&amp;B1638)+SUM($Q$2:$Q1638)</f>
        <v>135.05500000000001</v>
      </c>
      <c r="R1638" t="b">
        <f>AND(ISNUMBER(FIND($E1638,Tables!$I$2)), ISNUMBER(FIND($D1638,Tables!$J$2)), $E1638&lt;&gt;"")</f>
        <v>0</v>
      </c>
    </row>
    <row r="1639" spans="1:18" x14ac:dyDescent="0.3">
      <c r="A1639">
        <f t="shared" si="131"/>
        <v>1622</v>
      </c>
      <c r="B1639" s="4"/>
      <c r="I1639" s="8"/>
      <c r="J1639" s="5" t="str">
        <f t="shared" si="129"/>
        <v/>
      </c>
      <c r="K1639" s="3"/>
      <c r="L1639" s="3" t="str">
        <f t="shared" si="128"/>
        <v/>
      </c>
      <c r="N1639" s="3" t="str">
        <f t="shared" si="127"/>
        <v/>
      </c>
      <c r="O1639" s="6" t="str">
        <f t="shared" si="130"/>
        <v/>
      </c>
      <c r="P1639" s="7">
        <f ca="1">SUMIFS($N$2:$N1639,$B$2:$B1639,"&lt;&gt;"&amp;B1639)+SUM($Q$2:$Q1639)</f>
        <v>135.05500000000001</v>
      </c>
      <c r="R1639" t="b">
        <f>AND(ISNUMBER(FIND($E1639,Tables!$I$2)), ISNUMBER(FIND($D1639,Tables!$J$2)), $E1639&lt;&gt;"")</f>
        <v>0</v>
      </c>
    </row>
    <row r="1640" spans="1:18" x14ac:dyDescent="0.3">
      <c r="A1640">
        <f t="shared" si="131"/>
        <v>1623</v>
      </c>
      <c r="B1640" s="4"/>
      <c r="I1640" s="8"/>
      <c r="J1640" s="5" t="str">
        <f t="shared" si="129"/>
        <v/>
      </c>
      <c r="K1640" s="3"/>
      <c r="L1640" s="3" t="str">
        <f t="shared" si="128"/>
        <v/>
      </c>
      <c r="N1640" s="3" t="str">
        <f t="shared" ref="N1640:N1703" si="132">IF(L1640 = "", "", IF(M1640="", "", IF(OR(M1640="Draw",M1640="NC"), 0, IF(M1640="win", L1640, -1*K1640))))</f>
        <v/>
      </c>
      <c r="O1640" s="6" t="str">
        <f t="shared" si="130"/>
        <v/>
      </c>
      <c r="P1640" s="7">
        <f ca="1">SUMIFS($N$2:$N1640,$B$2:$B1640,"&lt;&gt;"&amp;B1640)+SUM($Q$2:$Q1640)</f>
        <v>135.05500000000001</v>
      </c>
      <c r="R1640" t="b">
        <f>AND(ISNUMBER(FIND($E1640,Tables!$I$2)), ISNUMBER(FIND($D1640,Tables!$J$2)), $E1640&lt;&gt;"")</f>
        <v>0</v>
      </c>
    </row>
    <row r="1641" spans="1:18" x14ac:dyDescent="0.3">
      <c r="A1641">
        <f t="shared" si="131"/>
        <v>1624</v>
      </c>
      <c r="B1641" s="4"/>
      <c r="I1641" s="8"/>
      <c r="J1641" s="5" t="str">
        <f t="shared" si="129"/>
        <v/>
      </c>
      <c r="K1641" s="3"/>
      <c r="L1641" s="3" t="str">
        <f t="shared" si="128"/>
        <v/>
      </c>
      <c r="N1641" s="3" t="str">
        <f t="shared" si="132"/>
        <v/>
      </c>
      <c r="O1641" s="6" t="str">
        <f t="shared" si="130"/>
        <v/>
      </c>
      <c r="P1641" s="7">
        <f ca="1">SUMIFS($N$2:$N1641,$B$2:$B1641,"&lt;&gt;"&amp;B1641)+SUM($Q$2:$Q1641)</f>
        <v>135.05500000000001</v>
      </c>
      <c r="R1641" t="b">
        <f>AND(ISNUMBER(FIND($E1641,Tables!$I$2)), ISNUMBER(FIND($D1641,Tables!$J$2)), $E1641&lt;&gt;"")</f>
        <v>0</v>
      </c>
    </row>
    <row r="1642" spans="1:18" x14ac:dyDescent="0.3">
      <c r="A1642">
        <f t="shared" si="131"/>
        <v>1625</v>
      </c>
      <c r="B1642" s="4"/>
      <c r="I1642" s="8"/>
      <c r="J1642" s="5" t="str">
        <f t="shared" si="129"/>
        <v/>
      </c>
      <c r="K1642" s="3"/>
      <c r="L1642" s="3" t="str">
        <f t="shared" si="128"/>
        <v/>
      </c>
      <c r="N1642" s="3" t="str">
        <f t="shared" si="132"/>
        <v/>
      </c>
      <c r="O1642" s="6" t="str">
        <f t="shared" si="130"/>
        <v/>
      </c>
      <c r="P1642" s="7">
        <f ca="1">SUMIFS($N$2:$N1642,$B$2:$B1642,"&lt;&gt;"&amp;B1642)+SUM($Q$2:$Q1642)</f>
        <v>135.05500000000001</v>
      </c>
      <c r="R1642" t="b">
        <f>AND(ISNUMBER(FIND($E1642,Tables!$I$2)), ISNUMBER(FIND($D1642,Tables!$J$2)), $E1642&lt;&gt;"")</f>
        <v>0</v>
      </c>
    </row>
    <row r="1643" spans="1:18" x14ac:dyDescent="0.3">
      <c r="A1643">
        <f t="shared" si="131"/>
        <v>1626</v>
      </c>
      <c r="B1643" s="4"/>
      <c r="I1643" s="8"/>
      <c r="J1643" s="5" t="str">
        <f t="shared" si="129"/>
        <v/>
      </c>
      <c r="K1643" s="3"/>
      <c r="L1643" s="3" t="str">
        <f t="shared" si="128"/>
        <v/>
      </c>
      <c r="N1643" s="3" t="str">
        <f t="shared" si="132"/>
        <v/>
      </c>
      <c r="O1643" s="6" t="str">
        <f t="shared" si="130"/>
        <v/>
      </c>
      <c r="P1643" s="7">
        <f ca="1">SUMIFS($N$2:$N1643,$B$2:$B1643,"&lt;&gt;"&amp;B1643)+SUM($Q$2:$Q1643)</f>
        <v>135.05500000000001</v>
      </c>
      <c r="R1643" t="b">
        <f>AND(ISNUMBER(FIND($E1643,Tables!$I$2)), ISNUMBER(FIND($D1643,Tables!$J$2)), $E1643&lt;&gt;"")</f>
        <v>0</v>
      </c>
    </row>
    <row r="1644" spans="1:18" x14ac:dyDescent="0.3">
      <c r="A1644">
        <f t="shared" si="131"/>
        <v>1627</v>
      </c>
      <c r="B1644" s="4"/>
      <c r="I1644" s="8"/>
      <c r="J1644" s="5" t="str">
        <f t="shared" si="129"/>
        <v/>
      </c>
      <c r="K1644" s="3"/>
      <c r="L1644" s="3" t="str">
        <f t="shared" si="128"/>
        <v/>
      </c>
      <c r="N1644" s="3" t="str">
        <f t="shared" si="132"/>
        <v/>
      </c>
      <c r="O1644" s="6" t="str">
        <f t="shared" si="130"/>
        <v/>
      </c>
      <c r="P1644" s="7">
        <f ca="1">SUMIFS($N$2:$N1644,$B$2:$B1644,"&lt;&gt;"&amp;B1644)+SUM($Q$2:$Q1644)</f>
        <v>135.05500000000001</v>
      </c>
      <c r="R1644" t="b">
        <f>AND(ISNUMBER(FIND($E1644,Tables!$I$2)), ISNUMBER(FIND($D1644,Tables!$J$2)), $E1644&lt;&gt;"")</f>
        <v>0</v>
      </c>
    </row>
    <row r="1645" spans="1:18" x14ac:dyDescent="0.3">
      <c r="A1645">
        <f t="shared" si="131"/>
        <v>1628</v>
      </c>
      <c r="B1645" s="4"/>
      <c r="I1645" s="8"/>
      <c r="J1645" s="5" t="str">
        <f t="shared" si="129"/>
        <v/>
      </c>
      <c r="K1645" s="3"/>
      <c r="L1645" s="3" t="str">
        <f t="shared" si="128"/>
        <v/>
      </c>
      <c r="N1645" s="3" t="str">
        <f t="shared" si="132"/>
        <v/>
      </c>
      <c r="O1645" s="6" t="str">
        <f t="shared" si="130"/>
        <v/>
      </c>
      <c r="P1645" s="7">
        <f ca="1">SUMIFS($N$2:$N1645,$B$2:$B1645,"&lt;&gt;"&amp;B1645)+SUM($Q$2:$Q1645)</f>
        <v>135.05500000000001</v>
      </c>
      <c r="R1645" t="b">
        <f>AND(ISNUMBER(FIND($E1645,Tables!$I$2)), ISNUMBER(FIND($D1645,Tables!$J$2)), $E1645&lt;&gt;"")</f>
        <v>0</v>
      </c>
    </row>
    <row r="1646" spans="1:18" x14ac:dyDescent="0.3">
      <c r="A1646">
        <f t="shared" si="131"/>
        <v>1629</v>
      </c>
      <c r="B1646" s="4"/>
      <c r="I1646" s="8"/>
      <c r="J1646" s="5" t="str">
        <f t="shared" si="129"/>
        <v/>
      </c>
      <c r="K1646" s="3"/>
      <c r="L1646" s="3" t="str">
        <f t="shared" si="128"/>
        <v/>
      </c>
      <c r="N1646" s="3" t="str">
        <f t="shared" si="132"/>
        <v/>
      </c>
      <c r="O1646" s="6" t="str">
        <f t="shared" si="130"/>
        <v/>
      </c>
      <c r="P1646" s="7">
        <f ca="1">SUMIFS($N$2:$N1646,$B$2:$B1646,"&lt;&gt;"&amp;B1646)+SUM($Q$2:$Q1646)</f>
        <v>135.05500000000001</v>
      </c>
      <c r="R1646" t="b">
        <f>AND(ISNUMBER(FIND($E1646,Tables!$I$2)), ISNUMBER(FIND($D1646,Tables!$J$2)), $E1646&lt;&gt;"")</f>
        <v>0</v>
      </c>
    </row>
    <row r="1647" spans="1:18" x14ac:dyDescent="0.3">
      <c r="A1647">
        <f t="shared" si="131"/>
        <v>1630</v>
      </c>
      <c r="B1647" s="4"/>
      <c r="I1647" s="8"/>
      <c r="J1647" s="5" t="str">
        <f t="shared" si="129"/>
        <v/>
      </c>
      <c r="K1647" s="3"/>
      <c r="L1647" s="3" t="str">
        <f t="shared" si="128"/>
        <v/>
      </c>
      <c r="N1647" s="3" t="str">
        <f t="shared" si="132"/>
        <v/>
      </c>
      <c r="O1647" s="6" t="str">
        <f t="shared" si="130"/>
        <v/>
      </c>
      <c r="P1647" s="7">
        <f ca="1">SUMIFS($N$2:$N1647,$B$2:$B1647,"&lt;&gt;"&amp;B1647)+SUM($Q$2:$Q1647)</f>
        <v>135.05500000000001</v>
      </c>
      <c r="R1647" t="b">
        <f>AND(ISNUMBER(FIND($E1647,Tables!$I$2)), ISNUMBER(FIND($D1647,Tables!$J$2)), $E1647&lt;&gt;"")</f>
        <v>0</v>
      </c>
    </row>
    <row r="1648" spans="1:18" x14ac:dyDescent="0.3">
      <c r="A1648">
        <f t="shared" si="131"/>
        <v>1631</v>
      </c>
      <c r="B1648" s="4"/>
      <c r="I1648" s="8"/>
      <c r="J1648" s="5" t="str">
        <f t="shared" si="129"/>
        <v/>
      </c>
      <c r="K1648" s="3"/>
      <c r="L1648" s="3" t="str">
        <f t="shared" si="128"/>
        <v/>
      </c>
      <c r="N1648" s="3" t="str">
        <f t="shared" si="132"/>
        <v/>
      </c>
      <c r="O1648" s="6" t="str">
        <f t="shared" si="130"/>
        <v/>
      </c>
      <c r="P1648" s="7">
        <f ca="1">SUMIFS($N$2:$N1648,$B$2:$B1648,"&lt;&gt;"&amp;B1648)+SUM($Q$2:$Q1648)</f>
        <v>135.05500000000001</v>
      </c>
      <c r="R1648" t="b">
        <f>AND(ISNUMBER(FIND($E1648,Tables!$I$2)), ISNUMBER(FIND($D1648,Tables!$J$2)), $E1648&lt;&gt;"")</f>
        <v>0</v>
      </c>
    </row>
    <row r="1649" spans="1:18" x14ac:dyDescent="0.3">
      <c r="A1649">
        <f t="shared" si="131"/>
        <v>1632</v>
      </c>
      <c r="B1649" s="4"/>
      <c r="I1649" s="8"/>
      <c r="J1649" s="5" t="str">
        <f t="shared" si="129"/>
        <v/>
      </c>
      <c r="K1649" s="3"/>
      <c r="L1649" s="3" t="str">
        <f t="shared" si="128"/>
        <v/>
      </c>
      <c r="N1649" s="3" t="str">
        <f t="shared" si="132"/>
        <v/>
      </c>
      <c r="O1649" s="6" t="str">
        <f t="shared" si="130"/>
        <v/>
      </c>
      <c r="P1649" s="7">
        <f ca="1">SUMIFS($N$2:$N1649,$B$2:$B1649,"&lt;&gt;"&amp;B1649)+SUM($Q$2:$Q1649)</f>
        <v>135.05500000000001</v>
      </c>
      <c r="R1649" t="b">
        <f>AND(ISNUMBER(FIND($E1649,Tables!$I$2)), ISNUMBER(FIND($D1649,Tables!$J$2)), $E1649&lt;&gt;"")</f>
        <v>0</v>
      </c>
    </row>
    <row r="1650" spans="1:18" x14ac:dyDescent="0.3">
      <c r="A1650">
        <f t="shared" si="131"/>
        <v>1633</v>
      </c>
      <c r="B1650" s="4"/>
      <c r="I1650" s="8"/>
      <c r="J1650" s="5" t="str">
        <f t="shared" si="129"/>
        <v/>
      </c>
      <c r="K1650" s="3"/>
      <c r="L1650" s="3" t="str">
        <f t="shared" ref="L1650:L1713" si="133">IFERROR(IF(K1650=0, "", IF(I1650&gt;0, K1650/100*I1650,K1650/I1650*-100)), "")</f>
        <v/>
      </c>
      <c r="N1650" s="3" t="str">
        <f t="shared" si="132"/>
        <v/>
      </c>
      <c r="O1650" s="6" t="str">
        <f t="shared" si="130"/>
        <v/>
      </c>
      <c r="P1650" s="7">
        <f ca="1">SUMIFS($N$2:$N1650,$B$2:$B1650,"&lt;&gt;"&amp;B1650)+SUM($Q$2:$Q1650)</f>
        <v>135.05500000000001</v>
      </c>
      <c r="R1650" t="b">
        <f>AND(ISNUMBER(FIND($E1650,Tables!$I$2)), ISNUMBER(FIND($D1650,Tables!$J$2)), $E1650&lt;&gt;"")</f>
        <v>0</v>
      </c>
    </row>
    <row r="1651" spans="1:18" x14ac:dyDescent="0.3">
      <c r="A1651">
        <f t="shared" si="131"/>
        <v>1634</v>
      </c>
      <c r="B1651" s="4"/>
      <c r="I1651" s="8"/>
      <c r="J1651" s="5" t="str">
        <f t="shared" si="129"/>
        <v/>
      </c>
      <c r="K1651" s="3"/>
      <c r="L1651" s="3" t="str">
        <f t="shared" si="133"/>
        <v/>
      </c>
      <c r="N1651" s="3" t="str">
        <f t="shared" si="132"/>
        <v/>
      </c>
      <c r="O1651" s="6" t="str">
        <f t="shared" si="130"/>
        <v/>
      </c>
      <c r="P1651" s="7">
        <f ca="1">SUMIFS($N$2:$N1651,$B$2:$B1651,"&lt;&gt;"&amp;B1651)+SUM($Q$2:$Q1651)</f>
        <v>135.05500000000001</v>
      </c>
      <c r="R1651" t="b">
        <f>AND(ISNUMBER(FIND($E1651,Tables!$I$2)), ISNUMBER(FIND($D1651,Tables!$J$2)), $E1651&lt;&gt;"")</f>
        <v>0</v>
      </c>
    </row>
    <row r="1652" spans="1:18" x14ac:dyDescent="0.3">
      <c r="A1652">
        <f t="shared" si="131"/>
        <v>1635</v>
      </c>
      <c r="B1652" s="4"/>
      <c r="I1652" s="8"/>
      <c r="J1652" s="5" t="str">
        <f t="shared" si="129"/>
        <v/>
      </c>
      <c r="K1652" s="3"/>
      <c r="L1652" s="3" t="str">
        <f t="shared" si="133"/>
        <v/>
      </c>
      <c r="N1652" s="3" t="str">
        <f t="shared" si="132"/>
        <v/>
      </c>
      <c r="O1652" s="6" t="str">
        <f t="shared" si="130"/>
        <v/>
      </c>
      <c r="P1652" s="7">
        <f ca="1">SUMIFS($N$2:$N1652,$B$2:$B1652,"&lt;&gt;"&amp;B1652)+SUM($Q$2:$Q1652)</f>
        <v>135.05500000000001</v>
      </c>
      <c r="R1652" t="b">
        <f>AND(ISNUMBER(FIND($E1652,Tables!$I$2)), ISNUMBER(FIND($D1652,Tables!$J$2)), $E1652&lt;&gt;"")</f>
        <v>0</v>
      </c>
    </row>
    <row r="1653" spans="1:18" x14ac:dyDescent="0.3">
      <c r="A1653">
        <f t="shared" si="131"/>
        <v>1636</v>
      </c>
      <c r="B1653" s="4"/>
      <c r="I1653" s="8"/>
      <c r="J1653" s="5" t="str">
        <f t="shared" si="129"/>
        <v/>
      </c>
      <c r="K1653" s="3"/>
      <c r="L1653" s="3" t="str">
        <f t="shared" si="133"/>
        <v/>
      </c>
      <c r="N1653" s="3" t="str">
        <f t="shared" si="132"/>
        <v/>
      </c>
      <c r="O1653" s="6" t="str">
        <f t="shared" si="130"/>
        <v/>
      </c>
      <c r="P1653" s="7">
        <f ca="1">SUMIFS($N$2:$N1653,$B$2:$B1653,"&lt;&gt;"&amp;B1653)+SUM($Q$2:$Q1653)</f>
        <v>135.05500000000001</v>
      </c>
      <c r="R1653" t="b">
        <f>AND(ISNUMBER(FIND($E1653,Tables!$I$2)), ISNUMBER(FIND($D1653,Tables!$J$2)), $E1653&lt;&gt;"")</f>
        <v>0</v>
      </c>
    </row>
    <row r="1654" spans="1:18" x14ac:dyDescent="0.3">
      <c r="A1654">
        <f t="shared" si="131"/>
        <v>1637</v>
      </c>
      <c r="B1654" s="4"/>
      <c r="I1654" s="8"/>
      <c r="J1654" s="5" t="str">
        <f t="shared" si="129"/>
        <v/>
      </c>
      <c r="K1654" s="3"/>
      <c r="L1654" s="3" t="str">
        <f t="shared" si="133"/>
        <v/>
      </c>
      <c r="N1654" s="3" t="str">
        <f t="shared" si="132"/>
        <v/>
      </c>
      <c r="O1654" s="6" t="str">
        <f t="shared" si="130"/>
        <v/>
      </c>
      <c r="P1654" s="7">
        <f ca="1">SUMIFS($N$2:$N1654,$B$2:$B1654,"&lt;&gt;"&amp;B1654)+SUM($Q$2:$Q1654)</f>
        <v>135.05500000000001</v>
      </c>
      <c r="R1654" t="b">
        <f>AND(ISNUMBER(FIND($E1654,Tables!$I$2)), ISNUMBER(FIND($D1654,Tables!$J$2)), $E1654&lt;&gt;"")</f>
        <v>0</v>
      </c>
    </row>
    <row r="1655" spans="1:18" x14ac:dyDescent="0.3">
      <c r="A1655">
        <f t="shared" si="131"/>
        <v>1638</v>
      </c>
      <c r="B1655" s="4"/>
      <c r="I1655" s="8"/>
      <c r="J1655" s="5" t="str">
        <f t="shared" si="129"/>
        <v/>
      </c>
      <c r="K1655" s="3"/>
      <c r="L1655" s="3" t="str">
        <f t="shared" si="133"/>
        <v/>
      </c>
      <c r="N1655" s="3" t="str">
        <f t="shared" si="132"/>
        <v/>
      </c>
      <c r="O1655" s="6" t="str">
        <f t="shared" si="130"/>
        <v/>
      </c>
      <c r="P1655" s="7">
        <f ca="1">SUMIFS($N$2:$N1655,$B$2:$B1655,"&lt;&gt;"&amp;B1655)+SUM($Q$2:$Q1655)</f>
        <v>135.05500000000001</v>
      </c>
      <c r="R1655" t="b">
        <f>AND(ISNUMBER(FIND($E1655,Tables!$I$2)), ISNUMBER(FIND($D1655,Tables!$J$2)), $E1655&lt;&gt;"")</f>
        <v>0</v>
      </c>
    </row>
    <row r="1656" spans="1:18" x14ac:dyDescent="0.3">
      <c r="A1656">
        <f t="shared" si="131"/>
        <v>1639</v>
      </c>
      <c r="B1656" s="4"/>
      <c r="I1656" s="8"/>
      <c r="J1656" s="5" t="str">
        <f t="shared" si="129"/>
        <v/>
      </c>
      <c r="K1656" s="3"/>
      <c r="L1656" s="3" t="str">
        <f t="shared" si="133"/>
        <v/>
      </c>
      <c r="N1656" s="3" t="str">
        <f t="shared" si="132"/>
        <v/>
      </c>
      <c r="O1656" s="6" t="str">
        <f t="shared" si="130"/>
        <v/>
      </c>
      <c r="P1656" s="7">
        <f ca="1">SUMIFS($N$2:$N1656,$B$2:$B1656,"&lt;&gt;"&amp;B1656)+SUM($Q$2:$Q1656)</f>
        <v>135.05500000000001</v>
      </c>
      <c r="R1656" t="b">
        <f>AND(ISNUMBER(FIND($E1656,Tables!$I$2)), ISNUMBER(FIND($D1656,Tables!$J$2)), $E1656&lt;&gt;"")</f>
        <v>0</v>
      </c>
    </row>
    <row r="1657" spans="1:18" x14ac:dyDescent="0.3">
      <c r="A1657">
        <f t="shared" si="131"/>
        <v>1640</v>
      </c>
      <c r="B1657" s="4"/>
      <c r="I1657" s="8"/>
      <c r="J1657" s="5" t="str">
        <f t="shared" si="129"/>
        <v/>
      </c>
      <c r="K1657" s="3"/>
      <c r="L1657" s="3" t="str">
        <f t="shared" si="133"/>
        <v/>
      </c>
      <c r="N1657" s="3" t="str">
        <f t="shared" si="132"/>
        <v/>
      </c>
      <c r="O1657" s="6" t="str">
        <f t="shared" si="130"/>
        <v/>
      </c>
      <c r="P1657" s="7">
        <f ca="1">SUMIFS($N$2:$N1657,$B$2:$B1657,"&lt;&gt;"&amp;B1657)+SUM($Q$2:$Q1657)</f>
        <v>135.05500000000001</v>
      </c>
      <c r="R1657" t="b">
        <f>AND(ISNUMBER(FIND($E1657,Tables!$I$2)), ISNUMBER(FIND($D1657,Tables!$J$2)), $E1657&lt;&gt;"")</f>
        <v>0</v>
      </c>
    </row>
    <row r="1658" spans="1:18" x14ac:dyDescent="0.3">
      <c r="A1658">
        <f t="shared" si="131"/>
        <v>1641</v>
      </c>
      <c r="B1658" s="4"/>
      <c r="I1658" s="8"/>
      <c r="J1658" s="5" t="str">
        <f t="shared" si="129"/>
        <v/>
      </c>
      <c r="K1658" s="3"/>
      <c r="L1658" s="3" t="str">
        <f t="shared" si="133"/>
        <v/>
      </c>
      <c r="N1658" s="3" t="str">
        <f t="shared" si="132"/>
        <v/>
      </c>
      <c r="O1658" s="6" t="str">
        <f t="shared" si="130"/>
        <v/>
      </c>
      <c r="P1658" s="7">
        <f ca="1">SUMIFS($N$2:$N1658,$B$2:$B1658,"&lt;&gt;"&amp;B1658)+SUM($Q$2:$Q1658)</f>
        <v>135.05500000000001</v>
      </c>
      <c r="R1658" t="b">
        <f>AND(ISNUMBER(FIND($E1658,Tables!$I$2)), ISNUMBER(FIND($D1658,Tables!$J$2)), $E1658&lt;&gt;"")</f>
        <v>0</v>
      </c>
    </row>
    <row r="1659" spans="1:18" x14ac:dyDescent="0.3">
      <c r="A1659">
        <f t="shared" si="131"/>
        <v>1642</v>
      </c>
      <c r="B1659" s="4"/>
      <c r="I1659" s="8"/>
      <c r="J1659" s="5" t="str">
        <f t="shared" si="129"/>
        <v/>
      </c>
      <c r="K1659" s="3"/>
      <c r="L1659" s="3" t="str">
        <f t="shared" si="133"/>
        <v/>
      </c>
      <c r="N1659" s="3" t="str">
        <f t="shared" si="132"/>
        <v/>
      </c>
      <c r="O1659" s="6" t="str">
        <f t="shared" si="130"/>
        <v/>
      </c>
      <c r="P1659" s="7">
        <f ca="1">SUMIFS($N$2:$N1659,$B$2:$B1659,"&lt;&gt;"&amp;B1659)+SUM($Q$2:$Q1659)</f>
        <v>135.05500000000001</v>
      </c>
      <c r="R1659" t="b">
        <f>AND(ISNUMBER(FIND($E1659,Tables!$I$2)), ISNUMBER(FIND($D1659,Tables!$J$2)), $E1659&lt;&gt;"")</f>
        <v>0</v>
      </c>
    </row>
    <row r="1660" spans="1:18" x14ac:dyDescent="0.3">
      <c r="A1660">
        <f t="shared" si="131"/>
        <v>1643</v>
      </c>
      <c r="B1660" s="4"/>
      <c r="I1660" s="8"/>
      <c r="J1660" s="5" t="str">
        <f t="shared" si="129"/>
        <v/>
      </c>
      <c r="K1660" s="3"/>
      <c r="L1660" s="3" t="str">
        <f t="shared" si="133"/>
        <v/>
      </c>
      <c r="N1660" s="3" t="str">
        <f t="shared" si="132"/>
        <v/>
      </c>
      <c r="O1660" s="6" t="str">
        <f t="shared" si="130"/>
        <v/>
      </c>
      <c r="P1660" s="7">
        <f ca="1">SUMIFS($N$2:$N1660,$B$2:$B1660,"&lt;&gt;"&amp;B1660)+SUM($Q$2:$Q1660)</f>
        <v>135.05500000000001</v>
      </c>
      <c r="R1660" t="b">
        <f>AND(ISNUMBER(FIND($E1660,Tables!$I$2)), ISNUMBER(FIND($D1660,Tables!$J$2)), $E1660&lt;&gt;"")</f>
        <v>0</v>
      </c>
    </row>
    <row r="1661" spans="1:18" x14ac:dyDescent="0.3">
      <c r="A1661">
        <f t="shared" si="131"/>
        <v>1644</v>
      </c>
      <c r="B1661" s="4"/>
      <c r="I1661" s="8"/>
      <c r="J1661" s="5" t="str">
        <f t="shared" si="129"/>
        <v/>
      </c>
      <c r="K1661" s="3"/>
      <c r="L1661" s="3" t="str">
        <f t="shared" si="133"/>
        <v/>
      </c>
      <c r="N1661" s="3" t="str">
        <f t="shared" si="132"/>
        <v/>
      </c>
      <c r="O1661" s="6" t="str">
        <f t="shared" si="130"/>
        <v/>
      </c>
      <c r="P1661" s="7">
        <f ca="1">SUMIFS($N$2:$N1661,$B$2:$B1661,"&lt;&gt;"&amp;B1661)+SUM($Q$2:$Q1661)</f>
        <v>135.05500000000001</v>
      </c>
      <c r="R1661" t="b">
        <f>AND(ISNUMBER(FIND($E1661,Tables!$I$2)), ISNUMBER(FIND($D1661,Tables!$J$2)), $E1661&lt;&gt;"")</f>
        <v>0</v>
      </c>
    </row>
    <row r="1662" spans="1:18" x14ac:dyDescent="0.3">
      <c r="A1662">
        <f t="shared" si="131"/>
        <v>1645</v>
      </c>
      <c r="B1662" s="4"/>
      <c r="I1662" s="8"/>
      <c r="J1662" s="5" t="str">
        <f t="shared" si="129"/>
        <v/>
      </c>
      <c r="K1662" s="3"/>
      <c r="L1662" s="3" t="str">
        <f t="shared" si="133"/>
        <v/>
      </c>
      <c r="N1662" s="3" t="str">
        <f t="shared" si="132"/>
        <v/>
      </c>
      <c r="O1662" s="6" t="str">
        <f t="shared" si="130"/>
        <v/>
      </c>
      <c r="P1662" s="7">
        <f ca="1">SUMIFS($N$2:$N1662,$B$2:$B1662,"&lt;&gt;"&amp;B1662)+SUM($Q$2:$Q1662)</f>
        <v>135.05500000000001</v>
      </c>
      <c r="R1662" t="b">
        <f>AND(ISNUMBER(FIND($E1662,Tables!$I$2)), ISNUMBER(FIND($D1662,Tables!$J$2)), $E1662&lt;&gt;"")</f>
        <v>0</v>
      </c>
    </row>
    <row r="1663" spans="1:18" x14ac:dyDescent="0.3">
      <c r="A1663">
        <f t="shared" si="131"/>
        <v>1646</v>
      </c>
      <c r="B1663" s="4"/>
      <c r="I1663" s="8"/>
      <c r="J1663" s="5" t="str">
        <f t="shared" si="129"/>
        <v/>
      </c>
      <c r="K1663" s="3"/>
      <c r="L1663" s="3" t="str">
        <f t="shared" si="133"/>
        <v/>
      </c>
      <c r="N1663" s="3" t="str">
        <f t="shared" si="132"/>
        <v/>
      </c>
      <c r="O1663" s="6" t="str">
        <f t="shared" si="130"/>
        <v/>
      </c>
      <c r="P1663" s="7">
        <f ca="1">SUMIFS($N$2:$N1663,$B$2:$B1663,"&lt;&gt;"&amp;B1663)+SUM($Q$2:$Q1663)</f>
        <v>135.05500000000001</v>
      </c>
      <c r="R1663" t="b">
        <f>AND(ISNUMBER(FIND($E1663,Tables!$I$2)), ISNUMBER(FIND($D1663,Tables!$J$2)), $E1663&lt;&gt;"")</f>
        <v>0</v>
      </c>
    </row>
    <row r="1664" spans="1:18" x14ac:dyDescent="0.3">
      <c r="A1664">
        <f t="shared" si="131"/>
        <v>1647</v>
      </c>
      <c r="B1664" s="4"/>
      <c r="I1664" s="8"/>
      <c r="J1664" s="5" t="str">
        <f t="shared" si="129"/>
        <v/>
      </c>
      <c r="K1664" s="3"/>
      <c r="L1664" s="3" t="str">
        <f t="shared" si="133"/>
        <v/>
      </c>
      <c r="N1664" s="3" t="str">
        <f t="shared" si="132"/>
        <v/>
      </c>
      <c r="O1664" s="6" t="str">
        <f t="shared" si="130"/>
        <v/>
      </c>
      <c r="P1664" s="7">
        <f ca="1">SUMIFS($N$2:$N1664,$B$2:$B1664,"&lt;&gt;"&amp;B1664)+SUM($Q$2:$Q1664)</f>
        <v>135.05500000000001</v>
      </c>
      <c r="R1664" t="b">
        <f>AND(ISNUMBER(FIND($E1664,Tables!$I$2)), ISNUMBER(FIND($D1664,Tables!$J$2)), $E1664&lt;&gt;"")</f>
        <v>0</v>
      </c>
    </row>
    <row r="1665" spans="1:18" x14ac:dyDescent="0.3">
      <c r="A1665">
        <f t="shared" si="131"/>
        <v>1648</v>
      </c>
      <c r="B1665" s="4"/>
      <c r="I1665" s="8"/>
      <c r="J1665" s="5" t="str">
        <f t="shared" si="129"/>
        <v/>
      </c>
      <c r="K1665" s="3"/>
      <c r="L1665" s="3" t="str">
        <f t="shared" si="133"/>
        <v/>
      </c>
      <c r="N1665" s="3" t="str">
        <f t="shared" si="132"/>
        <v/>
      </c>
      <c r="O1665" s="6" t="str">
        <f t="shared" si="130"/>
        <v/>
      </c>
      <c r="P1665" s="7">
        <f ca="1">SUMIFS($N$2:$N1665,$B$2:$B1665,"&lt;&gt;"&amp;B1665)+SUM($Q$2:$Q1665)</f>
        <v>135.05500000000001</v>
      </c>
      <c r="R1665" t="b">
        <f>AND(ISNUMBER(FIND($E1665,Tables!$I$2)), ISNUMBER(FIND($D1665,Tables!$J$2)), $E1665&lt;&gt;"")</f>
        <v>0</v>
      </c>
    </row>
    <row r="1666" spans="1:18" x14ac:dyDescent="0.3">
      <c r="A1666">
        <f t="shared" si="131"/>
        <v>1649</v>
      </c>
      <c r="B1666" s="4"/>
      <c r="I1666" s="8"/>
      <c r="J1666" s="5" t="str">
        <f t="shared" ref="J1666:J1729" si="134">IF(I1666="", "", IF(I1666&gt;0, I1666/100 +1, -100/I1666 +1))</f>
        <v/>
      </c>
      <c r="K1666" s="3"/>
      <c r="L1666" s="3" t="str">
        <f t="shared" si="133"/>
        <v/>
      </c>
      <c r="N1666" s="3" t="str">
        <f t="shared" si="132"/>
        <v/>
      </c>
      <c r="O1666" s="6" t="str">
        <f t="shared" ref="O1666:O1729" si="135">IFERROR(K1666/VLOOKUP(_xlfn.MINIFS(A:A,B:B,B1666,C:C,C1666),A:P,16),"")</f>
        <v/>
      </c>
      <c r="P1666" s="7">
        <f ca="1">SUMIFS($N$2:$N1666,$B$2:$B1666,"&lt;&gt;"&amp;B1666)+SUM($Q$2:$Q1666)</f>
        <v>135.05500000000001</v>
      </c>
      <c r="R1666" t="b">
        <f>AND(ISNUMBER(FIND($E1666,Tables!$I$2)), ISNUMBER(FIND($D1666,Tables!$J$2)), $E1666&lt;&gt;"")</f>
        <v>0</v>
      </c>
    </row>
    <row r="1667" spans="1:18" x14ac:dyDescent="0.3">
      <c r="A1667">
        <f t="shared" si="131"/>
        <v>1650</v>
      </c>
      <c r="B1667" s="4"/>
      <c r="I1667" s="8"/>
      <c r="J1667" s="5" t="str">
        <f t="shared" si="134"/>
        <v/>
      </c>
      <c r="K1667" s="3"/>
      <c r="L1667" s="3" t="str">
        <f t="shared" si="133"/>
        <v/>
      </c>
      <c r="N1667" s="3" t="str">
        <f t="shared" si="132"/>
        <v/>
      </c>
      <c r="O1667" s="6" t="str">
        <f t="shared" si="135"/>
        <v/>
      </c>
      <c r="P1667" s="7">
        <f ca="1">SUMIFS($N$2:$N1667,$B$2:$B1667,"&lt;&gt;"&amp;B1667)+SUM($Q$2:$Q1667)</f>
        <v>135.05500000000001</v>
      </c>
      <c r="R1667" t="b">
        <f>AND(ISNUMBER(FIND($E1667,Tables!$I$2)), ISNUMBER(FIND($D1667,Tables!$J$2)), $E1667&lt;&gt;"")</f>
        <v>0</v>
      </c>
    </row>
    <row r="1668" spans="1:18" x14ac:dyDescent="0.3">
      <c r="A1668">
        <f t="shared" si="131"/>
        <v>1651</v>
      </c>
      <c r="B1668" s="4"/>
      <c r="I1668" s="8"/>
      <c r="J1668" s="5" t="str">
        <f t="shared" si="134"/>
        <v/>
      </c>
      <c r="K1668" s="3"/>
      <c r="L1668" s="3" t="str">
        <f t="shared" si="133"/>
        <v/>
      </c>
      <c r="N1668" s="3" t="str">
        <f t="shared" si="132"/>
        <v/>
      </c>
      <c r="O1668" s="6" t="str">
        <f t="shared" si="135"/>
        <v/>
      </c>
      <c r="P1668" s="7">
        <f ca="1">SUMIFS($N$2:$N1668,$B$2:$B1668,"&lt;&gt;"&amp;B1668)+SUM($Q$2:$Q1668)</f>
        <v>135.05500000000001</v>
      </c>
      <c r="R1668" t="b">
        <f>AND(ISNUMBER(FIND($E1668,Tables!$I$2)), ISNUMBER(FIND($D1668,Tables!$J$2)), $E1668&lt;&gt;"")</f>
        <v>0</v>
      </c>
    </row>
    <row r="1669" spans="1:18" x14ac:dyDescent="0.3">
      <c r="A1669">
        <f t="shared" si="131"/>
        <v>1652</v>
      </c>
      <c r="B1669" s="4"/>
      <c r="I1669" s="8"/>
      <c r="J1669" s="5" t="str">
        <f t="shared" si="134"/>
        <v/>
      </c>
      <c r="K1669" s="3"/>
      <c r="L1669" s="3" t="str">
        <f t="shared" si="133"/>
        <v/>
      </c>
      <c r="N1669" s="3" t="str">
        <f t="shared" si="132"/>
        <v/>
      </c>
      <c r="O1669" s="6" t="str">
        <f t="shared" si="135"/>
        <v/>
      </c>
      <c r="P1669" s="7">
        <f ca="1">SUMIFS($N$2:$N1669,$B$2:$B1669,"&lt;&gt;"&amp;B1669)+SUM($Q$2:$Q1669)</f>
        <v>135.05500000000001</v>
      </c>
      <c r="R1669" t="b">
        <f>AND(ISNUMBER(FIND($E1669,Tables!$I$2)), ISNUMBER(FIND($D1669,Tables!$J$2)), $E1669&lt;&gt;"")</f>
        <v>0</v>
      </c>
    </row>
    <row r="1670" spans="1:18" x14ac:dyDescent="0.3">
      <c r="A1670">
        <f t="shared" si="131"/>
        <v>1653</v>
      </c>
      <c r="B1670" s="4"/>
      <c r="I1670" s="8"/>
      <c r="J1670" s="5" t="str">
        <f t="shared" si="134"/>
        <v/>
      </c>
      <c r="K1670" s="3"/>
      <c r="L1670" s="3" t="str">
        <f t="shared" si="133"/>
        <v/>
      </c>
      <c r="N1670" s="3" t="str">
        <f t="shared" si="132"/>
        <v/>
      </c>
      <c r="O1670" s="6" t="str">
        <f t="shared" si="135"/>
        <v/>
      </c>
      <c r="P1670" s="7">
        <f ca="1">SUMIFS($N$2:$N1670,$B$2:$B1670,"&lt;&gt;"&amp;B1670)+SUM($Q$2:$Q1670)</f>
        <v>135.05500000000001</v>
      </c>
      <c r="R1670" t="b">
        <f>AND(ISNUMBER(FIND($E1670,Tables!$I$2)), ISNUMBER(FIND($D1670,Tables!$J$2)), $E1670&lt;&gt;"")</f>
        <v>0</v>
      </c>
    </row>
    <row r="1671" spans="1:18" x14ac:dyDescent="0.3">
      <c r="A1671">
        <f t="shared" si="131"/>
        <v>1654</v>
      </c>
      <c r="B1671" s="4"/>
      <c r="I1671" s="8"/>
      <c r="J1671" s="5" t="str">
        <f t="shared" si="134"/>
        <v/>
      </c>
      <c r="K1671" s="3"/>
      <c r="L1671" s="3" t="str">
        <f t="shared" si="133"/>
        <v/>
      </c>
      <c r="N1671" s="3" t="str">
        <f t="shared" si="132"/>
        <v/>
      </c>
      <c r="O1671" s="6" t="str">
        <f t="shared" si="135"/>
        <v/>
      </c>
      <c r="P1671" s="7">
        <f ca="1">SUMIFS($N$2:$N1671,$B$2:$B1671,"&lt;&gt;"&amp;B1671)+SUM($Q$2:$Q1671)</f>
        <v>135.05500000000001</v>
      </c>
      <c r="R1671" t="b">
        <f>AND(ISNUMBER(FIND($E1671,Tables!$I$2)), ISNUMBER(FIND($D1671,Tables!$J$2)), $E1671&lt;&gt;"")</f>
        <v>0</v>
      </c>
    </row>
    <row r="1672" spans="1:18" x14ac:dyDescent="0.3">
      <c r="A1672">
        <f t="shared" si="131"/>
        <v>1655</v>
      </c>
      <c r="B1672" s="4"/>
      <c r="I1672" s="8"/>
      <c r="J1672" s="5" t="str">
        <f t="shared" si="134"/>
        <v/>
      </c>
      <c r="K1672" s="3"/>
      <c r="L1672" s="3" t="str">
        <f t="shared" si="133"/>
        <v/>
      </c>
      <c r="N1672" s="3" t="str">
        <f t="shared" si="132"/>
        <v/>
      </c>
      <c r="O1672" s="6" t="str">
        <f t="shared" si="135"/>
        <v/>
      </c>
      <c r="P1672" s="7">
        <f ca="1">SUMIFS($N$2:$N1672,$B$2:$B1672,"&lt;&gt;"&amp;B1672)+SUM($Q$2:$Q1672)</f>
        <v>135.05500000000001</v>
      </c>
      <c r="R1672" t="b">
        <f>AND(ISNUMBER(FIND($E1672,Tables!$I$2)), ISNUMBER(FIND($D1672,Tables!$J$2)), $E1672&lt;&gt;"")</f>
        <v>0</v>
      </c>
    </row>
    <row r="1673" spans="1:18" x14ac:dyDescent="0.3">
      <c r="A1673">
        <f t="shared" si="131"/>
        <v>1656</v>
      </c>
      <c r="B1673" s="4"/>
      <c r="I1673" s="8"/>
      <c r="J1673" s="5" t="str">
        <f t="shared" si="134"/>
        <v/>
      </c>
      <c r="K1673" s="3"/>
      <c r="L1673" s="3" t="str">
        <f t="shared" si="133"/>
        <v/>
      </c>
      <c r="N1673" s="3" t="str">
        <f t="shared" si="132"/>
        <v/>
      </c>
      <c r="O1673" s="6" t="str">
        <f t="shared" si="135"/>
        <v/>
      </c>
      <c r="P1673" s="7">
        <f ca="1">SUMIFS($N$2:$N1673,$B$2:$B1673,"&lt;&gt;"&amp;B1673)+SUM($Q$2:$Q1673)</f>
        <v>135.05500000000001</v>
      </c>
      <c r="R1673" t="b">
        <f>AND(ISNUMBER(FIND($E1673,Tables!$I$2)), ISNUMBER(FIND($D1673,Tables!$J$2)), $E1673&lt;&gt;"")</f>
        <v>0</v>
      </c>
    </row>
    <row r="1674" spans="1:18" x14ac:dyDescent="0.3">
      <c r="A1674">
        <f t="shared" si="131"/>
        <v>1657</v>
      </c>
      <c r="B1674" s="4"/>
      <c r="I1674" s="8"/>
      <c r="J1674" s="5" t="str">
        <f t="shared" si="134"/>
        <v/>
      </c>
      <c r="K1674" s="3"/>
      <c r="L1674" s="3" t="str">
        <f t="shared" si="133"/>
        <v/>
      </c>
      <c r="N1674" s="3" t="str">
        <f t="shared" si="132"/>
        <v/>
      </c>
      <c r="O1674" s="6" t="str">
        <f t="shared" si="135"/>
        <v/>
      </c>
      <c r="P1674" s="7">
        <f ca="1">SUMIFS($N$2:$N1674,$B$2:$B1674,"&lt;&gt;"&amp;B1674)+SUM($Q$2:$Q1674)</f>
        <v>135.05500000000001</v>
      </c>
      <c r="R1674" t="b">
        <f>AND(ISNUMBER(FIND($E1674,Tables!$I$2)), ISNUMBER(FIND($D1674,Tables!$J$2)), $E1674&lt;&gt;"")</f>
        <v>0</v>
      </c>
    </row>
    <row r="1675" spans="1:18" x14ac:dyDescent="0.3">
      <c r="A1675">
        <f t="shared" si="131"/>
        <v>1658</v>
      </c>
      <c r="B1675" s="4"/>
      <c r="I1675" s="8"/>
      <c r="J1675" s="5" t="str">
        <f t="shared" si="134"/>
        <v/>
      </c>
      <c r="K1675" s="3"/>
      <c r="L1675" s="3" t="str">
        <f t="shared" si="133"/>
        <v/>
      </c>
      <c r="N1675" s="3" t="str">
        <f t="shared" si="132"/>
        <v/>
      </c>
      <c r="O1675" s="6" t="str">
        <f t="shared" si="135"/>
        <v/>
      </c>
      <c r="P1675" s="7">
        <f ca="1">SUMIFS($N$2:$N1675,$B$2:$B1675,"&lt;&gt;"&amp;B1675)+SUM($Q$2:$Q1675)</f>
        <v>135.05500000000001</v>
      </c>
      <c r="R1675" t="b">
        <f>AND(ISNUMBER(FIND($E1675,Tables!$I$2)), ISNUMBER(FIND($D1675,Tables!$J$2)), $E1675&lt;&gt;"")</f>
        <v>0</v>
      </c>
    </row>
    <row r="1676" spans="1:18" x14ac:dyDescent="0.3">
      <c r="A1676">
        <f t="shared" si="131"/>
        <v>1659</v>
      </c>
      <c r="B1676" s="4"/>
      <c r="I1676" s="8"/>
      <c r="J1676" s="5" t="str">
        <f t="shared" si="134"/>
        <v/>
      </c>
      <c r="K1676" s="3"/>
      <c r="L1676" s="3" t="str">
        <f t="shared" si="133"/>
        <v/>
      </c>
      <c r="N1676" s="3" t="str">
        <f t="shared" si="132"/>
        <v/>
      </c>
      <c r="O1676" s="6" t="str">
        <f t="shared" si="135"/>
        <v/>
      </c>
      <c r="P1676" s="7">
        <f ca="1">SUMIFS($N$2:$N1676,$B$2:$B1676,"&lt;&gt;"&amp;B1676)+SUM($Q$2:$Q1676)</f>
        <v>135.05500000000001</v>
      </c>
      <c r="R1676" t="b">
        <f>AND(ISNUMBER(FIND($E1676,Tables!$I$2)), ISNUMBER(FIND($D1676,Tables!$J$2)), $E1676&lt;&gt;"")</f>
        <v>0</v>
      </c>
    </row>
    <row r="1677" spans="1:18" x14ac:dyDescent="0.3">
      <c r="A1677">
        <f t="shared" si="131"/>
        <v>1660</v>
      </c>
      <c r="B1677" s="4"/>
      <c r="I1677" s="8"/>
      <c r="J1677" s="5" t="str">
        <f t="shared" si="134"/>
        <v/>
      </c>
      <c r="K1677" s="3"/>
      <c r="L1677" s="3" t="str">
        <f t="shared" si="133"/>
        <v/>
      </c>
      <c r="N1677" s="3" t="str">
        <f t="shared" si="132"/>
        <v/>
      </c>
      <c r="O1677" s="6" t="str">
        <f t="shared" si="135"/>
        <v/>
      </c>
      <c r="P1677" s="7">
        <f ca="1">SUMIFS($N$2:$N1677,$B$2:$B1677,"&lt;&gt;"&amp;B1677)+SUM($Q$2:$Q1677)</f>
        <v>135.05500000000001</v>
      </c>
      <c r="R1677" t="b">
        <f>AND(ISNUMBER(FIND($E1677,Tables!$I$2)), ISNUMBER(FIND($D1677,Tables!$J$2)), $E1677&lt;&gt;"")</f>
        <v>0</v>
      </c>
    </row>
    <row r="1678" spans="1:18" x14ac:dyDescent="0.3">
      <c r="A1678">
        <f t="shared" si="131"/>
        <v>1661</v>
      </c>
      <c r="B1678" s="4"/>
      <c r="I1678" s="8"/>
      <c r="J1678" s="5" t="str">
        <f t="shared" si="134"/>
        <v/>
      </c>
      <c r="K1678" s="3"/>
      <c r="L1678" s="3" t="str">
        <f t="shared" si="133"/>
        <v/>
      </c>
      <c r="N1678" s="3" t="str">
        <f t="shared" si="132"/>
        <v/>
      </c>
      <c r="O1678" s="6" t="str">
        <f t="shared" si="135"/>
        <v/>
      </c>
      <c r="P1678" s="7">
        <f ca="1">SUMIFS($N$2:$N1678,$B$2:$B1678,"&lt;&gt;"&amp;B1678)+SUM($Q$2:$Q1678)</f>
        <v>135.05500000000001</v>
      </c>
      <c r="R1678" t="b">
        <f>AND(ISNUMBER(FIND($E1678,Tables!$I$2)), ISNUMBER(FIND($D1678,Tables!$J$2)), $E1678&lt;&gt;"")</f>
        <v>0</v>
      </c>
    </row>
    <row r="1679" spans="1:18" x14ac:dyDescent="0.3">
      <c r="A1679">
        <f t="shared" si="131"/>
        <v>1662</v>
      </c>
      <c r="B1679" s="4"/>
      <c r="I1679" s="8"/>
      <c r="J1679" s="5" t="str">
        <f t="shared" si="134"/>
        <v/>
      </c>
      <c r="K1679" s="3"/>
      <c r="L1679" s="3" t="str">
        <f t="shared" si="133"/>
        <v/>
      </c>
      <c r="N1679" s="3" t="str">
        <f t="shared" si="132"/>
        <v/>
      </c>
      <c r="O1679" s="6" t="str">
        <f t="shared" si="135"/>
        <v/>
      </c>
      <c r="P1679" s="7">
        <f ca="1">SUMIFS($N$2:$N1679,$B$2:$B1679,"&lt;&gt;"&amp;B1679)+SUM($Q$2:$Q1679)</f>
        <v>135.05500000000001</v>
      </c>
      <c r="R1679" t="b">
        <f>AND(ISNUMBER(FIND($E1679,Tables!$I$2)), ISNUMBER(FIND($D1679,Tables!$J$2)), $E1679&lt;&gt;"")</f>
        <v>0</v>
      </c>
    </row>
    <row r="1680" spans="1:18" x14ac:dyDescent="0.3">
      <c r="A1680">
        <f t="shared" si="131"/>
        <v>1663</v>
      </c>
      <c r="B1680" s="4"/>
      <c r="I1680" s="8"/>
      <c r="J1680" s="5" t="str">
        <f t="shared" si="134"/>
        <v/>
      </c>
      <c r="K1680" s="3"/>
      <c r="L1680" s="3" t="str">
        <f t="shared" si="133"/>
        <v/>
      </c>
      <c r="N1680" s="3" t="str">
        <f t="shared" si="132"/>
        <v/>
      </c>
      <c r="O1680" s="6" t="str">
        <f t="shared" si="135"/>
        <v/>
      </c>
      <c r="P1680" s="7">
        <f ca="1">SUMIFS($N$2:$N1680,$B$2:$B1680,"&lt;&gt;"&amp;B1680)+SUM($Q$2:$Q1680)</f>
        <v>135.05500000000001</v>
      </c>
      <c r="R1680" t="b">
        <f>AND(ISNUMBER(FIND($E1680,Tables!$I$2)), ISNUMBER(FIND($D1680,Tables!$J$2)), $E1680&lt;&gt;"")</f>
        <v>0</v>
      </c>
    </row>
    <row r="1681" spans="1:18" x14ac:dyDescent="0.3">
      <c r="A1681">
        <f t="shared" si="131"/>
        <v>1664</v>
      </c>
      <c r="B1681" s="4"/>
      <c r="I1681" s="8"/>
      <c r="J1681" s="5" t="str">
        <f t="shared" si="134"/>
        <v/>
      </c>
      <c r="K1681" s="3"/>
      <c r="L1681" s="3" t="str">
        <f t="shared" si="133"/>
        <v/>
      </c>
      <c r="N1681" s="3" t="str">
        <f t="shared" si="132"/>
        <v/>
      </c>
      <c r="O1681" s="6" t="str">
        <f t="shared" si="135"/>
        <v/>
      </c>
      <c r="P1681" s="7">
        <f ca="1">SUMIFS($N$2:$N1681,$B$2:$B1681,"&lt;&gt;"&amp;B1681)+SUM($Q$2:$Q1681)</f>
        <v>135.05500000000001</v>
      </c>
      <c r="R1681" t="b">
        <f>AND(ISNUMBER(FIND($E1681,Tables!$I$2)), ISNUMBER(FIND($D1681,Tables!$J$2)), $E1681&lt;&gt;"")</f>
        <v>0</v>
      </c>
    </row>
    <row r="1682" spans="1:18" x14ac:dyDescent="0.3">
      <c r="A1682">
        <f t="shared" si="131"/>
        <v>1665</v>
      </c>
      <c r="B1682" s="4"/>
      <c r="I1682" s="8"/>
      <c r="J1682" s="5" t="str">
        <f t="shared" si="134"/>
        <v/>
      </c>
      <c r="K1682" s="3"/>
      <c r="L1682" s="3" t="str">
        <f t="shared" si="133"/>
        <v/>
      </c>
      <c r="N1682" s="3" t="str">
        <f t="shared" si="132"/>
        <v/>
      </c>
      <c r="O1682" s="6" t="str">
        <f t="shared" si="135"/>
        <v/>
      </c>
      <c r="P1682" s="7">
        <f ca="1">SUMIFS($N$2:$N1682,$B$2:$B1682,"&lt;&gt;"&amp;B1682)+SUM($Q$2:$Q1682)</f>
        <v>135.05500000000001</v>
      </c>
      <c r="R1682" t="b">
        <f>AND(ISNUMBER(FIND($E1682,Tables!$I$2)), ISNUMBER(FIND($D1682,Tables!$J$2)), $E1682&lt;&gt;"")</f>
        <v>0</v>
      </c>
    </row>
    <row r="1683" spans="1:18" x14ac:dyDescent="0.3">
      <c r="A1683">
        <f t="shared" si="131"/>
        <v>1666</v>
      </c>
      <c r="B1683" s="4"/>
      <c r="I1683" s="8"/>
      <c r="J1683" s="5" t="str">
        <f t="shared" si="134"/>
        <v/>
      </c>
      <c r="K1683" s="3"/>
      <c r="L1683" s="3" t="str">
        <f t="shared" si="133"/>
        <v/>
      </c>
      <c r="N1683" s="3" t="str">
        <f t="shared" si="132"/>
        <v/>
      </c>
      <c r="O1683" s="6" t="str">
        <f t="shared" si="135"/>
        <v/>
      </c>
      <c r="P1683" s="7">
        <f ca="1">SUMIFS($N$2:$N1683,$B$2:$B1683,"&lt;&gt;"&amp;B1683)+SUM($Q$2:$Q1683)</f>
        <v>135.05500000000001</v>
      </c>
      <c r="R1683" t="b">
        <f>AND(ISNUMBER(FIND($E1683,Tables!$I$2)), ISNUMBER(FIND($D1683,Tables!$J$2)), $E1683&lt;&gt;"")</f>
        <v>0</v>
      </c>
    </row>
    <row r="1684" spans="1:18" x14ac:dyDescent="0.3">
      <c r="A1684">
        <f t="shared" si="131"/>
        <v>1667</v>
      </c>
      <c r="B1684" s="4"/>
      <c r="I1684" s="8"/>
      <c r="J1684" s="5" t="str">
        <f t="shared" si="134"/>
        <v/>
      </c>
      <c r="K1684" s="3"/>
      <c r="L1684" s="3" t="str">
        <f t="shared" si="133"/>
        <v/>
      </c>
      <c r="N1684" s="3" t="str">
        <f t="shared" si="132"/>
        <v/>
      </c>
      <c r="O1684" s="6" t="str">
        <f t="shared" si="135"/>
        <v/>
      </c>
      <c r="P1684" s="7">
        <f ca="1">SUMIFS($N$2:$N1684,$B$2:$B1684,"&lt;&gt;"&amp;B1684)+SUM($Q$2:$Q1684)</f>
        <v>135.05500000000001</v>
      </c>
      <c r="R1684" t="b">
        <f>AND(ISNUMBER(FIND($E1684,Tables!$I$2)), ISNUMBER(FIND($D1684,Tables!$J$2)), $E1684&lt;&gt;"")</f>
        <v>0</v>
      </c>
    </row>
    <row r="1685" spans="1:18" x14ac:dyDescent="0.3">
      <c r="A1685">
        <f t="shared" si="131"/>
        <v>1668</v>
      </c>
      <c r="B1685" s="4"/>
      <c r="I1685" s="8"/>
      <c r="J1685" s="5" t="str">
        <f t="shared" si="134"/>
        <v/>
      </c>
      <c r="K1685" s="3"/>
      <c r="L1685" s="3" t="str">
        <f t="shared" si="133"/>
        <v/>
      </c>
      <c r="N1685" s="3" t="str">
        <f t="shared" si="132"/>
        <v/>
      </c>
      <c r="O1685" s="6" t="str">
        <f t="shared" si="135"/>
        <v/>
      </c>
      <c r="P1685" s="7">
        <f ca="1">SUMIFS($N$2:$N1685,$B$2:$B1685,"&lt;&gt;"&amp;B1685)+SUM($Q$2:$Q1685)</f>
        <v>135.05500000000001</v>
      </c>
      <c r="R1685" t="b">
        <f>AND(ISNUMBER(FIND($E1685,Tables!$I$2)), ISNUMBER(FIND($D1685,Tables!$J$2)), $E1685&lt;&gt;"")</f>
        <v>0</v>
      </c>
    </row>
    <row r="1686" spans="1:18" x14ac:dyDescent="0.3">
      <c r="A1686">
        <f t="shared" si="131"/>
        <v>1669</v>
      </c>
      <c r="B1686" s="4"/>
      <c r="I1686" s="8"/>
      <c r="J1686" s="5" t="str">
        <f t="shared" si="134"/>
        <v/>
      </c>
      <c r="K1686" s="3"/>
      <c r="L1686" s="3" t="str">
        <f t="shared" si="133"/>
        <v/>
      </c>
      <c r="N1686" s="3" t="str">
        <f t="shared" si="132"/>
        <v/>
      </c>
      <c r="O1686" s="6" t="str">
        <f t="shared" si="135"/>
        <v/>
      </c>
      <c r="P1686" s="7">
        <f ca="1">SUMIFS($N$2:$N1686,$B$2:$B1686,"&lt;&gt;"&amp;B1686)+SUM($Q$2:$Q1686)</f>
        <v>135.05500000000001</v>
      </c>
      <c r="R1686" t="b">
        <f>AND(ISNUMBER(FIND($E1686,Tables!$I$2)), ISNUMBER(FIND($D1686,Tables!$J$2)), $E1686&lt;&gt;"")</f>
        <v>0</v>
      </c>
    </row>
    <row r="1687" spans="1:18" x14ac:dyDescent="0.3">
      <c r="A1687">
        <f t="shared" si="131"/>
        <v>1670</v>
      </c>
      <c r="B1687" s="4"/>
      <c r="I1687" s="8"/>
      <c r="J1687" s="5" t="str">
        <f t="shared" si="134"/>
        <v/>
      </c>
      <c r="K1687" s="3"/>
      <c r="L1687" s="3" t="str">
        <f t="shared" si="133"/>
        <v/>
      </c>
      <c r="N1687" s="3" t="str">
        <f t="shared" si="132"/>
        <v/>
      </c>
      <c r="O1687" s="6" t="str">
        <f t="shared" si="135"/>
        <v/>
      </c>
      <c r="P1687" s="7">
        <f ca="1">SUMIFS($N$2:$N1687,$B$2:$B1687,"&lt;&gt;"&amp;B1687)+SUM($Q$2:$Q1687)</f>
        <v>135.05500000000001</v>
      </c>
      <c r="R1687" t="b">
        <f>AND(ISNUMBER(FIND($E1687,Tables!$I$2)), ISNUMBER(FIND($D1687,Tables!$J$2)), $E1687&lt;&gt;"")</f>
        <v>0</v>
      </c>
    </row>
    <row r="1688" spans="1:18" x14ac:dyDescent="0.3">
      <c r="A1688">
        <f t="shared" si="131"/>
        <v>1671</v>
      </c>
      <c r="B1688" s="4"/>
      <c r="I1688" s="8"/>
      <c r="J1688" s="5" t="str">
        <f t="shared" si="134"/>
        <v/>
      </c>
      <c r="K1688" s="3"/>
      <c r="L1688" s="3" t="str">
        <f t="shared" si="133"/>
        <v/>
      </c>
      <c r="N1688" s="3" t="str">
        <f t="shared" si="132"/>
        <v/>
      </c>
      <c r="O1688" s="6" t="str">
        <f t="shared" si="135"/>
        <v/>
      </c>
      <c r="P1688" s="7">
        <f ca="1">SUMIFS($N$2:$N1688,$B$2:$B1688,"&lt;&gt;"&amp;B1688)+SUM($Q$2:$Q1688)</f>
        <v>135.05500000000001</v>
      </c>
      <c r="R1688" t="b">
        <f>AND(ISNUMBER(FIND($E1688,Tables!$I$2)), ISNUMBER(FIND($D1688,Tables!$J$2)), $E1688&lt;&gt;"")</f>
        <v>0</v>
      </c>
    </row>
    <row r="1689" spans="1:18" x14ac:dyDescent="0.3">
      <c r="A1689">
        <f t="shared" si="131"/>
        <v>1672</v>
      </c>
      <c r="B1689" s="4"/>
      <c r="I1689" s="8"/>
      <c r="J1689" s="5" t="str">
        <f t="shared" si="134"/>
        <v/>
      </c>
      <c r="K1689" s="3"/>
      <c r="L1689" s="3" t="str">
        <f t="shared" si="133"/>
        <v/>
      </c>
      <c r="N1689" s="3" t="str">
        <f t="shared" si="132"/>
        <v/>
      </c>
      <c r="O1689" s="6" t="str">
        <f t="shared" si="135"/>
        <v/>
      </c>
      <c r="P1689" s="7">
        <f ca="1">SUMIFS($N$2:$N1689,$B$2:$B1689,"&lt;&gt;"&amp;B1689)+SUM($Q$2:$Q1689)</f>
        <v>135.05500000000001</v>
      </c>
      <c r="R1689" t="b">
        <f>AND(ISNUMBER(FIND($E1689,Tables!$I$2)), ISNUMBER(FIND($D1689,Tables!$J$2)), $E1689&lt;&gt;"")</f>
        <v>0</v>
      </c>
    </row>
    <row r="1690" spans="1:18" x14ac:dyDescent="0.3">
      <c r="A1690">
        <f t="shared" si="131"/>
        <v>1673</v>
      </c>
      <c r="B1690" s="4"/>
      <c r="I1690" s="8"/>
      <c r="J1690" s="5" t="str">
        <f t="shared" si="134"/>
        <v/>
      </c>
      <c r="K1690" s="3"/>
      <c r="L1690" s="3" t="str">
        <f t="shared" si="133"/>
        <v/>
      </c>
      <c r="N1690" s="3" t="str">
        <f t="shared" si="132"/>
        <v/>
      </c>
      <c r="O1690" s="6" t="str">
        <f t="shared" si="135"/>
        <v/>
      </c>
      <c r="P1690" s="7">
        <f ca="1">SUMIFS($N$2:$N1690,$B$2:$B1690,"&lt;&gt;"&amp;B1690)+SUM($Q$2:$Q1690)</f>
        <v>135.05500000000001</v>
      </c>
      <c r="R1690" t="b">
        <f>AND(ISNUMBER(FIND($E1690,Tables!$I$2)), ISNUMBER(FIND($D1690,Tables!$J$2)), $E1690&lt;&gt;"")</f>
        <v>0</v>
      </c>
    </row>
    <row r="1691" spans="1:18" x14ac:dyDescent="0.3">
      <c r="A1691">
        <f t="shared" si="131"/>
        <v>1674</v>
      </c>
      <c r="B1691" s="4"/>
      <c r="I1691" s="8"/>
      <c r="J1691" s="5" t="str">
        <f t="shared" si="134"/>
        <v/>
      </c>
      <c r="K1691" s="3"/>
      <c r="L1691" s="3" t="str">
        <f t="shared" si="133"/>
        <v/>
      </c>
      <c r="N1691" s="3" t="str">
        <f t="shared" si="132"/>
        <v/>
      </c>
      <c r="O1691" s="6" t="str">
        <f t="shared" si="135"/>
        <v/>
      </c>
      <c r="P1691" s="7">
        <f ca="1">SUMIFS($N$2:$N1691,$B$2:$B1691,"&lt;&gt;"&amp;B1691)+SUM($Q$2:$Q1691)</f>
        <v>135.05500000000001</v>
      </c>
      <c r="R1691" t="b">
        <f>AND(ISNUMBER(FIND($E1691,Tables!$I$2)), ISNUMBER(FIND($D1691,Tables!$J$2)), $E1691&lt;&gt;"")</f>
        <v>0</v>
      </c>
    </row>
    <row r="1692" spans="1:18" x14ac:dyDescent="0.3">
      <c r="A1692">
        <f t="shared" si="131"/>
        <v>1675</v>
      </c>
      <c r="B1692" s="4"/>
      <c r="I1692" s="8"/>
      <c r="J1692" s="5" t="str">
        <f t="shared" si="134"/>
        <v/>
      </c>
      <c r="K1692" s="3"/>
      <c r="L1692" s="3" t="str">
        <f t="shared" si="133"/>
        <v/>
      </c>
      <c r="N1692" s="3" t="str">
        <f t="shared" si="132"/>
        <v/>
      </c>
      <c r="O1692" s="6" t="str">
        <f t="shared" si="135"/>
        <v/>
      </c>
      <c r="P1692" s="7">
        <f ca="1">SUMIFS($N$2:$N1692,$B$2:$B1692,"&lt;&gt;"&amp;B1692)+SUM($Q$2:$Q1692)</f>
        <v>135.05500000000001</v>
      </c>
      <c r="R1692" t="b">
        <f>AND(ISNUMBER(FIND($E1692,Tables!$I$2)), ISNUMBER(FIND($D1692,Tables!$J$2)), $E1692&lt;&gt;"")</f>
        <v>0</v>
      </c>
    </row>
    <row r="1693" spans="1:18" x14ac:dyDescent="0.3">
      <c r="A1693">
        <f t="shared" si="131"/>
        <v>1676</v>
      </c>
      <c r="B1693" s="4"/>
      <c r="I1693" s="8"/>
      <c r="J1693" s="5" t="str">
        <f t="shared" si="134"/>
        <v/>
      </c>
      <c r="K1693" s="3"/>
      <c r="L1693" s="3" t="str">
        <f t="shared" si="133"/>
        <v/>
      </c>
      <c r="N1693" s="3" t="str">
        <f t="shared" si="132"/>
        <v/>
      </c>
      <c r="O1693" s="6" t="str">
        <f t="shared" si="135"/>
        <v/>
      </c>
      <c r="P1693" s="7">
        <f ca="1">SUMIFS($N$2:$N1693,$B$2:$B1693,"&lt;&gt;"&amp;B1693)+SUM($Q$2:$Q1693)</f>
        <v>135.05500000000001</v>
      </c>
      <c r="R1693" t="b">
        <f>AND(ISNUMBER(FIND($E1693,Tables!$I$2)), ISNUMBER(FIND($D1693,Tables!$J$2)), $E1693&lt;&gt;"")</f>
        <v>0</v>
      </c>
    </row>
    <row r="1694" spans="1:18" x14ac:dyDescent="0.3">
      <c r="A1694">
        <f t="shared" si="131"/>
        <v>1677</v>
      </c>
      <c r="B1694" s="4"/>
      <c r="I1694" s="8"/>
      <c r="J1694" s="5" t="str">
        <f t="shared" si="134"/>
        <v/>
      </c>
      <c r="K1694" s="3"/>
      <c r="L1694" s="3" t="str">
        <f t="shared" si="133"/>
        <v/>
      </c>
      <c r="N1694" s="3" t="str">
        <f t="shared" si="132"/>
        <v/>
      </c>
      <c r="O1694" s="6" t="str">
        <f t="shared" si="135"/>
        <v/>
      </c>
      <c r="P1694" s="7">
        <f ca="1">SUMIFS($N$2:$N1694,$B$2:$B1694,"&lt;&gt;"&amp;B1694)+SUM($Q$2:$Q1694)</f>
        <v>135.05500000000001</v>
      </c>
      <c r="R1694" t="b">
        <f>AND(ISNUMBER(FIND($E1694,Tables!$I$2)), ISNUMBER(FIND($D1694,Tables!$J$2)), $E1694&lt;&gt;"")</f>
        <v>0</v>
      </c>
    </row>
    <row r="1695" spans="1:18" x14ac:dyDescent="0.3">
      <c r="A1695">
        <f t="shared" si="131"/>
        <v>1678</v>
      </c>
      <c r="B1695" s="4"/>
      <c r="I1695" s="8"/>
      <c r="J1695" s="5" t="str">
        <f t="shared" si="134"/>
        <v/>
      </c>
      <c r="K1695" s="3"/>
      <c r="L1695" s="3" t="str">
        <f t="shared" si="133"/>
        <v/>
      </c>
      <c r="N1695" s="3" t="str">
        <f t="shared" si="132"/>
        <v/>
      </c>
      <c r="O1695" s="6" t="str">
        <f t="shared" si="135"/>
        <v/>
      </c>
      <c r="P1695" s="7">
        <f ca="1">SUMIFS($N$2:$N1695,$B$2:$B1695,"&lt;&gt;"&amp;B1695)+SUM($Q$2:$Q1695)</f>
        <v>135.05500000000001</v>
      </c>
      <c r="R1695" t="b">
        <f>AND(ISNUMBER(FIND($E1695,Tables!$I$2)), ISNUMBER(FIND($D1695,Tables!$J$2)), $E1695&lt;&gt;"")</f>
        <v>0</v>
      </c>
    </row>
    <row r="1696" spans="1:18" x14ac:dyDescent="0.3">
      <c r="A1696">
        <f t="shared" si="131"/>
        <v>1679</v>
      </c>
      <c r="B1696" s="4"/>
      <c r="I1696" s="8"/>
      <c r="J1696" s="5" t="str">
        <f t="shared" si="134"/>
        <v/>
      </c>
      <c r="K1696" s="3"/>
      <c r="L1696" s="3" t="str">
        <f t="shared" si="133"/>
        <v/>
      </c>
      <c r="N1696" s="3" t="str">
        <f t="shared" si="132"/>
        <v/>
      </c>
      <c r="O1696" s="6" t="str">
        <f t="shared" si="135"/>
        <v/>
      </c>
      <c r="P1696" s="7">
        <f ca="1">SUMIFS($N$2:$N1696,$B$2:$B1696,"&lt;&gt;"&amp;B1696)+SUM($Q$2:$Q1696)</f>
        <v>135.05500000000001</v>
      </c>
      <c r="R1696" t="b">
        <f>AND(ISNUMBER(FIND($E1696,Tables!$I$2)), ISNUMBER(FIND($D1696,Tables!$J$2)), $E1696&lt;&gt;"")</f>
        <v>0</v>
      </c>
    </row>
    <row r="1697" spans="1:18" x14ac:dyDescent="0.3">
      <c r="A1697">
        <f t="shared" si="131"/>
        <v>1680</v>
      </c>
      <c r="B1697" s="4"/>
      <c r="I1697" s="8"/>
      <c r="J1697" s="5" t="str">
        <f t="shared" si="134"/>
        <v/>
      </c>
      <c r="K1697" s="3"/>
      <c r="L1697" s="3" t="str">
        <f t="shared" si="133"/>
        <v/>
      </c>
      <c r="N1697" s="3" t="str">
        <f t="shared" si="132"/>
        <v/>
      </c>
      <c r="O1697" s="6" t="str">
        <f t="shared" si="135"/>
        <v/>
      </c>
      <c r="P1697" s="7">
        <f ca="1">SUMIFS($N$2:$N1697,$B$2:$B1697,"&lt;&gt;"&amp;B1697)+SUM($Q$2:$Q1697)</f>
        <v>135.05500000000001</v>
      </c>
      <c r="R1697" t="b">
        <f>AND(ISNUMBER(FIND($E1697,Tables!$I$2)), ISNUMBER(FIND($D1697,Tables!$J$2)), $E1697&lt;&gt;"")</f>
        <v>0</v>
      </c>
    </row>
    <row r="1698" spans="1:18" x14ac:dyDescent="0.3">
      <c r="A1698">
        <f t="shared" ref="A1698:A1761" si="136">IF(AND(B1698="", D1698&lt;&gt;""), A1697, A1697+1)</f>
        <v>1681</v>
      </c>
      <c r="B1698" s="4"/>
      <c r="I1698" s="8"/>
      <c r="J1698" s="5" t="str">
        <f t="shared" si="134"/>
        <v/>
      </c>
      <c r="K1698" s="3"/>
      <c r="L1698" s="3" t="str">
        <f t="shared" si="133"/>
        <v/>
      </c>
      <c r="N1698" s="3" t="str">
        <f t="shared" si="132"/>
        <v/>
      </c>
      <c r="O1698" s="6" t="str">
        <f t="shared" si="135"/>
        <v/>
      </c>
      <c r="P1698" s="7">
        <f ca="1">SUMIFS($N$2:$N1698,$B$2:$B1698,"&lt;&gt;"&amp;B1698)+SUM($Q$2:$Q1698)</f>
        <v>135.05500000000001</v>
      </c>
      <c r="R1698" t="b">
        <f>AND(ISNUMBER(FIND($E1698,Tables!$I$2)), ISNUMBER(FIND($D1698,Tables!$J$2)), $E1698&lt;&gt;"")</f>
        <v>0</v>
      </c>
    </row>
    <row r="1699" spans="1:18" x14ac:dyDescent="0.3">
      <c r="A1699">
        <f t="shared" si="136"/>
        <v>1682</v>
      </c>
      <c r="B1699" s="4"/>
      <c r="I1699" s="8"/>
      <c r="J1699" s="5" t="str">
        <f t="shared" si="134"/>
        <v/>
      </c>
      <c r="K1699" s="3"/>
      <c r="L1699" s="3" t="str">
        <f t="shared" si="133"/>
        <v/>
      </c>
      <c r="N1699" s="3" t="str">
        <f t="shared" si="132"/>
        <v/>
      </c>
      <c r="O1699" s="6" t="str">
        <f t="shared" si="135"/>
        <v/>
      </c>
      <c r="P1699" s="7">
        <f ca="1">SUMIFS($N$2:$N1699,$B$2:$B1699,"&lt;&gt;"&amp;B1699)+SUM($Q$2:$Q1699)</f>
        <v>135.05500000000001</v>
      </c>
      <c r="R1699" t="b">
        <f>AND(ISNUMBER(FIND($E1699,Tables!$I$2)), ISNUMBER(FIND($D1699,Tables!$J$2)), $E1699&lt;&gt;"")</f>
        <v>0</v>
      </c>
    </row>
    <row r="1700" spans="1:18" x14ac:dyDescent="0.3">
      <c r="A1700">
        <f t="shared" si="136"/>
        <v>1683</v>
      </c>
      <c r="B1700" s="4"/>
      <c r="I1700" s="8"/>
      <c r="J1700" s="5" t="str">
        <f t="shared" si="134"/>
        <v/>
      </c>
      <c r="K1700" s="3"/>
      <c r="L1700" s="3" t="str">
        <f t="shared" si="133"/>
        <v/>
      </c>
      <c r="N1700" s="3" t="str">
        <f t="shared" si="132"/>
        <v/>
      </c>
      <c r="O1700" s="6" t="str">
        <f t="shared" si="135"/>
        <v/>
      </c>
      <c r="P1700" s="7">
        <f ca="1">SUMIFS($N$2:$N1700,$B$2:$B1700,"&lt;&gt;"&amp;B1700)+SUM($Q$2:$Q1700)</f>
        <v>135.05500000000001</v>
      </c>
      <c r="R1700" t="b">
        <f>AND(ISNUMBER(FIND($E1700,Tables!$I$2)), ISNUMBER(FIND($D1700,Tables!$J$2)), $E1700&lt;&gt;"")</f>
        <v>0</v>
      </c>
    </row>
    <row r="1701" spans="1:18" x14ac:dyDescent="0.3">
      <c r="A1701">
        <f t="shared" si="136"/>
        <v>1684</v>
      </c>
      <c r="B1701" s="4"/>
      <c r="I1701" s="8"/>
      <c r="J1701" s="5" t="str">
        <f t="shared" si="134"/>
        <v/>
      </c>
      <c r="K1701" s="3"/>
      <c r="L1701" s="3" t="str">
        <f t="shared" si="133"/>
        <v/>
      </c>
      <c r="N1701" s="3" t="str">
        <f t="shared" si="132"/>
        <v/>
      </c>
      <c r="O1701" s="6" t="str">
        <f t="shared" si="135"/>
        <v/>
      </c>
      <c r="P1701" s="7">
        <f ca="1">SUMIFS($N$2:$N1701,$B$2:$B1701,"&lt;&gt;"&amp;B1701)+SUM($Q$2:$Q1701)</f>
        <v>135.05500000000001</v>
      </c>
      <c r="R1701" t="b">
        <f>AND(ISNUMBER(FIND($E1701,Tables!$I$2)), ISNUMBER(FIND($D1701,Tables!$J$2)), $E1701&lt;&gt;"")</f>
        <v>0</v>
      </c>
    </row>
    <row r="1702" spans="1:18" x14ac:dyDescent="0.3">
      <c r="A1702">
        <f t="shared" si="136"/>
        <v>1685</v>
      </c>
      <c r="B1702" s="4"/>
      <c r="I1702" s="8"/>
      <c r="J1702" s="5" t="str">
        <f t="shared" si="134"/>
        <v/>
      </c>
      <c r="K1702" s="3"/>
      <c r="L1702" s="3" t="str">
        <f t="shared" si="133"/>
        <v/>
      </c>
      <c r="N1702" s="3" t="str">
        <f t="shared" si="132"/>
        <v/>
      </c>
      <c r="O1702" s="6" t="str">
        <f t="shared" si="135"/>
        <v/>
      </c>
      <c r="P1702" s="7">
        <f ca="1">SUMIFS($N$2:$N1702,$B$2:$B1702,"&lt;&gt;"&amp;B1702)+SUM($Q$2:$Q1702)</f>
        <v>135.05500000000001</v>
      </c>
      <c r="R1702" t="b">
        <f>AND(ISNUMBER(FIND($E1702,Tables!$I$2)), ISNUMBER(FIND($D1702,Tables!$J$2)), $E1702&lt;&gt;"")</f>
        <v>0</v>
      </c>
    </row>
    <row r="1703" spans="1:18" x14ac:dyDescent="0.3">
      <c r="A1703">
        <f t="shared" si="136"/>
        <v>1686</v>
      </c>
      <c r="B1703" s="4"/>
      <c r="I1703" s="8"/>
      <c r="J1703" s="5" t="str">
        <f t="shared" si="134"/>
        <v/>
      </c>
      <c r="K1703" s="3"/>
      <c r="L1703" s="3" t="str">
        <f t="shared" si="133"/>
        <v/>
      </c>
      <c r="N1703" s="3" t="str">
        <f t="shared" si="132"/>
        <v/>
      </c>
      <c r="O1703" s="6" t="str">
        <f t="shared" si="135"/>
        <v/>
      </c>
      <c r="P1703" s="7">
        <f ca="1">SUMIFS($N$2:$N1703,$B$2:$B1703,"&lt;&gt;"&amp;B1703)+SUM($Q$2:$Q1703)</f>
        <v>135.05500000000001</v>
      </c>
      <c r="R1703" t="b">
        <f>AND(ISNUMBER(FIND($E1703,Tables!$I$2)), ISNUMBER(FIND($D1703,Tables!$J$2)), $E1703&lt;&gt;"")</f>
        <v>0</v>
      </c>
    </row>
    <row r="1704" spans="1:18" x14ac:dyDescent="0.3">
      <c r="A1704">
        <f t="shared" si="136"/>
        <v>1687</v>
      </c>
      <c r="B1704" s="4"/>
      <c r="I1704" s="8"/>
      <c r="J1704" s="5" t="str">
        <f t="shared" si="134"/>
        <v/>
      </c>
      <c r="K1704" s="3"/>
      <c r="L1704" s="3" t="str">
        <f t="shared" si="133"/>
        <v/>
      </c>
      <c r="N1704" s="3" t="str">
        <f t="shared" ref="N1704:N1767" si="137">IF(L1704 = "", "", IF(M1704="", "", IF(OR(M1704="Draw",M1704="NC"), 0, IF(M1704="win", L1704, -1*K1704))))</f>
        <v/>
      </c>
      <c r="O1704" s="6" t="str">
        <f t="shared" si="135"/>
        <v/>
      </c>
      <c r="P1704" s="7">
        <f ca="1">SUMIFS($N$2:$N1704,$B$2:$B1704,"&lt;&gt;"&amp;B1704)+SUM($Q$2:$Q1704)</f>
        <v>135.05500000000001</v>
      </c>
      <c r="R1704" t="b">
        <f>AND(ISNUMBER(FIND($E1704,Tables!$I$2)), ISNUMBER(FIND($D1704,Tables!$J$2)), $E1704&lt;&gt;"")</f>
        <v>0</v>
      </c>
    </row>
    <row r="1705" spans="1:18" x14ac:dyDescent="0.3">
      <c r="A1705">
        <f t="shared" si="136"/>
        <v>1688</v>
      </c>
      <c r="B1705" s="4"/>
      <c r="I1705" s="8"/>
      <c r="J1705" s="5" t="str">
        <f t="shared" si="134"/>
        <v/>
      </c>
      <c r="K1705" s="3"/>
      <c r="L1705" s="3" t="str">
        <f t="shared" si="133"/>
        <v/>
      </c>
      <c r="N1705" s="3" t="str">
        <f t="shared" si="137"/>
        <v/>
      </c>
      <c r="O1705" s="6" t="str">
        <f t="shared" si="135"/>
        <v/>
      </c>
      <c r="P1705" s="7">
        <f ca="1">SUMIFS($N$2:$N1705,$B$2:$B1705,"&lt;&gt;"&amp;B1705)+SUM($Q$2:$Q1705)</f>
        <v>135.05500000000001</v>
      </c>
      <c r="R1705" t="b">
        <f>AND(ISNUMBER(FIND($E1705,Tables!$I$2)), ISNUMBER(FIND($D1705,Tables!$J$2)), $E1705&lt;&gt;"")</f>
        <v>0</v>
      </c>
    </row>
    <row r="1706" spans="1:18" x14ac:dyDescent="0.3">
      <c r="A1706">
        <f t="shared" si="136"/>
        <v>1689</v>
      </c>
      <c r="B1706" s="4"/>
      <c r="I1706" s="8"/>
      <c r="J1706" s="5" t="str">
        <f t="shared" si="134"/>
        <v/>
      </c>
      <c r="K1706" s="3"/>
      <c r="L1706" s="3" t="str">
        <f t="shared" si="133"/>
        <v/>
      </c>
      <c r="N1706" s="3" t="str">
        <f t="shared" si="137"/>
        <v/>
      </c>
      <c r="O1706" s="6" t="str">
        <f t="shared" si="135"/>
        <v/>
      </c>
      <c r="P1706" s="7">
        <f ca="1">SUMIFS($N$2:$N1706,$B$2:$B1706,"&lt;&gt;"&amp;B1706)+SUM($Q$2:$Q1706)</f>
        <v>135.05500000000001</v>
      </c>
      <c r="R1706" t="b">
        <f>AND(ISNUMBER(FIND($E1706,Tables!$I$2)), ISNUMBER(FIND($D1706,Tables!$J$2)), $E1706&lt;&gt;"")</f>
        <v>0</v>
      </c>
    </row>
    <row r="1707" spans="1:18" x14ac:dyDescent="0.3">
      <c r="A1707">
        <f t="shared" si="136"/>
        <v>1690</v>
      </c>
      <c r="B1707" s="4"/>
      <c r="I1707" s="8"/>
      <c r="J1707" s="5" t="str">
        <f t="shared" si="134"/>
        <v/>
      </c>
      <c r="K1707" s="3"/>
      <c r="L1707" s="3" t="str">
        <f t="shared" si="133"/>
        <v/>
      </c>
      <c r="N1707" s="3" t="str">
        <f t="shared" si="137"/>
        <v/>
      </c>
      <c r="O1707" s="6" t="str">
        <f t="shared" si="135"/>
        <v/>
      </c>
      <c r="P1707" s="7">
        <f ca="1">SUMIFS($N$2:$N1707,$B$2:$B1707,"&lt;&gt;"&amp;B1707)+SUM($Q$2:$Q1707)</f>
        <v>135.05500000000001</v>
      </c>
      <c r="R1707" t="b">
        <f>AND(ISNUMBER(FIND($E1707,Tables!$I$2)), ISNUMBER(FIND($D1707,Tables!$J$2)), $E1707&lt;&gt;"")</f>
        <v>0</v>
      </c>
    </row>
    <row r="1708" spans="1:18" x14ac:dyDescent="0.3">
      <c r="A1708">
        <f t="shared" si="136"/>
        <v>1691</v>
      </c>
      <c r="B1708" s="4"/>
      <c r="I1708" s="8"/>
      <c r="J1708" s="5" t="str">
        <f t="shared" si="134"/>
        <v/>
      </c>
      <c r="K1708" s="3"/>
      <c r="L1708" s="3" t="str">
        <f t="shared" si="133"/>
        <v/>
      </c>
      <c r="N1708" s="3" t="str">
        <f t="shared" si="137"/>
        <v/>
      </c>
      <c r="O1708" s="6" t="str">
        <f t="shared" si="135"/>
        <v/>
      </c>
      <c r="P1708" s="7">
        <f ca="1">SUMIFS($N$2:$N1708,$B$2:$B1708,"&lt;&gt;"&amp;B1708)+SUM($Q$2:$Q1708)</f>
        <v>135.05500000000001</v>
      </c>
      <c r="R1708" t="b">
        <f>AND(ISNUMBER(FIND($E1708,Tables!$I$2)), ISNUMBER(FIND($D1708,Tables!$J$2)), $E1708&lt;&gt;"")</f>
        <v>0</v>
      </c>
    </row>
    <row r="1709" spans="1:18" x14ac:dyDescent="0.3">
      <c r="A1709">
        <f t="shared" si="136"/>
        <v>1692</v>
      </c>
      <c r="B1709" s="4"/>
      <c r="I1709" s="8"/>
      <c r="J1709" s="5" t="str">
        <f t="shared" si="134"/>
        <v/>
      </c>
      <c r="K1709" s="3"/>
      <c r="L1709" s="3" t="str">
        <f t="shared" si="133"/>
        <v/>
      </c>
      <c r="N1709" s="3" t="str">
        <f t="shared" si="137"/>
        <v/>
      </c>
      <c r="O1709" s="6" t="str">
        <f t="shared" si="135"/>
        <v/>
      </c>
      <c r="P1709" s="7">
        <f ca="1">SUMIFS($N$2:$N1709,$B$2:$B1709,"&lt;&gt;"&amp;B1709)+SUM($Q$2:$Q1709)</f>
        <v>135.05500000000001</v>
      </c>
      <c r="R1709" t="b">
        <f>AND(ISNUMBER(FIND($E1709,Tables!$I$2)), ISNUMBER(FIND($D1709,Tables!$J$2)), $E1709&lt;&gt;"")</f>
        <v>0</v>
      </c>
    </row>
    <row r="1710" spans="1:18" x14ac:dyDescent="0.3">
      <c r="A1710">
        <f t="shared" si="136"/>
        <v>1693</v>
      </c>
      <c r="B1710" s="4"/>
      <c r="I1710" s="8"/>
      <c r="J1710" s="5" t="str">
        <f t="shared" si="134"/>
        <v/>
      </c>
      <c r="K1710" s="3"/>
      <c r="L1710" s="3" t="str">
        <f t="shared" si="133"/>
        <v/>
      </c>
      <c r="N1710" s="3" t="str">
        <f t="shared" si="137"/>
        <v/>
      </c>
      <c r="O1710" s="6" t="str">
        <f t="shared" si="135"/>
        <v/>
      </c>
      <c r="P1710" s="7">
        <f ca="1">SUMIFS($N$2:$N1710,$B$2:$B1710,"&lt;&gt;"&amp;B1710)+SUM($Q$2:$Q1710)</f>
        <v>135.05500000000001</v>
      </c>
      <c r="R1710" t="b">
        <f>AND(ISNUMBER(FIND($E1710,Tables!$I$2)), ISNUMBER(FIND($D1710,Tables!$J$2)), $E1710&lt;&gt;"")</f>
        <v>0</v>
      </c>
    </row>
    <row r="1711" spans="1:18" x14ac:dyDescent="0.3">
      <c r="A1711">
        <f t="shared" si="136"/>
        <v>1694</v>
      </c>
      <c r="B1711" s="4"/>
      <c r="I1711" s="8"/>
      <c r="J1711" s="5" t="str">
        <f t="shared" si="134"/>
        <v/>
      </c>
      <c r="K1711" s="3"/>
      <c r="L1711" s="3" t="str">
        <f t="shared" si="133"/>
        <v/>
      </c>
      <c r="N1711" s="3" t="str">
        <f t="shared" si="137"/>
        <v/>
      </c>
      <c r="O1711" s="6" t="str">
        <f t="shared" si="135"/>
        <v/>
      </c>
      <c r="P1711" s="7">
        <f ca="1">SUMIFS($N$2:$N1711,$B$2:$B1711,"&lt;&gt;"&amp;B1711)+SUM($Q$2:$Q1711)</f>
        <v>135.05500000000001</v>
      </c>
      <c r="R1711" t="b">
        <f>AND(ISNUMBER(FIND($E1711,Tables!$I$2)), ISNUMBER(FIND($D1711,Tables!$J$2)), $E1711&lt;&gt;"")</f>
        <v>0</v>
      </c>
    </row>
    <row r="1712" spans="1:18" x14ac:dyDescent="0.3">
      <c r="A1712">
        <f t="shared" si="136"/>
        <v>1695</v>
      </c>
      <c r="B1712" s="4"/>
      <c r="I1712" s="8"/>
      <c r="J1712" s="5" t="str">
        <f t="shared" si="134"/>
        <v/>
      </c>
      <c r="K1712" s="3"/>
      <c r="L1712" s="3" t="str">
        <f t="shared" si="133"/>
        <v/>
      </c>
      <c r="N1712" s="3" t="str">
        <f t="shared" si="137"/>
        <v/>
      </c>
      <c r="O1712" s="6" t="str">
        <f t="shared" si="135"/>
        <v/>
      </c>
      <c r="P1712" s="7">
        <f ca="1">SUMIFS($N$2:$N1712,$B$2:$B1712,"&lt;&gt;"&amp;B1712)+SUM($Q$2:$Q1712)</f>
        <v>135.05500000000001</v>
      </c>
      <c r="R1712" t="b">
        <f>AND(ISNUMBER(FIND($E1712,Tables!$I$2)), ISNUMBER(FIND($D1712,Tables!$J$2)), $E1712&lt;&gt;"")</f>
        <v>0</v>
      </c>
    </row>
    <row r="1713" spans="1:18" x14ac:dyDescent="0.3">
      <c r="A1713">
        <f t="shared" si="136"/>
        <v>1696</v>
      </c>
      <c r="B1713" s="4"/>
      <c r="I1713" s="8"/>
      <c r="J1713" s="5" t="str">
        <f t="shared" si="134"/>
        <v/>
      </c>
      <c r="K1713" s="3"/>
      <c r="L1713" s="3" t="str">
        <f t="shared" si="133"/>
        <v/>
      </c>
      <c r="N1713" s="3" t="str">
        <f t="shared" si="137"/>
        <v/>
      </c>
      <c r="O1713" s="6" t="str">
        <f t="shared" si="135"/>
        <v/>
      </c>
      <c r="P1713" s="7">
        <f ca="1">SUMIFS($N$2:$N1713,$B$2:$B1713,"&lt;&gt;"&amp;B1713)+SUM($Q$2:$Q1713)</f>
        <v>135.05500000000001</v>
      </c>
      <c r="R1713" t="b">
        <f>AND(ISNUMBER(FIND($E1713,Tables!$I$2)), ISNUMBER(FIND($D1713,Tables!$J$2)), $E1713&lt;&gt;"")</f>
        <v>0</v>
      </c>
    </row>
    <row r="1714" spans="1:18" x14ac:dyDescent="0.3">
      <c r="A1714">
        <f t="shared" si="136"/>
        <v>1697</v>
      </c>
      <c r="B1714" s="4"/>
      <c r="I1714" s="8"/>
      <c r="J1714" s="5" t="str">
        <f t="shared" si="134"/>
        <v/>
      </c>
      <c r="K1714" s="3"/>
      <c r="L1714" s="3" t="str">
        <f t="shared" ref="L1714:L1777" si="138">IFERROR(IF(K1714=0, "", IF(I1714&gt;0, K1714/100*I1714,K1714/I1714*-100)), "")</f>
        <v/>
      </c>
      <c r="N1714" s="3" t="str">
        <f t="shared" si="137"/>
        <v/>
      </c>
      <c r="O1714" s="6" t="str">
        <f t="shared" si="135"/>
        <v/>
      </c>
      <c r="P1714" s="7">
        <f ca="1">SUMIFS($N$2:$N1714,$B$2:$B1714,"&lt;&gt;"&amp;B1714)+SUM($Q$2:$Q1714)</f>
        <v>135.05500000000001</v>
      </c>
      <c r="R1714" t="b">
        <f>AND(ISNUMBER(FIND($E1714,Tables!$I$2)), ISNUMBER(FIND($D1714,Tables!$J$2)), $E1714&lt;&gt;"")</f>
        <v>0</v>
      </c>
    </row>
    <row r="1715" spans="1:18" x14ac:dyDescent="0.3">
      <c r="A1715">
        <f t="shared" si="136"/>
        <v>1698</v>
      </c>
      <c r="B1715" s="4"/>
      <c r="I1715" s="8"/>
      <c r="J1715" s="5" t="str">
        <f t="shared" si="134"/>
        <v/>
      </c>
      <c r="K1715" s="3"/>
      <c r="L1715" s="3" t="str">
        <f t="shared" si="138"/>
        <v/>
      </c>
      <c r="N1715" s="3" t="str">
        <f t="shared" si="137"/>
        <v/>
      </c>
      <c r="O1715" s="6" t="str">
        <f t="shared" si="135"/>
        <v/>
      </c>
      <c r="P1715" s="7">
        <f ca="1">SUMIFS($N$2:$N1715,$B$2:$B1715,"&lt;&gt;"&amp;B1715)+SUM($Q$2:$Q1715)</f>
        <v>135.05500000000001</v>
      </c>
      <c r="R1715" t="b">
        <f>AND(ISNUMBER(FIND($E1715,Tables!$I$2)), ISNUMBER(FIND($D1715,Tables!$J$2)), $E1715&lt;&gt;"")</f>
        <v>0</v>
      </c>
    </row>
    <row r="1716" spans="1:18" x14ac:dyDescent="0.3">
      <c r="A1716">
        <f t="shared" si="136"/>
        <v>1699</v>
      </c>
      <c r="B1716" s="4"/>
      <c r="I1716" s="8"/>
      <c r="J1716" s="5" t="str">
        <f t="shared" si="134"/>
        <v/>
      </c>
      <c r="K1716" s="3"/>
      <c r="L1716" s="3" t="str">
        <f t="shared" si="138"/>
        <v/>
      </c>
      <c r="N1716" s="3" t="str">
        <f t="shared" si="137"/>
        <v/>
      </c>
      <c r="O1716" s="6" t="str">
        <f t="shared" si="135"/>
        <v/>
      </c>
      <c r="P1716" s="7">
        <f ca="1">SUMIFS($N$2:$N1716,$B$2:$B1716,"&lt;&gt;"&amp;B1716)+SUM($Q$2:$Q1716)</f>
        <v>135.05500000000001</v>
      </c>
      <c r="R1716" t="b">
        <f>AND(ISNUMBER(FIND($E1716,Tables!$I$2)), ISNUMBER(FIND($D1716,Tables!$J$2)), $E1716&lt;&gt;"")</f>
        <v>0</v>
      </c>
    </row>
    <row r="1717" spans="1:18" x14ac:dyDescent="0.3">
      <c r="A1717">
        <f t="shared" si="136"/>
        <v>1700</v>
      </c>
      <c r="B1717" s="4"/>
      <c r="I1717" s="8"/>
      <c r="J1717" s="5" t="str">
        <f t="shared" si="134"/>
        <v/>
      </c>
      <c r="K1717" s="3"/>
      <c r="L1717" s="3" t="str">
        <f t="shared" si="138"/>
        <v/>
      </c>
      <c r="N1717" s="3" t="str">
        <f t="shared" si="137"/>
        <v/>
      </c>
      <c r="O1717" s="6" t="str">
        <f t="shared" si="135"/>
        <v/>
      </c>
      <c r="P1717" s="7">
        <f ca="1">SUMIFS($N$2:$N1717,$B$2:$B1717,"&lt;&gt;"&amp;B1717)+SUM($Q$2:$Q1717)</f>
        <v>135.05500000000001</v>
      </c>
      <c r="R1717" t="b">
        <f>AND(ISNUMBER(FIND($E1717,Tables!$I$2)), ISNUMBER(FIND($D1717,Tables!$J$2)), $E1717&lt;&gt;"")</f>
        <v>0</v>
      </c>
    </row>
    <row r="1718" spans="1:18" x14ac:dyDescent="0.3">
      <c r="A1718">
        <f t="shared" si="136"/>
        <v>1701</v>
      </c>
      <c r="B1718" s="4"/>
      <c r="I1718" s="8"/>
      <c r="J1718" s="5" t="str">
        <f t="shared" si="134"/>
        <v/>
      </c>
      <c r="K1718" s="3"/>
      <c r="L1718" s="3" t="str">
        <f t="shared" si="138"/>
        <v/>
      </c>
      <c r="N1718" s="3" t="str">
        <f t="shared" si="137"/>
        <v/>
      </c>
      <c r="O1718" s="6" t="str">
        <f t="shared" si="135"/>
        <v/>
      </c>
      <c r="P1718" s="7">
        <f ca="1">SUMIFS($N$2:$N1718,$B$2:$B1718,"&lt;&gt;"&amp;B1718)+SUM($Q$2:$Q1718)</f>
        <v>135.05500000000001</v>
      </c>
      <c r="R1718" t="b">
        <f>AND(ISNUMBER(FIND($E1718,Tables!$I$2)), ISNUMBER(FIND($D1718,Tables!$J$2)), $E1718&lt;&gt;"")</f>
        <v>0</v>
      </c>
    </row>
    <row r="1719" spans="1:18" x14ac:dyDescent="0.3">
      <c r="A1719">
        <f t="shared" si="136"/>
        <v>1702</v>
      </c>
      <c r="B1719" s="4"/>
      <c r="I1719" s="8"/>
      <c r="J1719" s="5" t="str">
        <f t="shared" si="134"/>
        <v/>
      </c>
      <c r="K1719" s="3"/>
      <c r="L1719" s="3" t="str">
        <f t="shared" si="138"/>
        <v/>
      </c>
      <c r="N1719" s="3" t="str">
        <f t="shared" si="137"/>
        <v/>
      </c>
      <c r="O1719" s="6" t="str">
        <f t="shared" si="135"/>
        <v/>
      </c>
      <c r="P1719" s="7">
        <f ca="1">SUMIFS($N$2:$N1719,$B$2:$B1719,"&lt;&gt;"&amp;B1719)+SUM($Q$2:$Q1719)</f>
        <v>135.05500000000001</v>
      </c>
      <c r="R1719" t="b">
        <f>AND(ISNUMBER(FIND($E1719,Tables!$I$2)), ISNUMBER(FIND($D1719,Tables!$J$2)), $E1719&lt;&gt;"")</f>
        <v>0</v>
      </c>
    </row>
    <row r="1720" spans="1:18" x14ac:dyDescent="0.3">
      <c r="A1720">
        <f t="shared" si="136"/>
        <v>1703</v>
      </c>
      <c r="B1720" s="4"/>
      <c r="I1720" s="8"/>
      <c r="J1720" s="5" t="str">
        <f t="shared" si="134"/>
        <v/>
      </c>
      <c r="K1720" s="3"/>
      <c r="L1720" s="3" t="str">
        <f t="shared" si="138"/>
        <v/>
      </c>
      <c r="N1720" s="3" t="str">
        <f t="shared" si="137"/>
        <v/>
      </c>
      <c r="O1720" s="6" t="str">
        <f t="shared" si="135"/>
        <v/>
      </c>
      <c r="P1720" s="7">
        <f ca="1">SUMIFS($N$2:$N1720,$B$2:$B1720,"&lt;&gt;"&amp;B1720)+SUM($Q$2:$Q1720)</f>
        <v>135.05500000000001</v>
      </c>
      <c r="R1720" t="b">
        <f>AND(ISNUMBER(FIND($E1720,Tables!$I$2)), ISNUMBER(FIND($D1720,Tables!$J$2)), $E1720&lt;&gt;"")</f>
        <v>0</v>
      </c>
    </row>
    <row r="1721" spans="1:18" x14ac:dyDescent="0.3">
      <c r="A1721">
        <f t="shared" si="136"/>
        <v>1704</v>
      </c>
      <c r="B1721" s="4"/>
      <c r="I1721" s="8"/>
      <c r="J1721" s="5" t="str">
        <f t="shared" si="134"/>
        <v/>
      </c>
      <c r="K1721" s="3"/>
      <c r="L1721" s="3" t="str">
        <f t="shared" si="138"/>
        <v/>
      </c>
      <c r="N1721" s="3" t="str">
        <f t="shared" si="137"/>
        <v/>
      </c>
      <c r="O1721" s="6" t="str">
        <f t="shared" si="135"/>
        <v/>
      </c>
      <c r="P1721" s="7">
        <f ca="1">SUMIFS($N$2:$N1721,$B$2:$B1721,"&lt;&gt;"&amp;B1721)+SUM($Q$2:$Q1721)</f>
        <v>135.05500000000001</v>
      </c>
      <c r="R1721" t="b">
        <f>AND(ISNUMBER(FIND($E1721,Tables!$I$2)), ISNUMBER(FIND($D1721,Tables!$J$2)), $E1721&lt;&gt;"")</f>
        <v>0</v>
      </c>
    </row>
    <row r="1722" spans="1:18" x14ac:dyDescent="0.3">
      <c r="A1722">
        <f t="shared" si="136"/>
        <v>1705</v>
      </c>
      <c r="B1722" s="4"/>
      <c r="I1722" s="8"/>
      <c r="J1722" s="5" t="str">
        <f t="shared" si="134"/>
        <v/>
      </c>
      <c r="K1722" s="3"/>
      <c r="L1722" s="3" t="str">
        <f t="shared" si="138"/>
        <v/>
      </c>
      <c r="N1722" s="3" t="str">
        <f t="shared" si="137"/>
        <v/>
      </c>
      <c r="O1722" s="6" t="str">
        <f t="shared" si="135"/>
        <v/>
      </c>
      <c r="P1722" s="7">
        <f ca="1">SUMIFS($N$2:$N1722,$B$2:$B1722,"&lt;&gt;"&amp;B1722)+SUM($Q$2:$Q1722)</f>
        <v>135.05500000000001</v>
      </c>
      <c r="R1722" t="b">
        <f>AND(ISNUMBER(FIND($E1722,Tables!$I$2)), ISNUMBER(FIND($D1722,Tables!$J$2)), $E1722&lt;&gt;"")</f>
        <v>0</v>
      </c>
    </row>
    <row r="1723" spans="1:18" x14ac:dyDescent="0.3">
      <c r="A1723">
        <f t="shared" si="136"/>
        <v>1706</v>
      </c>
      <c r="B1723" s="4"/>
      <c r="I1723" s="8"/>
      <c r="J1723" s="5" t="str">
        <f t="shared" si="134"/>
        <v/>
      </c>
      <c r="K1723" s="3"/>
      <c r="L1723" s="3" t="str">
        <f t="shared" si="138"/>
        <v/>
      </c>
      <c r="N1723" s="3" t="str">
        <f t="shared" si="137"/>
        <v/>
      </c>
      <c r="O1723" s="6" t="str">
        <f t="shared" si="135"/>
        <v/>
      </c>
      <c r="P1723" s="7">
        <f ca="1">SUMIFS($N$2:$N1723,$B$2:$B1723,"&lt;&gt;"&amp;B1723)+SUM($Q$2:$Q1723)</f>
        <v>135.05500000000001</v>
      </c>
      <c r="R1723" t="b">
        <f>AND(ISNUMBER(FIND($E1723,Tables!$I$2)), ISNUMBER(FIND($D1723,Tables!$J$2)), $E1723&lt;&gt;"")</f>
        <v>0</v>
      </c>
    </row>
    <row r="1724" spans="1:18" x14ac:dyDescent="0.3">
      <c r="A1724">
        <f t="shared" si="136"/>
        <v>1707</v>
      </c>
      <c r="B1724" s="4"/>
      <c r="I1724" s="8"/>
      <c r="J1724" s="5" t="str">
        <f t="shared" si="134"/>
        <v/>
      </c>
      <c r="K1724" s="3"/>
      <c r="L1724" s="3" t="str">
        <f t="shared" si="138"/>
        <v/>
      </c>
      <c r="N1724" s="3" t="str">
        <f t="shared" si="137"/>
        <v/>
      </c>
      <c r="O1724" s="6" t="str">
        <f t="shared" si="135"/>
        <v/>
      </c>
      <c r="P1724" s="7">
        <f ca="1">SUMIFS($N$2:$N1724,$B$2:$B1724,"&lt;&gt;"&amp;B1724)+SUM($Q$2:$Q1724)</f>
        <v>135.05500000000001</v>
      </c>
      <c r="R1724" t="b">
        <f>AND(ISNUMBER(FIND($E1724,Tables!$I$2)), ISNUMBER(FIND($D1724,Tables!$J$2)), $E1724&lt;&gt;"")</f>
        <v>0</v>
      </c>
    </row>
    <row r="1725" spans="1:18" x14ac:dyDescent="0.3">
      <c r="A1725">
        <f t="shared" si="136"/>
        <v>1708</v>
      </c>
      <c r="B1725" s="4"/>
      <c r="I1725" s="8"/>
      <c r="J1725" s="5" t="str">
        <f t="shared" si="134"/>
        <v/>
      </c>
      <c r="K1725" s="3"/>
      <c r="L1725" s="3" t="str">
        <f t="shared" si="138"/>
        <v/>
      </c>
      <c r="N1725" s="3" t="str">
        <f t="shared" si="137"/>
        <v/>
      </c>
      <c r="O1725" s="6" t="str">
        <f t="shared" si="135"/>
        <v/>
      </c>
      <c r="P1725" s="7">
        <f ca="1">SUMIFS($N$2:$N1725,$B$2:$B1725,"&lt;&gt;"&amp;B1725)+SUM($Q$2:$Q1725)</f>
        <v>135.05500000000001</v>
      </c>
      <c r="R1725" t="b">
        <f>AND(ISNUMBER(FIND($E1725,Tables!$I$2)), ISNUMBER(FIND($D1725,Tables!$J$2)), $E1725&lt;&gt;"")</f>
        <v>0</v>
      </c>
    </row>
    <row r="1726" spans="1:18" x14ac:dyDescent="0.3">
      <c r="A1726">
        <f t="shared" si="136"/>
        <v>1709</v>
      </c>
      <c r="B1726" s="4"/>
      <c r="I1726" s="8"/>
      <c r="J1726" s="5" t="str">
        <f t="shared" si="134"/>
        <v/>
      </c>
      <c r="K1726" s="3"/>
      <c r="L1726" s="3" t="str">
        <f t="shared" si="138"/>
        <v/>
      </c>
      <c r="N1726" s="3" t="str">
        <f t="shared" si="137"/>
        <v/>
      </c>
      <c r="O1726" s="6" t="str">
        <f t="shared" si="135"/>
        <v/>
      </c>
      <c r="P1726" s="7">
        <f ca="1">SUMIFS($N$2:$N1726,$B$2:$B1726,"&lt;&gt;"&amp;B1726)+SUM($Q$2:$Q1726)</f>
        <v>135.05500000000001</v>
      </c>
      <c r="R1726" t="b">
        <f>AND(ISNUMBER(FIND($E1726,Tables!$I$2)), ISNUMBER(FIND($D1726,Tables!$J$2)), $E1726&lt;&gt;"")</f>
        <v>0</v>
      </c>
    </row>
    <row r="1727" spans="1:18" x14ac:dyDescent="0.3">
      <c r="A1727">
        <f t="shared" si="136"/>
        <v>1710</v>
      </c>
      <c r="B1727" s="4"/>
      <c r="I1727" s="8"/>
      <c r="J1727" s="5" t="str">
        <f t="shared" si="134"/>
        <v/>
      </c>
      <c r="K1727" s="3"/>
      <c r="L1727" s="3" t="str">
        <f t="shared" si="138"/>
        <v/>
      </c>
      <c r="N1727" s="3" t="str">
        <f t="shared" si="137"/>
        <v/>
      </c>
      <c r="O1727" s="6" t="str">
        <f t="shared" si="135"/>
        <v/>
      </c>
      <c r="P1727" s="7">
        <f ca="1">SUMIFS($N$2:$N1727,$B$2:$B1727,"&lt;&gt;"&amp;B1727)+SUM($Q$2:$Q1727)</f>
        <v>135.05500000000001</v>
      </c>
      <c r="R1727" t="b">
        <f>AND(ISNUMBER(FIND($E1727,Tables!$I$2)), ISNUMBER(FIND($D1727,Tables!$J$2)), $E1727&lt;&gt;"")</f>
        <v>0</v>
      </c>
    </row>
    <row r="1728" spans="1:18" x14ac:dyDescent="0.3">
      <c r="A1728">
        <f t="shared" si="136"/>
        <v>1711</v>
      </c>
      <c r="B1728" s="4"/>
      <c r="I1728" s="8"/>
      <c r="J1728" s="5" t="str">
        <f t="shared" si="134"/>
        <v/>
      </c>
      <c r="K1728" s="3"/>
      <c r="L1728" s="3" t="str">
        <f t="shared" si="138"/>
        <v/>
      </c>
      <c r="N1728" s="3" t="str">
        <f t="shared" si="137"/>
        <v/>
      </c>
      <c r="O1728" s="6" t="str">
        <f t="shared" si="135"/>
        <v/>
      </c>
      <c r="P1728" s="7">
        <f ca="1">SUMIFS($N$2:$N1728,$B$2:$B1728,"&lt;&gt;"&amp;B1728)+SUM($Q$2:$Q1728)</f>
        <v>135.05500000000001</v>
      </c>
      <c r="R1728" t="b">
        <f>AND(ISNUMBER(FIND($E1728,Tables!$I$2)), ISNUMBER(FIND($D1728,Tables!$J$2)), $E1728&lt;&gt;"")</f>
        <v>0</v>
      </c>
    </row>
    <row r="1729" spans="1:18" x14ac:dyDescent="0.3">
      <c r="A1729">
        <f t="shared" si="136"/>
        <v>1712</v>
      </c>
      <c r="B1729" s="4"/>
      <c r="I1729" s="8"/>
      <c r="J1729" s="5" t="str">
        <f t="shared" si="134"/>
        <v/>
      </c>
      <c r="K1729" s="3"/>
      <c r="L1729" s="3" t="str">
        <f t="shared" si="138"/>
        <v/>
      </c>
      <c r="N1729" s="3" t="str">
        <f t="shared" si="137"/>
        <v/>
      </c>
      <c r="O1729" s="6" t="str">
        <f t="shared" si="135"/>
        <v/>
      </c>
      <c r="P1729" s="7">
        <f ca="1">SUMIFS($N$2:$N1729,$B$2:$B1729,"&lt;&gt;"&amp;B1729)+SUM($Q$2:$Q1729)</f>
        <v>135.05500000000001</v>
      </c>
      <c r="R1729" t="b">
        <f>AND(ISNUMBER(FIND($E1729,Tables!$I$2)), ISNUMBER(FIND($D1729,Tables!$J$2)), $E1729&lt;&gt;"")</f>
        <v>0</v>
      </c>
    </row>
    <row r="1730" spans="1:18" x14ac:dyDescent="0.3">
      <c r="A1730">
        <f t="shared" si="136"/>
        <v>1713</v>
      </c>
      <c r="B1730" s="4"/>
      <c r="I1730" s="8"/>
      <c r="J1730" s="5" t="str">
        <f t="shared" ref="J1730:J1793" si="139">IF(I1730="", "", IF(I1730&gt;0, I1730/100 +1, -100/I1730 +1))</f>
        <v/>
      </c>
      <c r="K1730" s="3"/>
      <c r="L1730" s="3" t="str">
        <f t="shared" si="138"/>
        <v/>
      </c>
      <c r="N1730" s="3" t="str">
        <f t="shared" si="137"/>
        <v/>
      </c>
      <c r="O1730" s="6" t="str">
        <f t="shared" ref="O1730:O1793" si="140">IFERROR(K1730/VLOOKUP(_xlfn.MINIFS(A:A,B:B,B1730,C:C,C1730),A:P,16),"")</f>
        <v/>
      </c>
      <c r="P1730" s="7">
        <f ca="1">SUMIFS($N$2:$N1730,$B$2:$B1730,"&lt;&gt;"&amp;B1730)+SUM($Q$2:$Q1730)</f>
        <v>135.05500000000001</v>
      </c>
      <c r="R1730" t="b">
        <f>AND(ISNUMBER(FIND($E1730,Tables!$I$2)), ISNUMBER(FIND($D1730,Tables!$J$2)), $E1730&lt;&gt;"")</f>
        <v>0</v>
      </c>
    </row>
    <row r="1731" spans="1:18" x14ac:dyDescent="0.3">
      <c r="A1731">
        <f t="shared" si="136"/>
        <v>1714</v>
      </c>
      <c r="B1731" s="4"/>
      <c r="I1731" s="8"/>
      <c r="J1731" s="5" t="str">
        <f t="shared" si="139"/>
        <v/>
      </c>
      <c r="K1731" s="3"/>
      <c r="L1731" s="3" t="str">
        <f t="shared" si="138"/>
        <v/>
      </c>
      <c r="N1731" s="3" t="str">
        <f t="shared" si="137"/>
        <v/>
      </c>
      <c r="O1731" s="6" t="str">
        <f t="shared" si="140"/>
        <v/>
      </c>
      <c r="P1731" s="7">
        <f ca="1">SUMIFS($N$2:$N1731,$B$2:$B1731,"&lt;&gt;"&amp;B1731)+SUM($Q$2:$Q1731)</f>
        <v>135.05500000000001</v>
      </c>
      <c r="R1731" t="b">
        <f>AND(ISNUMBER(FIND($E1731,Tables!$I$2)), ISNUMBER(FIND($D1731,Tables!$J$2)), $E1731&lt;&gt;"")</f>
        <v>0</v>
      </c>
    </row>
    <row r="1732" spans="1:18" x14ac:dyDescent="0.3">
      <c r="A1732">
        <f t="shared" si="136"/>
        <v>1715</v>
      </c>
      <c r="B1732" s="4"/>
      <c r="I1732" s="8"/>
      <c r="J1732" s="5" t="str">
        <f t="shared" si="139"/>
        <v/>
      </c>
      <c r="K1732" s="3"/>
      <c r="L1732" s="3" t="str">
        <f t="shared" si="138"/>
        <v/>
      </c>
      <c r="N1732" s="3" t="str">
        <f t="shared" si="137"/>
        <v/>
      </c>
      <c r="O1732" s="6" t="str">
        <f t="shared" si="140"/>
        <v/>
      </c>
      <c r="P1732" s="7">
        <f ca="1">SUMIFS($N$2:$N1732,$B$2:$B1732,"&lt;&gt;"&amp;B1732)+SUM($Q$2:$Q1732)</f>
        <v>135.05500000000001</v>
      </c>
      <c r="R1732" t="b">
        <f>AND(ISNUMBER(FIND($E1732,Tables!$I$2)), ISNUMBER(FIND($D1732,Tables!$J$2)), $E1732&lt;&gt;"")</f>
        <v>0</v>
      </c>
    </row>
    <row r="1733" spans="1:18" x14ac:dyDescent="0.3">
      <c r="A1733">
        <f t="shared" si="136"/>
        <v>1716</v>
      </c>
      <c r="B1733" s="4"/>
      <c r="I1733" s="8"/>
      <c r="J1733" s="5" t="str">
        <f t="shared" si="139"/>
        <v/>
      </c>
      <c r="K1733" s="3"/>
      <c r="L1733" s="3" t="str">
        <f t="shared" si="138"/>
        <v/>
      </c>
      <c r="N1733" s="3" t="str">
        <f t="shared" si="137"/>
        <v/>
      </c>
      <c r="O1733" s="6" t="str">
        <f t="shared" si="140"/>
        <v/>
      </c>
      <c r="P1733" s="7">
        <f ca="1">SUMIFS($N$2:$N1733,$B$2:$B1733,"&lt;&gt;"&amp;B1733)+SUM($Q$2:$Q1733)</f>
        <v>135.05500000000001</v>
      </c>
      <c r="R1733" t="b">
        <f>AND(ISNUMBER(FIND($E1733,Tables!$I$2)), ISNUMBER(FIND($D1733,Tables!$J$2)), $E1733&lt;&gt;"")</f>
        <v>0</v>
      </c>
    </row>
    <row r="1734" spans="1:18" x14ac:dyDescent="0.3">
      <c r="A1734">
        <f t="shared" si="136"/>
        <v>1717</v>
      </c>
      <c r="B1734" s="4"/>
      <c r="I1734" s="8"/>
      <c r="J1734" s="5" t="str">
        <f t="shared" si="139"/>
        <v/>
      </c>
      <c r="K1734" s="3"/>
      <c r="L1734" s="3" t="str">
        <f t="shared" si="138"/>
        <v/>
      </c>
      <c r="N1734" s="3" t="str">
        <f t="shared" si="137"/>
        <v/>
      </c>
      <c r="O1734" s="6" t="str">
        <f t="shared" si="140"/>
        <v/>
      </c>
      <c r="P1734" s="7">
        <f ca="1">SUMIFS($N$2:$N1734,$B$2:$B1734,"&lt;&gt;"&amp;B1734)+SUM($Q$2:$Q1734)</f>
        <v>135.05500000000001</v>
      </c>
      <c r="R1734" t="b">
        <f>AND(ISNUMBER(FIND($E1734,Tables!$I$2)), ISNUMBER(FIND($D1734,Tables!$J$2)), $E1734&lt;&gt;"")</f>
        <v>0</v>
      </c>
    </row>
    <row r="1735" spans="1:18" x14ac:dyDescent="0.3">
      <c r="A1735">
        <f t="shared" si="136"/>
        <v>1718</v>
      </c>
      <c r="B1735" s="4"/>
      <c r="I1735" s="8"/>
      <c r="J1735" s="5" t="str">
        <f t="shared" si="139"/>
        <v/>
      </c>
      <c r="K1735" s="3"/>
      <c r="L1735" s="3" t="str">
        <f t="shared" si="138"/>
        <v/>
      </c>
      <c r="N1735" s="3" t="str">
        <f t="shared" si="137"/>
        <v/>
      </c>
      <c r="O1735" s="6" t="str">
        <f t="shared" si="140"/>
        <v/>
      </c>
      <c r="P1735" s="7">
        <f ca="1">SUMIFS($N$2:$N1735,$B$2:$B1735,"&lt;&gt;"&amp;B1735)+SUM($Q$2:$Q1735)</f>
        <v>135.05500000000001</v>
      </c>
      <c r="R1735" t="b">
        <f>AND(ISNUMBER(FIND($E1735,Tables!$I$2)), ISNUMBER(FIND($D1735,Tables!$J$2)), $E1735&lt;&gt;"")</f>
        <v>0</v>
      </c>
    </row>
    <row r="1736" spans="1:18" x14ac:dyDescent="0.3">
      <c r="A1736">
        <f t="shared" si="136"/>
        <v>1719</v>
      </c>
      <c r="B1736" s="4"/>
      <c r="I1736" s="8"/>
      <c r="J1736" s="5" t="str">
        <f t="shared" si="139"/>
        <v/>
      </c>
      <c r="K1736" s="3"/>
      <c r="L1736" s="3" t="str">
        <f t="shared" si="138"/>
        <v/>
      </c>
      <c r="N1736" s="3" t="str">
        <f t="shared" si="137"/>
        <v/>
      </c>
      <c r="O1736" s="6" t="str">
        <f t="shared" si="140"/>
        <v/>
      </c>
      <c r="P1736" s="7">
        <f ca="1">SUMIFS($N$2:$N1736,$B$2:$B1736,"&lt;&gt;"&amp;B1736)+SUM($Q$2:$Q1736)</f>
        <v>135.05500000000001</v>
      </c>
      <c r="R1736" t="b">
        <f>AND(ISNUMBER(FIND($E1736,Tables!$I$2)), ISNUMBER(FIND($D1736,Tables!$J$2)), $E1736&lt;&gt;"")</f>
        <v>0</v>
      </c>
    </row>
    <row r="1737" spans="1:18" x14ac:dyDescent="0.3">
      <c r="A1737">
        <f t="shared" si="136"/>
        <v>1720</v>
      </c>
      <c r="B1737" s="4"/>
      <c r="I1737" s="8"/>
      <c r="J1737" s="5" t="str">
        <f t="shared" si="139"/>
        <v/>
      </c>
      <c r="K1737" s="3"/>
      <c r="L1737" s="3" t="str">
        <f t="shared" si="138"/>
        <v/>
      </c>
      <c r="N1737" s="3" t="str">
        <f t="shared" si="137"/>
        <v/>
      </c>
      <c r="O1737" s="6" t="str">
        <f t="shared" si="140"/>
        <v/>
      </c>
      <c r="P1737" s="7">
        <f ca="1">SUMIFS($N$2:$N1737,$B$2:$B1737,"&lt;&gt;"&amp;B1737)+SUM($Q$2:$Q1737)</f>
        <v>135.05500000000001</v>
      </c>
      <c r="R1737" t="b">
        <f>AND(ISNUMBER(FIND($E1737,Tables!$I$2)), ISNUMBER(FIND($D1737,Tables!$J$2)), $E1737&lt;&gt;"")</f>
        <v>0</v>
      </c>
    </row>
    <row r="1738" spans="1:18" x14ac:dyDescent="0.3">
      <c r="A1738">
        <f t="shared" si="136"/>
        <v>1721</v>
      </c>
      <c r="B1738" s="4"/>
      <c r="I1738" s="8"/>
      <c r="J1738" s="5" t="str">
        <f t="shared" si="139"/>
        <v/>
      </c>
      <c r="K1738" s="3"/>
      <c r="L1738" s="3" t="str">
        <f t="shared" si="138"/>
        <v/>
      </c>
      <c r="N1738" s="3" t="str">
        <f t="shared" si="137"/>
        <v/>
      </c>
      <c r="O1738" s="6" t="str">
        <f t="shared" si="140"/>
        <v/>
      </c>
      <c r="P1738" s="7">
        <f ca="1">SUMIFS($N$2:$N1738,$B$2:$B1738,"&lt;&gt;"&amp;B1738)+SUM($Q$2:$Q1738)</f>
        <v>135.05500000000001</v>
      </c>
      <c r="R1738" t="b">
        <f>AND(ISNUMBER(FIND($E1738,Tables!$I$2)), ISNUMBER(FIND($D1738,Tables!$J$2)), $E1738&lt;&gt;"")</f>
        <v>0</v>
      </c>
    </row>
    <row r="1739" spans="1:18" x14ac:dyDescent="0.3">
      <c r="A1739">
        <f t="shared" si="136"/>
        <v>1722</v>
      </c>
      <c r="B1739" s="4"/>
      <c r="I1739" s="8"/>
      <c r="J1739" s="5" t="str">
        <f t="shared" si="139"/>
        <v/>
      </c>
      <c r="K1739" s="3"/>
      <c r="L1739" s="3" t="str">
        <f t="shared" si="138"/>
        <v/>
      </c>
      <c r="N1739" s="3" t="str">
        <f t="shared" si="137"/>
        <v/>
      </c>
      <c r="O1739" s="6" t="str">
        <f t="shared" si="140"/>
        <v/>
      </c>
      <c r="P1739" s="7">
        <f ca="1">SUMIFS($N$2:$N1739,$B$2:$B1739,"&lt;&gt;"&amp;B1739)+SUM($Q$2:$Q1739)</f>
        <v>135.05500000000001</v>
      </c>
      <c r="R1739" t="b">
        <f>AND(ISNUMBER(FIND($E1739,Tables!$I$2)), ISNUMBER(FIND($D1739,Tables!$J$2)), $E1739&lt;&gt;"")</f>
        <v>0</v>
      </c>
    </row>
    <row r="1740" spans="1:18" x14ac:dyDescent="0.3">
      <c r="A1740">
        <f t="shared" si="136"/>
        <v>1723</v>
      </c>
      <c r="B1740" s="4"/>
      <c r="I1740" s="8"/>
      <c r="J1740" s="5" t="str">
        <f t="shared" si="139"/>
        <v/>
      </c>
      <c r="K1740" s="3"/>
      <c r="L1740" s="3" t="str">
        <f t="shared" si="138"/>
        <v/>
      </c>
      <c r="N1740" s="3" t="str">
        <f t="shared" si="137"/>
        <v/>
      </c>
      <c r="O1740" s="6" t="str">
        <f t="shared" si="140"/>
        <v/>
      </c>
      <c r="P1740" s="7">
        <f ca="1">SUMIFS($N$2:$N1740,$B$2:$B1740,"&lt;&gt;"&amp;B1740)+SUM($Q$2:$Q1740)</f>
        <v>135.05500000000001</v>
      </c>
      <c r="R1740" t="b">
        <f>AND(ISNUMBER(FIND($E1740,Tables!$I$2)), ISNUMBER(FIND($D1740,Tables!$J$2)), $E1740&lt;&gt;"")</f>
        <v>0</v>
      </c>
    </row>
    <row r="1741" spans="1:18" x14ac:dyDescent="0.3">
      <c r="A1741">
        <f t="shared" si="136"/>
        <v>1724</v>
      </c>
      <c r="B1741" s="4"/>
      <c r="I1741" s="8"/>
      <c r="J1741" s="5" t="str">
        <f t="shared" si="139"/>
        <v/>
      </c>
      <c r="K1741" s="3"/>
      <c r="L1741" s="3" t="str">
        <f t="shared" si="138"/>
        <v/>
      </c>
      <c r="N1741" s="3" t="str">
        <f t="shared" si="137"/>
        <v/>
      </c>
      <c r="O1741" s="6" t="str">
        <f t="shared" si="140"/>
        <v/>
      </c>
      <c r="P1741" s="7">
        <f ca="1">SUMIFS($N$2:$N1741,$B$2:$B1741,"&lt;&gt;"&amp;B1741)+SUM($Q$2:$Q1741)</f>
        <v>135.05500000000001</v>
      </c>
      <c r="R1741" t="b">
        <f>AND(ISNUMBER(FIND($E1741,Tables!$I$2)), ISNUMBER(FIND($D1741,Tables!$J$2)), $E1741&lt;&gt;"")</f>
        <v>0</v>
      </c>
    </row>
    <row r="1742" spans="1:18" x14ac:dyDescent="0.3">
      <c r="A1742">
        <f t="shared" si="136"/>
        <v>1725</v>
      </c>
      <c r="B1742" s="4"/>
      <c r="I1742" s="8"/>
      <c r="J1742" s="5" t="str">
        <f t="shared" si="139"/>
        <v/>
      </c>
      <c r="K1742" s="3"/>
      <c r="L1742" s="3" t="str">
        <f t="shared" si="138"/>
        <v/>
      </c>
      <c r="N1742" s="3" t="str">
        <f t="shared" si="137"/>
        <v/>
      </c>
      <c r="O1742" s="6" t="str">
        <f t="shared" si="140"/>
        <v/>
      </c>
      <c r="P1742" s="7">
        <f ca="1">SUMIFS($N$2:$N1742,$B$2:$B1742,"&lt;&gt;"&amp;B1742)+SUM($Q$2:$Q1742)</f>
        <v>135.05500000000001</v>
      </c>
      <c r="R1742" t="b">
        <f>AND(ISNUMBER(FIND($E1742,Tables!$I$2)), ISNUMBER(FIND($D1742,Tables!$J$2)), $E1742&lt;&gt;"")</f>
        <v>0</v>
      </c>
    </row>
    <row r="1743" spans="1:18" x14ac:dyDescent="0.3">
      <c r="A1743">
        <f t="shared" si="136"/>
        <v>1726</v>
      </c>
      <c r="B1743" s="4"/>
      <c r="I1743" s="8"/>
      <c r="J1743" s="5" t="str">
        <f t="shared" si="139"/>
        <v/>
      </c>
      <c r="K1743" s="3"/>
      <c r="L1743" s="3" t="str">
        <f t="shared" si="138"/>
        <v/>
      </c>
      <c r="N1743" s="3" t="str">
        <f t="shared" si="137"/>
        <v/>
      </c>
      <c r="O1743" s="6" t="str">
        <f t="shared" si="140"/>
        <v/>
      </c>
      <c r="P1743" s="7">
        <f ca="1">SUMIFS($N$2:$N1743,$B$2:$B1743,"&lt;&gt;"&amp;B1743)+SUM($Q$2:$Q1743)</f>
        <v>135.05500000000001</v>
      </c>
      <c r="R1743" t="b">
        <f>AND(ISNUMBER(FIND($E1743,Tables!$I$2)), ISNUMBER(FIND($D1743,Tables!$J$2)), $E1743&lt;&gt;"")</f>
        <v>0</v>
      </c>
    </row>
    <row r="1744" spans="1:18" x14ac:dyDescent="0.3">
      <c r="A1744">
        <f t="shared" si="136"/>
        <v>1727</v>
      </c>
      <c r="B1744" s="4"/>
      <c r="I1744" s="8"/>
      <c r="J1744" s="5" t="str">
        <f t="shared" si="139"/>
        <v/>
      </c>
      <c r="K1744" s="3"/>
      <c r="L1744" s="3" t="str">
        <f t="shared" si="138"/>
        <v/>
      </c>
      <c r="N1744" s="3" t="str">
        <f t="shared" si="137"/>
        <v/>
      </c>
      <c r="O1744" s="6" t="str">
        <f t="shared" si="140"/>
        <v/>
      </c>
      <c r="P1744" s="7">
        <f ca="1">SUMIFS($N$2:$N1744,$B$2:$B1744,"&lt;&gt;"&amp;B1744)+SUM($Q$2:$Q1744)</f>
        <v>135.05500000000001</v>
      </c>
      <c r="R1744" t="b">
        <f>AND(ISNUMBER(FIND($E1744,Tables!$I$2)), ISNUMBER(FIND($D1744,Tables!$J$2)), $E1744&lt;&gt;"")</f>
        <v>0</v>
      </c>
    </row>
    <row r="1745" spans="1:18" x14ac:dyDescent="0.3">
      <c r="A1745">
        <f t="shared" si="136"/>
        <v>1728</v>
      </c>
      <c r="B1745" s="4"/>
      <c r="I1745" s="8"/>
      <c r="J1745" s="5" t="str">
        <f t="shared" si="139"/>
        <v/>
      </c>
      <c r="K1745" s="3"/>
      <c r="L1745" s="3" t="str">
        <f t="shared" si="138"/>
        <v/>
      </c>
      <c r="N1745" s="3" t="str">
        <f t="shared" si="137"/>
        <v/>
      </c>
      <c r="O1745" s="6" t="str">
        <f t="shared" si="140"/>
        <v/>
      </c>
      <c r="P1745" s="7">
        <f ca="1">SUMIFS($N$2:$N1745,$B$2:$B1745,"&lt;&gt;"&amp;B1745)+SUM($Q$2:$Q1745)</f>
        <v>135.05500000000001</v>
      </c>
      <c r="R1745" t="b">
        <f>AND(ISNUMBER(FIND($E1745,Tables!$I$2)), ISNUMBER(FIND($D1745,Tables!$J$2)), $E1745&lt;&gt;"")</f>
        <v>0</v>
      </c>
    </row>
    <row r="1746" spans="1:18" x14ac:dyDescent="0.3">
      <c r="A1746">
        <f t="shared" si="136"/>
        <v>1729</v>
      </c>
      <c r="B1746" s="4"/>
      <c r="I1746" s="8"/>
      <c r="J1746" s="5" t="str">
        <f t="shared" si="139"/>
        <v/>
      </c>
      <c r="K1746" s="3"/>
      <c r="L1746" s="3" t="str">
        <f t="shared" si="138"/>
        <v/>
      </c>
      <c r="N1746" s="3" t="str">
        <f t="shared" si="137"/>
        <v/>
      </c>
      <c r="O1746" s="6" t="str">
        <f t="shared" si="140"/>
        <v/>
      </c>
      <c r="P1746" s="7">
        <f ca="1">SUMIFS($N$2:$N1746,$B$2:$B1746,"&lt;&gt;"&amp;B1746)+SUM($Q$2:$Q1746)</f>
        <v>135.05500000000001</v>
      </c>
      <c r="R1746" t="b">
        <f>AND(ISNUMBER(FIND($E1746,Tables!$I$2)), ISNUMBER(FIND($D1746,Tables!$J$2)), $E1746&lt;&gt;"")</f>
        <v>0</v>
      </c>
    </row>
    <row r="1747" spans="1:18" x14ac:dyDescent="0.3">
      <c r="A1747">
        <f t="shared" si="136"/>
        <v>1730</v>
      </c>
      <c r="B1747" s="4"/>
      <c r="I1747" s="8"/>
      <c r="J1747" s="5" t="str">
        <f t="shared" si="139"/>
        <v/>
      </c>
      <c r="K1747" s="3"/>
      <c r="L1747" s="3" t="str">
        <f t="shared" si="138"/>
        <v/>
      </c>
      <c r="N1747" s="3" t="str">
        <f t="shared" si="137"/>
        <v/>
      </c>
      <c r="O1747" s="6" t="str">
        <f t="shared" si="140"/>
        <v/>
      </c>
      <c r="P1747" s="7">
        <f ca="1">SUMIFS($N$2:$N1747,$B$2:$B1747,"&lt;&gt;"&amp;B1747)+SUM($Q$2:$Q1747)</f>
        <v>135.05500000000001</v>
      </c>
      <c r="R1747" t="b">
        <f>AND(ISNUMBER(FIND($E1747,Tables!$I$2)), ISNUMBER(FIND($D1747,Tables!$J$2)), $E1747&lt;&gt;"")</f>
        <v>0</v>
      </c>
    </row>
    <row r="1748" spans="1:18" x14ac:dyDescent="0.3">
      <c r="A1748">
        <f t="shared" si="136"/>
        <v>1731</v>
      </c>
      <c r="B1748" s="4"/>
      <c r="I1748" s="8"/>
      <c r="J1748" s="5" t="str">
        <f t="shared" si="139"/>
        <v/>
      </c>
      <c r="K1748" s="3"/>
      <c r="L1748" s="3" t="str">
        <f t="shared" si="138"/>
        <v/>
      </c>
      <c r="N1748" s="3" t="str">
        <f t="shared" si="137"/>
        <v/>
      </c>
      <c r="O1748" s="6" t="str">
        <f t="shared" si="140"/>
        <v/>
      </c>
      <c r="P1748" s="7">
        <f ca="1">SUMIFS($N$2:$N1748,$B$2:$B1748,"&lt;&gt;"&amp;B1748)+SUM($Q$2:$Q1748)</f>
        <v>135.05500000000001</v>
      </c>
      <c r="R1748" t="b">
        <f>AND(ISNUMBER(FIND($E1748,Tables!$I$2)), ISNUMBER(FIND($D1748,Tables!$J$2)), $E1748&lt;&gt;"")</f>
        <v>0</v>
      </c>
    </row>
    <row r="1749" spans="1:18" x14ac:dyDescent="0.3">
      <c r="A1749">
        <f t="shared" si="136"/>
        <v>1732</v>
      </c>
      <c r="B1749" s="4"/>
      <c r="I1749" s="8"/>
      <c r="J1749" s="5" t="str">
        <f t="shared" si="139"/>
        <v/>
      </c>
      <c r="K1749" s="3"/>
      <c r="L1749" s="3" t="str">
        <f t="shared" si="138"/>
        <v/>
      </c>
      <c r="N1749" s="3" t="str">
        <f t="shared" si="137"/>
        <v/>
      </c>
      <c r="O1749" s="6" t="str">
        <f t="shared" si="140"/>
        <v/>
      </c>
      <c r="P1749" s="7">
        <f ca="1">SUMIFS($N$2:$N1749,$B$2:$B1749,"&lt;&gt;"&amp;B1749)+SUM($Q$2:$Q1749)</f>
        <v>135.05500000000001</v>
      </c>
      <c r="R1749" t="b">
        <f>AND(ISNUMBER(FIND($E1749,Tables!$I$2)), ISNUMBER(FIND($D1749,Tables!$J$2)), $E1749&lt;&gt;"")</f>
        <v>0</v>
      </c>
    </row>
    <row r="1750" spans="1:18" x14ac:dyDescent="0.3">
      <c r="A1750">
        <f t="shared" si="136"/>
        <v>1733</v>
      </c>
      <c r="B1750" s="4"/>
      <c r="I1750" s="8"/>
      <c r="J1750" s="5" t="str">
        <f t="shared" si="139"/>
        <v/>
      </c>
      <c r="K1750" s="3"/>
      <c r="L1750" s="3" t="str">
        <f t="shared" si="138"/>
        <v/>
      </c>
      <c r="N1750" s="3" t="str">
        <f t="shared" si="137"/>
        <v/>
      </c>
      <c r="O1750" s="6" t="str">
        <f t="shared" si="140"/>
        <v/>
      </c>
      <c r="P1750" s="7">
        <f ca="1">SUMIFS($N$2:$N1750,$B$2:$B1750,"&lt;&gt;"&amp;B1750)+SUM($Q$2:$Q1750)</f>
        <v>135.05500000000001</v>
      </c>
      <c r="R1750" t="b">
        <f>AND(ISNUMBER(FIND($E1750,Tables!$I$2)), ISNUMBER(FIND($D1750,Tables!$J$2)), $E1750&lt;&gt;"")</f>
        <v>0</v>
      </c>
    </row>
    <row r="1751" spans="1:18" x14ac:dyDescent="0.3">
      <c r="A1751">
        <f t="shared" si="136"/>
        <v>1734</v>
      </c>
      <c r="B1751" s="4"/>
      <c r="I1751" s="8"/>
      <c r="J1751" s="5" t="str">
        <f t="shared" si="139"/>
        <v/>
      </c>
      <c r="K1751" s="3"/>
      <c r="L1751" s="3" t="str">
        <f t="shared" si="138"/>
        <v/>
      </c>
      <c r="N1751" s="3" t="str">
        <f t="shared" si="137"/>
        <v/>
      </c>
      <c r="O1751" s="6" t="str">
        <f t="shared" si="140"/>
        <v/>
      </c>
      <c r="P1751" s="7">
        <f ca="1">SUMIFS($N$2:$N1751,$B$2:$B1751,"&lt;&gt;"&amp;B1751)+SUM($Q$2:$Q1751)</f>
        <v>135.05500000000001</v>
      </c>
      <c r="R1751" t="b">
        <f>AND(ISNUMBER(FIND($E1751,Tables!$I$2)), ISNUMBER(FIND($D1751,Tables!$J$2)), $E1751&lt;&gt;"")</f>
        <v>0</v>
      </c>
    </row>
    <row r="1752" spans="1:18" x14ac:dyDescent="0.3">
      <c r="A1752">
        <f t="shared" si="136"/>
        <v>1735</v>
      </c>
      <c r="B1752" s="4"/>
      <c r="I1752" s="8"/>
      <c r="J1752" s="5" t="str">
        <f t="shared" si="139"/>
        <v/>
      </c>
      <c r="K1752" s="3"/>
      <c r="L1752" s="3" t="str">
        <f t="shared" si="138"/>
        <v/>
      </c>
      <c r="N1752" s="3" t="str">
        <f t="shared" si="137"/>
        <v/>
      </c>
      <c r="O1752" s="6" t="str">
        <f t="shared" si="140"/>
        <v/>
      </c>
      <c r="P1752" s="7">
        <f ca="1">SUMIFS($N$2:$N1752,$B$2:$B1752,"&lt;&gt;"&amp;B1752)+SUM($Q$2:$Q1752)</f>
        <v>135.05500000000001</v>
      </c>
      <c r="R1752" t="b">
        <f>AND(ISNUMBER(FIND($E1752,Tables!$I$2)), ISNUMBER(FIND($D1752,Tables!$J$2)), $E1752&lt;&gt;"")</f>
        <v>0</v>
      </c>
    </row>
    <row r="1753" spans="1:18" x14ac:dyDescent="0.3">
      <c r="A1753">
        <f t="shared" si="136"/>
        <v>1736</v>
      </c>
      <c r="B1753" s="4"/>
      <c r="I1753" s="8"/>
      <c r="J1753" s="5" t="str">
        <f t="shared" si="139"/>
        <v/>
      </c>
      <c r="K1753" s="3"/>
      <c r="L1753" s="3" t="str">
        <f t="shared" si="138"/>
        <v/>
      </c>
      <c r="N1753" s="3" t="str">
        <f t="shared" si="137"/>
        <v/>
      </c>
      <c r="O1753" s="6" t="str">
        <f t="shared" si="140"/>
        <v/>
      </c>
      <c r="P1753" s="7">
        <f ca="1">SUMIFS($N$2:$N1753,$B$2:$B1753,"&lt;&gt;"&amp;B1753)+SUM($Q$2:$Q1753)</f>
        <v>135.05500000000001</v>
      </c>
      <c r="R1753" t="b">
        <f>AND(ISNUMBER(FIND($E1753,Tables!$I$2)), ISNUMBER(FIND($D1753,Tables!$J$2)), $E1753&lt;&gt;"")</f>
        <v>0</v>
      </c>
    </row>
    <row r="1754" spans="1:18" x14ac:dyDescent="0.3">
      <c r="A1754">
        <f t="shared" si="136"/>
        <v>1737</v>
      </c>
      <c r="B1754" s="4"/>
      <c r="I1754" s="8"/>
      <c r="J1754" s="5" t="str">
        <f t="shared" si="139"/>
        <v/>
      </c>
      <c r="K1754" s="3"/>
      <c r="L1754" s="3" t="str">
        <f t="shared" si="138"/>
        <v/>
      </c>
      <c r="N1754" s="3" t="str">
        <f t="shared" si="137"/>
        <v/>
      </c>
      <c r="O1754" s="6" t="str">
        <f t="shared" si="140"/>
        <v/>
      </c>
      <c r="P1754" s="7">
        <f ca="1">SUMIFS($N$2:$N1754,$B$2:$B1754,"&lt;&gt;"&amp;B1754)+SUM($Q$2:$Q1754)</f>
        <v>135.05500000000001</v>
      </c>
      <c r="R1754" t="b">
        <f>AND(ISNUMBER(FIND($E1754,Tables!$I$2)), ISNUMBER(FIND($D1754,Tables!$J$2)), $E1754&lt;&gt;"")</f>
        <v>0</v>
      </c>
    </row>
    <row r="1755" spans="1:18" x14ac:dyDescent="0.3">
      <c r="A1755">
        <f t="shared" si="136"/>
        <v>1738</v>
      </c>
      <c r="B1755" s="4"/>
      <c r="I1755" s="8"/>
      <c r="J1755" s="5" t="str">
        <f t="shared" si="139"/>
        <v/>
      </c>
      <c r="K1755" s="3"/>
      <c r="L1755" s="3" t="str">
        <f t="shared" si="138"/>
        <v/>
      </c>
      <c r="N1755" s="3" t="str">
        <f t="shared" si="137"/>
        <v/>
      </c>
      <c r="O1755" s="6" t="str">
        <f t="shared" si="140"/>
        <v/>
      </c>
      <c r="P1755" s="7">
        <f ca="1">SUMIFS($N$2:$N1755,$B$2:$B1755,"&lt;&gt;"&amp;B1755)+SUM($Q$2:$Q1755)</f>
        <v>135.05500000000001</v>
      </c>
      <c r="R1755" t="b">
        <f>AND(ISNUMBER(FIND($E1755,Tables!$I$2)), ISNUMBER(FIND($D1755,Tables!$J$2)), $E1755&lt;&gt;"")</f>
        <v>0</v>
      </c>
    </row>
    <row r="1756" spans="1:18" x14ac:dyDescent="0.3">
      <c r="A1756">
        <f t="shared" si="136"/>
        <v>1739</v>
      </c>
      <c r="B1756" s="4"/>
      <c r="I1756" s="8"/>
      <c r="J1756" s="5" t="str">
        <f t="shared" si="139"/>
        <v/>
      </c>
      <c r="K1756" s="3"/>
      <c r="L1756" s="3" t="str">
        <f t="shared" si="138"/>
        <v/>
      </c>
      <c r="N1756" s="3" t="str">
        <f t="shared" si="137"/>
        <v/>
      </c>
      <c r="O1756" s="6" t="str">
        <f t="shared" si="140"/>
        <v/>
      </c>
      <c r="P1756" s="7">
        <f ca="1">SUMIFS($N$2:$N1756,$B$2:$B1756,"&lt;&gt;"&amp;B1756)+SUM($Q$2:$Q1756)</f>
        <v>135.05500000000001</v>
      </c>
      <c r="R1756" t="b">
        <f>AND(ISNUMBER(FIND($E1756,Tables!$I$2)), ISNUMBER(FIND($D1756,Tables!$J$2)), $E1756&lt;&gt;"")</f>
        <v>0</v>
      </c>
    </row>
    <row r="1757" spans="1:18" x14ac:dyDescent="0.3">
      <c r="A1757">
        <f t="shared" si="136"/>
        <v>1740</v>
      </c>
      <c r="B1757" s="4"/>
      <c r="I1757" s="8"/>
      <c r="J1757" s="5" t="str">
        <f t="shared" si="139"/>
        <v/>
      </c>
      <c r="K1757" s="3"/>
      <c r="L1757" s="3" t="str">
        <f t="shared" si="138"/>
        <v/>
      </c>
      <c r="N1757" s="3" t="str">
        <f t="shared" si="137"/>
        <v/>
      </c>
      <c r="O1757" s="6" t="str">
        <f t="shared" si="140"/>
        <v/>
      </c>
      <c r="P1757" s="7">
        <f ca="1">SUMIFS($N$2:$N1757,$B$2:$B1757,"&lt;&gt;"&amp;B1757)+SUM($Q$2:$Q1757)</f>
        <v>135.05500000000001</v>
      </c>
      <c r="R1757" t="b">
        <f>AND(ISNUMBER(FIND($E1757,Tables!$I$2)), ISNUMBER(FIND($D1757,Tables!$J$2)), $E1757&lt;&gt;"")</f>
        <v>0</v>
      </c>
    </row>
    <row r="1758" spans="1:18" x14ac:dyDescent="0.3">
      <c r="A1758">
        <f t="shared" si="136"/>
        <v>1741</v>
      </c>
      <c r="B1758" s="4"/>
      <c r="I1758" s="8"/>
      <c r="J1758" s="5" t="str">
        <f t="shared" si="139"/>
        <v/>
      </c>
      <c r="K1758" s="3"/>
      <c r="L1758" s="3" t="str">
        <f t="shared" si="138"/>
        <v/>
      </c>
      <c r="N1758" s="3" t="str">
        <f t="shared" si="137"/>
        <v/>
      </c>
      <c r="O1758" s="6" t="str">
        <f t="shared" si="140"/>
        <v/>
      </c>
      <c r="P1758" s="7">
        <f ca="1">SUMIFS($N$2:$N1758,$B$2:$B1758,"&lt;&gt;"&amp;B1758)+SUM($Q$2:$Q1758)</f>
        <v>135.05500000000001</v>
      </c>
      <c r="R1758" t="b">
        <f>AND(ISNUMBER(FIND($E1758,Tables!$I$2)), ISNUMBER(FIND($D1758,Tables!$J$2)), $E1758&lt;&gt;"")</f>
        <v>0</v>
      </c>
    </row>
    <row r="1759" spans="1:18" x14ac:dyDescent="0.3">
      <c r="A1759">
        <f t="shared" si="136"/>
        <v>1742</v>
      </c>
      <c r="B1759" s="4"/>
      <c r="I1759" s="8"/>
      <c r="J1759" s="5" t="str">
        <f t="shared" si="139"/>
        <v/>
      </c>
      <c r="K1759" s="3"/>
      <c r="L1759" s="3" t="str">
        <f t="shared" si="138"/>
        <v/>
      </c>
      <c r="N1759" s="3" t="str">
        <f t="shared" si="137"/>
        <v/>
      </c>
      <c r="O1759" s="6" t="str">
        <f t="shared" si="140"/>
        <v/>
      </c>
      <c r="P1759" s="7">
        <f ca="1">SUMIFS($N$2:$N1759,$B$2:$B1759,"&lt;&gt;"&amp;B1759)+SUM($Q$2:$Q1759)</f>
        <v>135.05500000000001</v>
      </c>
      <c r="R1759" t="b">
        <f>AND(ISNUMBER(FIND($E1759,Tables!$I$2)), ISNUMBER(FIND($D1759,Tables!$J$2)), $E1759&lt;&gt;"")</f>
        <v>0</v>
      </c>
    </row>
    <row r="1760" spans="1:18" x14ac:dyDescent="0.3">
      <c r="A1760">
        <f t="shared" si="136"/>
        <v>1743</v>
      </c>
      <c r="B1760" s="4"/>
      <c r="I1760" s="8"/>
      <c r="J1760" s="5" t="str">
        <f t="shared" si="139"/>
        <v/>
      </c>
      <c r="K1760" s="3"/>
      <c r="L1760" s="3" t="str">
        <f t="shared" si="138"/>
        <v/>
      </c>
      <c r="N1760" s="3" t="str">
        <f t="shared" si="137"/>
        <v/>
      </c>
      <c r="O1760" s="6" t="str">
        <f t="shared" si="140"/>
        <v/>
      </c>
      <c r="P1760" s="7">
        <f ca="1">SUMIFS($N$2:$N1760,$B$2:$B1760,"&lt;&gt;"&amp;B1760)+SUM($Q$2:$Q1760)</f>
        <v>135.05500000000001</v>
      </c>
      <c r="R1760" t="b">
        <f>AND(ISNUMBER(FIND($E1760,Tables!$I$2)), ISNUMBER(FIND($D1760,Tables!$J$2)), $E1760&lt;&gt;"")</f>
        <v>0</v>
      </c>
    </row>
    <row r="1761" spans="1:18" x14ac:dyDescent="0.3">
      <c r="A1761">
        <f t="shared" si="136"/>
        <v>1744</v>
      </c>
      <c r="B1761" s="4"/>
      <c r="I1761" s="8"/>
      <c r="J1761" s="5" t="str">
        <f t="shared" si="139"/>
        <v/>
      </c>
      <c r="K1761" s="3"/>
      <c r="L1761" s="3" t="str">
        <f t="shared" si="138"/>
        <v/>
      </c>
      <c r="N1761" s="3" t="str">
        <f t="shared" si="137"/>
        <v/>
      </c>
      <c r="O1761" s="6" t="str">
        <f t="shared" si="140"/>
        <v/>
      </c>
      <c r="P1761" s="7">
        <f ca="1">SUMIFS($N$2:$N1761,$B$2:$B1761,"&lt;&gt;"&amp;B1761)+SUM($Q$2:$Q1761)</f>
        <v>135.05500000000001</v>
      </c>
      <c r="R1761" t="b">
        <f>AND(ISNUMBER(FIND($E1761,Tables!$I$2)), ISNUMBER(FIND($D1761,Tables!$J$2)), $E1761&lt;&gt;"")</f>
        <v>0</v>
      </c>
    </row>
    <row r="1762" spans="1:18" x14ac:dyDescent="0.3">
      <c r="A1762">
        <f t="shared" ref="A1762:A1825" si="141">IF(AND(B1762="", D1762&lt;&gt;""), A1761, A1761+1)</f>
        <v>1745</v>
      </c>
      <c r="B1762" s="4"/>
      <c r="I1762" s="8"/>
      <c r="J1762" s="5" t="str">
        <f t="shared" si="139"/>
        <v/>
      </c>
      <c r="K1762" s="3"/>
      <c r="L1762" s="3" t="str">
        <f t="shared" si="138"/>
        <v/>
      </c>
      <c r="N1762" s="3" t="str">
        <f t="shared" si="137"/>
        <v/>
      </c>
      <c r="O1762" s="6" t="str">
        <f t="shared" si="140"/>
        <v/>
      </c>
      <c r="P1762" s="7">
        <f ca="1">SUMIFS($N$2:$N1762,$B$2:$B1762,"&lt;&gt;"&amp;B1762)+SUM($Q$2:$Q1762)</f>
        <v>135.05500000000001</v>
      </c>
      <c r="R1762" t="b">
        <f>AND(ISNUMBER(FIND($E1762,Tables!$I$2)), ISNUMBER(FIND($D1762,Tables!$J$2)), $E1762&lt;&gt;"")</f>
        <v>0</v>
      </c>
    </row>
    <row r="1763" spans="1:18" x14ac:dyDescent="0.3">
      <c r="A1763">
        <f t="shared" si="141"/>
        <v>1746</v>
      </c>
      <c r="B1763" s="4"/>
      <c r="I1763" s="8"/>
      <c r="J1763" s="5" t="str">
        <f t="shared" si="139"/>
        <v/>
      </c>
      <c r="K1763" s="3"/>
      <c r="L1763" s="3" t="str">
        <f t="shared" si="138"/>
        <v/>
      </c>
      <c r="N1763" s="3" t="str">
        <f t="shared" si="137"/>
        <v/>
      </c>
      <c r="O1763" s="6" t="str">
        <f t="shared" si="140"/>
        <v/>
      </c>
      <c r="P1763" s="7">
        <f ca="1">SUMIFS($N$2:$N1763,$B$2:$B1763,"&lt;&gt;"&amp;B1763)+SUM($Q$2:$Q1763)</f>
        <v>135.05500000000001</v>
      </c>
      <c r="R1763" t="b">
        <f>AND(ISNUMBER(FIND($E1763,Tables!$I$2)), ISNUMBER(FIND($D1763,Tables!$J$2)), $E1763&lt;&gt;"")</f>
        <v>0</v>
      </c>
    </row>
    <row r="1764" spans="1:18" x14ac:dyDescent="0.3">
      <c r="A1764">
        <f t="shared" si="141"/>
        <v>1747</v>
      </c>
      <c r="B1764" s="4"/>
      <c r="I1764" s="8"/>
      <c r="J1764" s="5" t="str">
        <f t="shared" si="139"/>
        <v/>
      </c>
      <c r="K1764" s="3"/>
      <c r="L1764" s="3" t="str">
        <f t="shared" si="138"/>
        <v/>
      </c>
      <c r="N1764" s="3" t="str">
        <f t="shared" si="137"/>
        <v/>
      </c>
      <c r="O1764" s="6" t="str">
        <f t="shared" si="140"/>
        <v/>
      </c>
      <c r="P1764" s="7">
        <f ca="1">SUMIFS($N$2:$N1764,$B$2:$B1764,"&lt;&gt;"&amp;B1764)+SUM($Q$2:$Q1764)</f>
        <v>135.05500000000001</v>
      </c>
      <c r="R1764" t="b">
        <f>AND(ISNUMBER(FIND($E1764,Tables!$I$2)), ISNUMBER(FIND($D1764,Tables!$J$2)), $E1764&lt;&gt;"")</f>
        <v>0</v>
      </c>
    </row>
    <row r="1765" spans="1:18" x14ac:dyDescent="0.3">
      <c r="A1765">
        <f t="shared" si="141"/>
        <v>1748</v>
      </c>
      <c r="B1765" s="4"/>
      <c r="I1765" s="8"/>
      <c r="J1765" s="5" t="str">
        <f t="shared" si="139"/>
        <v/>
      </c>
      <c r="K1765" s="3"/>
      <c r="L1765" s="3" t="str">
        <f t="shared" si="138"/>
        <v/>
      </c>
      <c r="N1765" s="3" t="str">
        <f t="shared" si="137"/>
        <v/>
      </c>
      <c r="O1765" s="6" t="str">
        <f t="shared" si="140"/>
        <v/>
      </c>
      <c r="P1765" s="7">
        <f ca="1">SUMIFS($N$2:$N1765,$B$2:$B1765,"&lt;&gt;"&amp;B1765)+SUM($Q$2:$Q1765)</f>
        <v>135.05500000000001</v>
      </c>
      <c r="R1765" t="b">
        <f>AND(ISNUMBER(FIND($E1765,Tables!$I$2)), ISNUMBER(FIND($D1765,Tables!$J$2)), $E1765&lt;&gt;"")</f>
        <v>0</v>
      </c>
    </row>
    <row r="1766" spans="1:18" x14ac:dyDescent="0.3">
      <c r="A1766">
        <f t="shared" si="141"/>
        <v>1749</v>
      </c>
      <c r="B1766" s="4"/>
      <c r="I1766" s="8"/>
      <c r="J1766" s="5" t="str">
        <f t="shared" si="139"/>
        <v/>
      </c>
      <c r="K1766" s="3"/>
      <c r="L1766" s="3" t="str">
        <f t="shared" si="138"/>
        <v/>
      </c>
      <c r="N1766" s="3" t="str">
        <f t="shared" si="137"/>
        <v/>
      </c>
      <c r="O1766" s="6" t="str">
        <f t="shared" si="140"/>
        <v/>
      </c>
      <c r="P1766" s="7">
        <f ca="1">SUMIFS($N$2:$N1766,$B$2:$B1766,"&lt;&gt;"&amp;B1766)+SUM($Q$2:$Q1766)</f>
        <v>135.05500000000001</v>
      </c>
      <c r="R1766" t="b">
        <f>AND(ISNUMBER(FIND($E1766,Tables!$I$2)), ISNUMBER(FIND($D1766,Tables!$J$2)), $E1766&lt;&gt;"")</f>
        <v>0</v>
      </c>
    </row>
    <row r="1767" spans="1:18" x14ac:dyDescent="0.3">
      <c r="A1767">
        <f t="shared" si="141"/>
        <v>1750</v>
      </c>
      <c r="B1767" s="4"/>
      <c r="I1767" s="8"/>
      <c r="J1767" s="5" t="str">
        <f t="shared" si="139"/>
        <v/>
      </c>
      <c r="K1767" s="3"/>
      <c r="L1767" s="3" t="str">
        <f t="shared" si="138"/>
        <v/>
      </c>
      <c r="N1767" s="3" t="str">
        <f t="shared" si="137"/>
        <v/>
      </c>
      <c r="O1767" s="6" t="str">
        <f t="shared" si="140"/>
        <v/>
      </c>
      <c r="P1767" s="7">
        <f ca="1">SUMIFS($N$2:$N1767,$B$2:$B1767,"&lt;&gt;"&amp;B1767)+SUM($Q$2:$Q1767)</f>
        <v>135.05500000000001</v>
      </c>
      <c r="R1767" t="b">
        <f>AND(ISNUMBER(FIND($E1767,Tables!$I$2)), ISNUMBER(FIND($D1767,Tables!$J$2)), $E1767&lt;&gt;"")</f>
        <v>0</v>
      </c>
    </row>
    <row r="1768" spans="1:18" x14ac:dyDescent="0.3">
      <c r="A1768">
        <f t="shared" si="141"/>
        <v>1751</v>
      </c>
      <c r="B1768" s="4"/>
      <c r="I1768" s="8"/>
      <c r="J1768" s="5" t="str">
        <f t="shared" si="139"/>
        <v/>
      </c>
      <c r="K1768" s="3"/>
      <c r="L1768" s="3" t="str">
        <f t="shared" si="138"/>
        <v/>
      </c>
      <c r="N1768" s="3" t="str">
        <f t="shared" ref="N1768:N1831" si="142">IF(L1768 = "", "", IF(M1768="", "", IF(OR(M1768="Draw",M1768="NC"), 0, IF(M1768="win", L1768, -1*K1768))))</f>
        <v/>
      </c>
      <c r="O1768" s="6" t="str">
        <f t="shared" si="140"/>
        <v/>
      </c>
      <c r="P1768" s="7">
        <f ca="1">SUMIFS($N$2:$N1768,$B$2:$B1768,"&lt;&gt;"&amp;B1768)+SUM($Q$2:$Q1768)</f>
        <v>135.05500000000001</v>
      </c>
      <c r="R1768" t="b">
        <f>AND(ISNUMBER(FIND($E1768,Tables!$I$2)), ISNUMBER(FIND($D1768,Tables!$J$2)), $E1768&lt;&gt;"")</f>
        <v>0</v>
      </c>
    </row>
    <row r="1769" spans="1:18" x14ac:dyDescent="0.3">
      <c r="A1769">
        <f t="shared" si="141"/>
        <v>1752</v>
      </c>
      <c r="B1769" s="4"/>
      <c r="I1769" s="8"/>
      <c r="J1769" s="5" t="str">
        <f t="shared" si="139"/>
        <v/>
      </c>
      <c r="K1769" s="3"/>
      <c r="L1769" s="3" t="str">
        <f t="shared" si="138"/>
        <v/>
      </c>
      <c r="N1769" s="3" t="str">
        <f t="shared" si="142"/>
        <v/>
      </c>
      <c r="O1769" s="6" t="str">
        <f t="shared" si="140"/>
        <v/>
      </c>
      <c r="P1769" s="7">
        <f ca="1">SUMIFS($N$2:$N1769,$B$2:$B1769,"&lt;&gt;"&amp;B1769)+SUM($Q$2:$Q1769)</f>
        <v>135.05500000000001</v>
      </c>
      <c r="R1769" t="b">
        <f>AND(ISNUMBER(FIND($E1769,Tables!$I$2)), ISNUMBER(FIND($D1769,Tables!$J$2)), $E1769&lt;&gt;"")</f>
        <v>0</v>
      </c>
    </row>
    <row r="1770" spans="1:18" x14ac:dyDescent="0.3">
      <c r="A1770">
        <f t="shared" si="141"/>
        <v>1753</v>
      </c>
      <c r="B1770" s="4"/>
      <c r="I1770" s="8"/>
      <c r="J1770" s="5" t="str">
        <f t="shared" si="139"/>
        <v/>
      </c>
      <c r="K1770" s="3"/>
      <c r="L1770" s="3" t="str">
        <f t="shared" si="138"/>
        <v/>
      </c>
      <c r="N1770" s="3" t="str">
        <f t="shared" si="142"/>
        <v/>
      </c>
      <c r="O1770" s="6" t="str">
        <f t="shared" si="140"/>
        <v/>
      </c>
      <c r="P1770" s="7">
        <f ca="1">SUMIFS($N$2:$N1770,$B$2:$B1770,"&lt;&gt;"&amp;B1770)+SUM($Q$2:$Q1770)</f>
        <v>135.05500000000001</v>
      </c>
      <c r="R1770" t="b">
        <f>AND(ISNUMBER(FIND($E1770,Tables!$I$2)), ISNUMBER(FIND($D1770,Tables!$J$2)), $E1770&lt;&gt;"")</f>
        <v>0</v>
      </c>
    </row>
    <row r="1771" spans="1:18" x14ac:dyDescent="0.3">
      <c r="A1771">
        <f t="shared" si="141"/>
        <v>1754</v>
      </c>
      <c r="B1771" s="4"/>
      <c r="I1771" s="8"/>
      <c r="J1771" s="5" t="str">
        <f t="shared" si="139"/>
        <v/>
      </c>
      <c r="K1771" s="3"/>
      <c r="L1771" s="3" t="str">
        <f t="shared" si="138"/>
        <v/>
      </c>
      <c r="N1771" s="3" t="str">
        <f t="shared" si="142"/>
        <v/>
      </c>
      <c r="O1771" s="6" t="str">
        <f t="shared" si="140"/>
        <v/>
      </c>
      <c r="P1771" s="7">
        <f ca="1">SUMIFS($N$2:$N1771,$B$2:$B1771,"&lt;&gt;"&amp;B1771)+SUM($Q$2:$Q1771)</f>
        <v>135.05500000000001</v>
      </c>
      <c r="R1771" t="b">
        <f>AND(ISNUMBER(FIND($E1771,Tables!$I$2)), ISNUMBER(FIND($D1771,Tables!$J$2)), $E1771&lt;&gt;"")</f>
        <v>0</v>
      </c>
    </row>
    <row r="1772" spans="1:18" x14ac:dyDescent="0.3">
      <c r="A1772">
        <f t="shared" si="141"/>
        <v>1755</v>
      </c>
      <c r="B1772" s="4"/>
      <c r="I1772" s="8"/>
      <c r="J1772" s="5" t="str">
        <f t="shared" si="139"/>
        <v/>
      </c>
      <c r="K1772" s="3"/>
      <c r="L1772" s="3" t="str">
        <f t="shared" si="138"/>
        <v/>
      </c>
      <c r="N1772" s="3" t="str">
        <f t="shared" si="142"/>
        <v/>
      </c>
      <c r="O1772" s="6" t="str">
        <f t="shared" si="140"/>
        <v/>
      </c>
      <c r="P1772" s="7">
        <f ca="1">SUMIFS($N$2:$N1772,$B$2:$B1772,"&lt;&gt;"&amp;B1772)+SUM($Q$2:$Q1772)</f>
        <v>135.05500000000001</v>
      </c>
      <c r="R1772" t="b">
        <f>AND(ISNUMBER(FIND($E1772,Tables!$I$2)), ISNUMBER(FIND($D1772,Tables!$J$2)), $E1772&lt;&gt;"")</f>
        <v>0</v>
      </c>
    </row>
    <row r="1773" spans="1:18" x14ac:dyDescent="0.3">
      <c r="A1773">
        <f t="shared" si="141"/>
        <v>1756</v>
      </c>
      <c r="B1773" s="4"/>
      <c r="I1773" s="8"/>
      <c r="J1773" s="5" t="str">
        <f t="shared" si="139"/>
        <v/>
      </c>
      <c r="K1773" s="3"/>
      <c r="L1773" s="3" t="str">
        <f t="shared" si="138"/>
        <v/>
      </c>
      <c r="N1773" s="3" t="str">
        <f t="shared" si="142"/>
        <v/>
      </c>
      <c r="O1773" s="6" t="str">
        <f t="shared" si="140"/>
        <v/>
      </c>
      <c r="P1773" s="7">
        <f ca="1">SUMIFS($N$2:$N1773,$B$2:$B1773,"&lt;&gt;"&amp;B1773)+SUM($Q$2:$Q1773)</f>
        <v>135.05500000000001</v>
      </c>
      <c r="R1773" t="b">
        <f>AND(ISNUMBER(FIND($E1773,Tables!$I$2)), ISNUMBER(FIND($D1773,Tables!$J$2)), $E1773&lt;&gt;"")</f>
        <v>0</v>
      </c>
    </row>
    <row r="1774" spans="1:18" x14ac:dyDescent="0.3">
      <c r="A1774">
        <f t="shared" si="141"/>
        <v>1757</v>
      </c>
      <c r="B1774" s="4"/>
      <c r="I1774" s="8"/>
      <c r="J1774" s="5" t="str">
        <f t="shared" si="139"/>
        <v/>
      </c>
      <c r="K1774" s="3"/>
      <c r="L1774" s="3" t="str">
        <f t="shared" si="138"/>
        <v/>
      </c>
      <c r="N1774" s="3" t="str">
        <f t="shared" si="142"/>
        <v/>
      </c>
      <c r="O1774" s="6" t="str">
        <f t="shared" si="140"/>
        <v/>
      </c>
      <c r="P1774" s="7">
        <f ca="1">SUMIFS($N$2:$N1774,$B$2:$B1774,"&lt;&gt;"&amp;B1774)+SUM($Q$2:$Q1774)</f>
        <v>135.05500000000001</v>
      </c>
      <c r="R1774" t="b">
        <f>AND(ISNUMBER(FIND($E1774,Tables!$I$2)), ISNUMBER(FIND($D1774,Tables!$J$2)), $E1774&lt;&gt;"")</f>
        <v>0</v>
      </c>
    </row>
    <row r="1775" spans="1:18" x14ac:dyDescent="0.3">
      <c r="A1775">
        <f t="shared" si="141"/>
        <v>1758</v>
      </c>
      <c r="B1775" s="4"/>
      <c r="I1775" s="8"/>
      <c r="J1775" s="5" t="str">
        <f t="shared" si="139"/>
        <v/>
      </c>
      <c r="K1775" s="3"/>
      <c r="L1775" s="3" t="str">
        <f t="shared" si="138"/>
        <v/>
      </c>
      <c r="N1775" s="3" t="str">
        <f t="shared" si="142"/>
        <v/>
      </c>
      <c r="O1775" s="6" t="str">
        <f t="shared" si="140"/>
        <v/>
      </c>
      <c r="P1775" s="7">
        <f ca="1">SUMIFS($N$2:$N1775,$B$2:$B1775,"&lt;&gt;"&amp;B1775)+SUM($Q$2:$Q1775)</f>
        <v>135.05500000000001</v>
      </c>
      <c r="R1775" t="b">
        <f>AND(ISNUMBER(FIND($E1775,Tables!$I$2)), ISNUMBER(FIND($D1775,Tables!$J$2)), $E1775&lt;&gt;"")</f>
        <v>0</v>
      </c>
    </row>
    <row r="1776" spans="1:18" x14ac:dyDescent="0.3">
      <c r="A1776">
        <f t="shared" si="141"/>
        <v>1759</v>
      </c>
      <c r="B1776" s="4"/>
      <c r="I1776" s="8"/>
      <c r="J1776" s="5" t="str">
        <f t="shared" si="139"/>
        <v/>
      </c>
      <c r="K1776" s="3"/>
      <c r="L1776" s="3" t="str">
        <f t="shared" si="138"/>
        <v/>
      </c>
      <c r="N1776" s="3" t="str">
        <f t="shared" si="142"/>
        <v/>
      </c>
      <c r="O1776" s="6" t="str">
        <f t="shared" si="140"/>
        <v/>
      </c>
      <c r="P1776" s="7">
        <f ca="1">SUMIFS($N$2:$N1776,$B$2:$B1776,"&lt;&gt;"&amp;B1776)+SUM($Q$2:$Q1776)</f>
        <v>135.05500000000001</v>
      </c>
      <c r="R1776" t="b">
        <f>AND(ISNUMBER(FIND($E1776,Tables!$I$2)), ISNUMBER(FIND($D1776,Tables!$J$2)), $E1776&lt;&gt;"")</f>
        <v>0</v>
      </c>
    </row>
    <row r="1777" spans="1:18" x14ac:dyDescent="0.3">
      <c r="A1777">
        <f t="shared" si="141"/>
        <v>1760</v>
      </c>
      <c r="B1777" s="4"/>
      <c r="I1777" s="8"/>
      <c r="J1777" s="5" t="str">
        <f t="shared" si="139"/>
        <v/>
      </c>
      <c r="K1777" s="3"/>
      <c r="L1777" s="3" t="str">
        <f t="shared" si="138"/>
        <v/>
      </c>
      <c r="N1777" s="3" t="str">
        <f t="shared" si="142"/>
        <v/>
      </c>
      <c r="O1777" s="6" t="str">
        <f t="shared" si="140"/>
        <v/>
      </c>
      <c r="P1777" s="7">
        <f ca="1">SUMIFS($N$2:$N1777,$B$2:$B1777,"&lt;&gt;"&amp;B1777)+SUM($Q$2:$Q1777)</f>
        <v>135.05500000000001</v>
      </c>
      <c r="R1777" t="b">
        <f>AND(ISNUMBER(FIND($E1777,Tables!$I$2)), ISNUMBER(FIND($D1777,Tables!$J$2)), $E1777&lt;&gt;"")</f>
        <v>0</v>
      </c>
    </row>
    <row r="1778" spans="1:18" x14ac:dyDescent="0.3">
      <c r="A1778">
        <f t="shared" si="141"/>
        <v>1761</v>
      </c>
      <c r="B1778" s="4"/>
      <c r="I1778" s="8"/>
      <c r="J1778" s="5" t="str">
        <f t="shared" si="139"/>
        <v/>
      </c>
      <c r="K1778" s="3"/>
      <c r="L1778" s="3" t="str">
        <f t="shared" ref="L1778:L1841" si="143">IFERROR(IF(K1778=0, "", IF(I1778&gt;0, K1778/100*I1778,K1778/I1778*-100)), "")</f>
        <v/>
      </c>
      <c r="N1778" s="3" t="str">
        <f t="shared" si="142"/>
        <v/>
      </c>
      <c r="O1778" s="6" t="str">
        <f t="shared" si="140"/>
        <v/>
      </c>
      <c r="P1778" s="7">
        <f ca="1">SUMIFS($N$2:$N1778,$B$2:$B1778,"&lt;&gt;"&amp;B1778)+SUM($Q$2:$Q1778)</f>
        <v>135.05500000000001</v>
      </c>
      <c r="R1778" t="b">
        <f>AND(ISNUMBER(FIND($E1778,Tables!$I$2)), ISNUMBER(FIND($D1778,Tables!$J$2)), $E1778&lt;&gt;"")</f>
        <v>0</v>
      </c>
    </row>
    <row r="1779" spans="1:18" x14ac:dyDescent="0.3">
      <c r="A1779">
        <f t="shared" si="141"/>
        <v>1762</v>
      </c>
      <c r="B1779" s="4"/>
      <c r="I1779" s="8"/>
      <c r="J1779" s="5" t="str">
        <f t="shared" si="139"/>
        <v/>
      </c>
      <c r="K1779" s="3"/>
      <c r="L1779" s="3" t="str">
        <f t="shared" si="143"/>
        <v/>
      </c>
      <c r="N1779" s="3" t="str">
        <f t="shared" si="142"/>
        <v/>
      </c>
      <c r="O1779" s="6" t="str">
        <f t="shared" si="140"/>
        <v/>
      </c>
      <c r="P1779" s="7">
        <f ca="1">SUMIFS($N$2:$N1779,$B$2:$B1779,"&lt;&gt;"&amp;B1779)+SUM($Q$2:$Q1779)</f>
        <v>135.05500000000001</v>
      </c>
      <c r="R1779" t="b">
        <f>AND(ISNUMBER(FIND($E1779,Tables!$I$2)), ISNUMBER(FIND($D1779,Tables!$J$2)), $E1779&lt;&gt;"")</f>
        <v>0</v>
      </c>
    </row>
    <row r="1780" spans="1:18" x14ac:dyDescent="0.3">
      <c r="A1780">
        <f t="shared" si="141"/>
        <v>1763</v>
      </c>
      <c r="B1780" s="4"/>
      <c r="I1780" s="8"/>
      <c r="J1780" s="5" t="str">
        <f t="shared" si="139"/>
        <v/>
      </c>
      <c r="K1780" s="3"/>
      <c r="L1780" s="3" t="str">
        <f t="shared" si="143"/>
        <v/>
      </c>
      <c r="N1780" s="3" t="str">
        <f t="shared" si="142"/>
        <v/>
      </c>
      <c r="O1780" s="6" t="str">
        <f t="shared" si="140"/>
        <v/>
      </c>
      <c r="P1780" s="7">
        <f ca="1">SUMIFS($N$2:$N1780,$B$2:$B1780,"&lt;&gt;"&amp;B1780)+SUM($Q$2:$Q1780)</f>
        <v>135.05500000000001</v>
      </c>
      <c r="R1780" t="b">
        <f>AND(ISNUMBER(FIND($E1780,Tables!$I$2)), ISNUMBER(FIND($D1780,Tables!$J$2)), $E1780&lt;&gt;"")</f>
        <v>0</v>
      </c>
    </row>
    <row r="1781" spans="1:18" x14ac:dyDescent="0.3">
      <c r="A1781">
        <f t="shared" si="141"/>
        <v>1764</v>
      </c>
      <c r="B1781" s="4"/>
      <c r="I1781" s="8"/>
      <c r="J1781" s="5" t="str">
        <f t="shared" si="139"/>
        <v/>
      </c>
      <c r="K1781" s="3"/>
      <c r="L1781" s="3" t="str">
        <f t="shared" si="143"/>
        <v/>
      </c>
      <c r="N1781" s="3" t="str">
        <f t="shared" si="142"/>
        <v/>
      </c>
      <c r="O1781" s="6" t="str">
        <f t="shared" si="140"/>
        <v/>
      </c>
      <c r="P1781" s="7">
        <f ca="1">SUMIFS($N$2:$N1781,$B$2:$B1781,"&lt;&gt;"&amp;B1781)+SUM($Q$2:$Q1781)</f>
        <v>135.05500000000001</v>
      </c>
      <c r="R1781" t="b">
        <f>AND(ISNUMBER(FIND($E1781,Tables!$I$2)), ISNUMBER(FIND($D1781,Tables!$J$2)), $E1781&lt;&gt;"")</f>
        <v>0</v>
      </c>
    </row>
    <row r="1782" spans="1:18" x14ac:dyDescent="0.3">
      <c r="A1782">
        <f t="shared" si="141"/>
        <v>1765</v>
      </c>
      <c r="B1782" s="4"/>
      <c r="I1782" s="8"/>
      <c r="J1782" s="5" t="str">
        <f t="shared" si="139"/>
        <v/>
      </c>
      <c r="K1782" s="3"/>
      <c r="L1782" s="3" t="str">
        <f t="shared" si="143"/>
        <v/>
      </c>
      <c r="N1782" s="3" t="str">
        <f t="shared" si="142"/>
        <v/>
      </c>
      <c r="O1782" s="6" t="str">
        <f t="shared" si="140"/>
        <v/>
      </c>
      <c r="P1782" s="7">
        <f ca="1">SUMIFS($N$2:$N1782,$B$2:$B1782,"&lt;&gt;"&amp;B1782)+SUM($Q$2:$Q1782)</f>
        <v>135.05500000000001</v>
      </c>
      <c r="R1782" t="b">
        <f>AND(ISNUMBER(FIND($E1782,Tables!$I$2)), ISNUMBER(FIND($D1782,Tables!$J$2)), $E1782&lt;&gt;"")</f>
        <v>0</v>
      </c>
    </row>
    <row r="1783" spans="1:18" x14ac:dyDescent="0.3">
      <c r="A1783">
        <f t="shared" si="141"/>
        <v>1766</v>
      </c>
      <c r="B1783" s="4"/>
      <c r="I1783" s="8"/>
      <c r="J1783" s="5" t="str">
        <f t="shared" si="139"/>
        <v/>
      </c>
      <c r="K1783" s="3"/>
      <c r="L1783" s="3" t="str">
        <f t="shared" si="143"/>
        <v/>
      </c>
      <c r="N1783" s="3" t="str">
        <f t="shared" si="142"/>
        <v/>
      </c>
      <c r="O1783" s="6" t="str">
        <f t="shared" si="140"/>
        <v/>
      </c>
      <c r="P1783" s="7">
        <f ca="1">SUMIFS($N$2:$N1783,$B$2:$B1783,"&lt;&gt;"&amp;B1783)+SUM($Q$2:$Q1783)</f>
        <v>135.05500000000001</v>
      </c>
      <c r="R1783" t="b">
        <f>AND(ISNUMBER(FIND($E1783,Tables!$I$2)), ISNUMBER(FIND($D1783,Tables!$J$2)), $E1783&lt;&gt;"")</f>
        <v>0</v>
      </c>
    </row>
    <row r="1784" spans="1:18" x14ac:dyDescent="0.3">
      <c r="A1784">
        <f t="shared" si="141"/>
        <v>1767</v>
      </c>
      <c r="B1784" s="4"/>
      <c r="I1784" s="8"/>
      <c r="J1784" s="5" t="str">
        <f t="shared" si="139"/>
        <v/>
      </c>
      <c r="K1784" s="3"/>
      <c r="L1784" s="3" t="str">
        <f t="shared" si="143"/>
        <v/>
      </c>
      <c r="N1784" s="3" t="str">
        <f t="shared" si="142"/>
        <v/>
      </c>
      <c r="O1784" s="6" t="str">
        <f t="shared" si="140"/>
        <v/>
      </c>
      <c r="P1784" s="7">
        <f ca="1">SUMIFS($N$2:$N1784,$B$2:$B1784,"&lt;&gt;"&amp;B1784)+SUM($Q$2:$Q1784)</f>
        <v>135.05500000000001</v>
      </c>
      <c r="R1784" t="b">
        <f>AND(ISNUMBER(FIND($E1784,Tables!$I$2)), ISNUMBER(FIND($D1784,Tables!$J$2)), $E1784&lt;&gt;"")</f>
        <v>0</v>
      </c>
    </row>
    <row r="1785" spans="1:18" x14ac:dyDescent="0.3">
      <c r="A1785">
        <f t="shared" si="141"/>
        <v>1768</v>
      </c>
      <c r="B1785" s="4"/>
      <c r="I1785" s="8"/>
      <c r="J1785" s="5" t="str">
        <f t="shared" si="139"/>
        <v/>
      </c>
      <c r="K1785" s="3"/>
      <c r="L1785" s="3" t="str">
        <f t="shared" si="143"/>
        <v/>
      </c>
      <c r="N1785" s="3" t="str">
        <f t="shared" si="142"/>
        <v/>
      </c>
      <c r="O1785" s="6" t="str">
        <f t="shared" si="140"/>
        <v/>
      </c>
      <c r="P1785" s="7">
        <f ca="1">SUMIFS($N$2:$N1785,$B$2:$B1785,"&lt;&gt;"&amp;B1785)+SUM($Q$2:$Q1785)</f>
        <v>135.05500000000001</v>
      </c>
      <c r="R1785" t="b">
        <f>AND(ISNUMBER(FIND($E1785,Tables!$I$2)), ISNUMBER(FIND($D1785,Tables!$J$2)), $E1785&lt;&gt;"")</f>
        <v>0</v>
      </c>
    </row>
    <row r="1786" spans="1:18" x14ac:dyDescent="0.3">
      <c r="A1786">
        <f t="shared" si="141"/>
        <v>1769</v>
      </c>
      <c r="B1786" s="4"/>
      <c r="I1786" s="8"/>
      <c r="J1786" s="5" t="str">
        <f t="shared" si="139"/>
        <v/>
      </c>
      <c r="K1786" s="3"/>
      <c r="L1786" s="3" t="str">
        <f t="shared" si="143"/>
        <v/>
      </c>
      <c r="N1786" s="3" t="str">
        <f t="shared" si="142"/>
        <v/>
      </c>
      <c r="O1786" s="6" t="str">
        <f t="shared" si="140"/>
        <v/>
      </c>
      <c r="P1786" s="7">
        <f ca="1">SUMIFS($N$2:$N1786,$B$2:$B1786,"&lt;&gt;"&amp;B1786)+SUM($Q$2:$Q1786)</f>
        <v>135.05500000000001</v>
      </c>
      <c r="R1786" t="b">
        <f>AND(ISNUMBER(FIND($E1786,Tables!$I$2)), ISNUMBER(FIND($D1786,Tables!$J$2)), $E1786&lt;&gt;"")</f>
        <v>0</v>
      </c>
    </row>
    <row r="1787" spans="1:18" x14ac:dyDescent="0.3">
      <c r="A1787">
        <f t="shared" si="141"/>
        <v>1770</v>
      </c>
      <c r="B1787" s="4"/>
      <c r="I1787" s="8"/>
      <c r="J1787" s="5" t="str">
        <f t="shared" si="139"/>
        <v/>
      </c>
      <c r="K1787" s="3"/>
      <c r="L1787" s="3" t="str">
        <f t="shared" si="143"/>
        <v/>
      </c>
      <c r="N1787" s="3" t="str">
        <f t="shared" si="142"/>
        <v/>
      </c>
      <c r="O1787" s="6" t="str">
        <f t="shared" si="140"/>
        <v/>
      </c>
      <c r="P1787" s="7">
        <f ca="1">SUMIFS($N$2:$N1787,$B$2:$B1787,"&lt;&gt;"&amp;B1787)+SUM($Q$2:$Q1787)</f>
        <v>135.05500000000001</v>
      </c>
      <c r="R1787" t="b">
        <f>AND(ISNUMBER(FIND($E1787,Tables!$I$2)), ISNUMBER(FIND($D1787,Tables!$J$2)), $E1787&lt;&gt;"")</f>
        <v>0</v>
      </c>
    </row>
    <row r="1788" spans="1:18" x14ac:dyDescent="0.3">
      <c r="A1788">
        <f t="shared" si="141"/>
        <v>1771</v>
      </c>
      <c r="B1788" s="4"/>
      <c r="I1788" s="8"/>
      <c r="J1788" s="5" t="str">
        <f t="shared" si="139"/>
        <v/>
      </c>
      <c r="K1788" s="3"/>
      <c r="L1788" s="3" t="str">
        <f t="shared" si="143"/>
        <v/>
      </c>
      <c r="N1788" s="3" t="str">
        <f t="shared" si="142"/>
        <v/>
      </c>
      <c r="O1788" s="6" t="str">
        <f t="shared" si="140"/>
        <v/>
      </c>
      <c r="P1788" s="7">
        <f ca="1">SUMIFS($N$2:$N1788,$B$2:$B1788,"&lt;&gt;"&amp;B1788)+SUM($Q$2:$Q1788)</f>
        <v>135.05500000000001</v>
      </c>
      <c r="R1788" t="b">
        <f>AND(ISNUMBER(FIND($E1788,Tables!$I$2)), ISNUMBER(FIND($D1788,Tables!$J$2)), $E1788&lt;&gt;"")</f>
        <v>0</v>
      </c>
    </row>
    <row r="1789" spans="1:18" x14ac:dyDescent="0.3">
      <c r="A1789">
        <f t="shared" si="141"/>
        <v>1772</v>
      </c>
      <c r="B1789" s="4"/>
      <c r="I1789" s="8"/>
      <c r="J1789" s="5" t="str">
        <f t="shared" si="139"/>
        <v/>
      </c>
      <c r="K1789" s="3"/>
      <c r="L1789" s="3" t="str">
        <f t="shared" si="143"/>
        <v/>
      </c>
      <c r="N1789" s="3" t="str">
        <f t="shared" si="142"/>
        <v/>
      </c>
      <c r="O1789" s="6" t="str">
        <f t="shared" si="140"/>
        <v/>
      </c>
      <c r="P1789" s="7">
        <f ca="1">SUMIFS($N$2:$N1789,$B$2:$B1789,"&lt;&gt;"&amp;B1789)+SUM($Q$2:$Q1789)</f>
        <v>135.05500000000001</v>
      </c>
      <c r="R1789" t="b">
        <f>AND(ISNUMBER(FIND($E1789,Tables!$I$2)), ISNUMBER(FIND($D1789,Tables!$J$2)), $E1789&lt;&gt;"")</f>
        <v>0</v>
      </c>
    </row>
    <row r="1790" spans="1:18" x14ac:dyDescent="0.3">
      <c r="A1790">
        <f t="shared" si="141"/>
        <v>1773</v>
      </c>
      <c r="B1790" s="4"/>
      <c r="I1790" s="8"/>
      <c r="J1790" s="5" t="str">
        <f t="shared" si="139"/>
        <v/>
      </c>
      <c r="K1790" s="3"/>
      <c r="L1790" s="3" t="str">
        <f t="shared" si="143"/>
        <v/>
      </c>
      <c r="N1790" s="3" t="str">
        <f t="shared" si="142"/>
        <v/>
      </c>
      <c r="O1790" s="6" t="str">
        <f t="shared" si="140"/>
        <v/>
      </c>
      <c r="P1790" s="7">
        <f ca="1">SUMIFS($N$2:$N1790,$B$2:$B1790,"&lt;&gt;"&amp;B1790)+SUM($Q$2:$Q1790)</f>
        <v>135.05500000000001</v>
      </c>
      <c r="R1790" t="b">
        <f>AND(ISNUMBER(FIND($E1790,Tables!$I$2)), ISNUMBER(FIND($D1790,Tables!$J$2)), $E1790&lt;&gt;"")</f>
        <v>0</v>
      </c>
    </row>
    <row r="1791" spans="1:18" x14ac:dyDescent="0.3">
      <c r="A1791">
        <f t="shared" si="141"/>
        <v>1774</v>
      </c>
      <c r="B1791" s="4"/>
      <c r="I1791" s="8"/>
      <c r="J1791" s="5" t="str">
        <f t="shared" si="139"/>
        <v/>
      </c>
      <c r="K1791" s="3"/>
      <c r="L1791" s="3" t="str">
        <f t="shared" si="143"/>
        <v/>
      </c>
      <c r="N1791" s="3" t="str">
        <f t="shared" si="142"/>
        <v/>
      </c>
      <c r="O1791" s="6" t="str">
        <f t="shared" si="140"/>
        <v/>
      </c>
      <c r="P1791" s="7">
        <f ca="1">SUMIFS($N$2:$N1791,$B$2:$B1791,"&lt;&gt;"&amp;B1791)+SUM($Q$2:$Q1791)</f>
        <v>135.05500000000001</v>
      </c>
      <c r="R1791" t="b">
        <f>AND(ISNUMBER(FIND($E1791,Tables!$I$2)), ISNUMBER(FIND($D1791,Tables!$J$2)), $E1791&lt;&gt;"")</f>
        <v>0</v>
      </c>
    </row>
    <row r="1792" spans="1:18" x14ac:dyDescent="0.3">
      <c r="A1792">
        <f t="shared" si="141"/>
        <v>1775</v>
      </c>
      <c r="B1792" s="4"/>
      <c r="I1792" s="8"/>
      <c r="J1792" s="5" t="str">
        <f t="shared" si="139"/>
        <v/>
      </c>
      <c r="K1792" s="3"/>
      <c r="L1792" s="3" t="str">
        <f t="shared" si="143"/>
        <v/>
      </c>
      <c r="N1792" s="3" t="str">
        <f t="shared" si="142"/>
        <v/>
      </c>
      <c r="O1792" s="6" t="str">
        <f t="shared" si="140"/>
        <v/>
      </c>
      <c r="P1792" s="7">
        <f ca="1">SUMIFS($N$2:$N1792,$B$2:$B1792,"&lt;&gt;"&amp;B1792)+SUM($Q$2:$Q1792)</f>
        <v>135.05500000000001</v>
      </c>
      <c r="R1792" t="b">
        <f>AND(ISNUMBER(FIND($E1792,Tables!$I$2)), ISNUMBER(FIND($D1792,Tables!$J$2)), $E1792&lt;&gt;"")</f>
        <v>0</v>
      </c>
    </row>
    <row r="1793" spans="1:18" x14ac:dyDescent="0.3">
      <c r="A1793">
        <f t="shared" si="141"/>
        <v>1776</v>
      </c>
      <c r="B1793" s="4"/>
      <c r="I1793" s="8"/>
      <c r="J1793" s="5" t="str">
        <f t="shared" si="139"/>
        <v/>
      </c>
      <c r="K1793" s="3"/>
      <c r="L1793" s="3" t="str">
        <f t="shared" si="143"/>
        <v/>
      </c>
      <c r="N1793" s="3" t="str">
        <f t="shared" si="142"/>
        <v/>
      </c>
      <c r="O1793" s="6" t="str">
        <f t="shared" si="140"/>
        <v/>
      </c>
      <c r="P1793" s="7">
        <f ca="1">SUMIFS($N$2:$N1793,$B$2:$B1793,"&lt;&gt;"&amp;B1793)+SUM($Q$2:$Q1793)</f>
        <v>135.05500000000001</v>
      </c>
      <c r="R1793" t="b">
        <f>AND(ISNUMBER(FIND($E1793,Tables!$I$2)), ISNUMBER(FIND($D1793,Tables!$J$2)), $E1793&lt;&gt;"")</f>
        <v>0</v>
      </c>
    </row>
    <row r="1794" spans="1:18" x14ac:dyDescent="0.3">
      <c r="A1794">
        <f t="shared" si="141"/>
        <v>1777</v>
      </c>
      <c r="B1794" s="4"/>
      <c r="I1794" s="8"/>
      <c r="J1794" s="5" t="str">
        <f t="shared" ref="J1794:J1857" si="144">IF(I1794="", "", IF(I1794&gt;0, I1794/100 +1, -100/I1794 +1))</f>
        <v/>
      </c>
      <c r="K1794" s="3"/>
      <c r="L1794" s="3" t="str">
        <f t="shared" si="143"/>
        <v/>
      </c>
      <c r="N1794" s="3" t="str">
        <f t="shared" si="142"/>
        <v/>
      </c>
      <c r="O1794" s="6" t="str">
        <f t="shared" ref="O1794:O1857" si="145">IFERROR(K1794/VLOOKUP(_xlfn.MINIFS(A:A,B:B,B1794,C:C,C1794),A:P,16),"")</f>
        <v/>
      </c>
      <c r="P1794" s="7">
        <f ca="1">SUMIFS($N$2:$N1794,$B$2:$B1794,"&lt;&gt;"&amp;B1794)+SUM($Q$2:$Q1794)</f>
        <v>135.05500000000001</v>
      </c>
      <c r="R1794" t="b">
        <f>AND(ISNUMBER(FIND($E1794,Tables!$I$2)), ISNUMBER(FIND($D1794,Tables!$J$2)), $E1794&lt;&gt;"")</f>
        <v>0</v>
      </c>
    </row>
    <row r="1795" spans="1:18" x14ac:dyDescent="0.3">
      <c r="A1795">
        <f t="shared" si="141"/>
        <v>1778</v>
      </c>
      <c r="B1795" s="4"/>
      <c r="I1795" s="8"/>
      <c r="J1795" s="5" t="str">
        <f t="shared" si="144"/>
        <v/>
      </c>
      <c r="K1795" s="3"/>
      <c r="L1795" s="3" t="str">
        <f t="shared" si="143"/>
        <v/>
      </c>
      <c r="N1795" s="3" t="str">
        <f t="shared" si="142"/>
        <v/>
      </c>
      <c r="O1795" s="6" t="str">
        <f t="shared" si="145"/>
        <v/>
      </c>
      <c r="P1795" s="7">
        <f ca="1">SUMIFS($N$2:$N1795,$B$2:$B1795,"&lt;&gt;"&amp;B1795)+SUM($Q$2:$Q1795)</f>
        <v>135.05500000000001</v>
      </c>
      <c r="R1795" t="b">
        <f>AND(ISNUMBER(FIND($E1795,Tables!$I$2)), ISNUMBER(FIND($D1795,Tables!$J$2)), $E1795&lt;&gt;"")</f>
        <v>0</v>
      </c>
    </row>
    <row r="1796" spans="1:18" x14ac:dyDescent="0.3">
      <c r="A1796">
        <f t="shared" si="141"/>
        <v>1779</v>
      </c>
      <c r="B1796" s="4"/>
      <c r="I1796" s="8"/>
      <c r="J1796" s="5" t="str">
        <f t="shared" si="144"/>
        <v/>
      </c>
      <c r="K1796" s="3"/>
      <c r="L1796" s="3" t="str">
        <f t="shared" si="143"/>
        <v/>
      </c>
      <c r="N1796" s="3" t="str">
        <f t="shared" si="142"/>
        <v/>
      </c>
      <c r="O1796" s="6" t="str">
        <f t="shared" si="145"/>
        <v/>
      </c>
      <c r="P1796" s="7">
        <f ca="1">SUMIFS($N$2:$N1796,$B$2:$B1796,"&lt;&gt;"&amp;B1796)+SUM($Q$2:$Q1796)</f>
        <v>135.05500000000001</v>
      </c>
      <c r="R1796" t="b">
        <f>AND(ISNUMBER(FIND($E1796,Tables!$I$2)), ISNUMBER(FIND($D1796,Tables!$J$2)), $E1796&lt;&gt;"")</f>
        <v>0</v>
      </c>
    </row>
    <row r="1797" spans="1:18" x14ac:dyDescent="0.3">
      <c r="A1797">
        <f t="shared" si="141"/>
        <v>1780</v>
      </c>
      <c r="B1797" s="4"/>
      <c r="I1797" s="8"/>
      <c r="J1797" s="5" t="str">
        <f t="shared" si="144"/>
        <v/>
      </c>
      <c r="K1797" s="3"/>
      <c r="L1797" s="3" t="str">
        <f t="shared" si="143"/>
        <v/>
      </c>
      <c r="N1797" s="3" t="str">
        <f t="shared" si="142"/>
        <v/>
      </c>
      <c r="O1797" s="6" t="str">
        <f t="shared" si="145"/>
        <v/>
      </c>
      <c r="P1797" s="7">
        <f ca="1">SUMIFS($N$2:$N1797,$B$2:$B1797,"&lt;&gt;"&amp;B1797)+SUM($Q$2:$Q1797)</f>
        <v>135.05500000000001</v>
      </c>
      <c r="R1797" t="b">
        <f>AND(ISNUMBER(FIND($E1797,Tables!$I$2)), ISNUMBER(FIND($D1797,Tables!$J$2)), $E1797&lt;&gt;"")</f>
        <v>0</v>
      </c>
    </row>
    <row r="1798" spans="1:18" x14ac:dyDescent="0.3">
      <c r="A1798">
        <f t="shared" si="141"/>
        <v>1781</v>
      </c>
      <c r="B1798" s="4"/>
      <c r="I1798" s="8"/>
      <c r="J1798" s="5" t="str">
        <f t="shared" si="144"/>
        <v/>
      </c>
      <c r="K1798" s="3"/>
      <c r="L1798" s="3" t="str">
        <f t="shared" si="143"/>
        <v/>
      </c>
      <c r="N1798" s="3" t="str">
        <f t="shared" si="142"/>
        <v/>
      </c>
      <c r="O1798" s="6" t="str">
        <f t="shared" si="145"/>
        <v/>
      </c>
      <c r="P1798" s="7">
        <f ca="1">SUMIFS($N$2:$N1798,$B$2:$B1798,"&lt;&gt;"&amp;B1798)+SUM($Q$2:$Q1798)</f>
        <v>135.05500000000001</v>
      </c>
      <c r="R1798" t="b">
        <f>AND(ISNUMBER(FIND($E1798,Tables!$I$2)), ISNUMBER(FIND($D1798,Tables!$J$2)), $E1798&lt;&gt;"")</f>
        <v>0</v>
      </c>
    </row>
    <row r="1799" spans="1:18" x14ac:dyDescent="0.3">
      <c r="A1799">
        <f t="shared" si="141"/>
        <v>1782</v>
      </c>
      <c r="B1799" s="4"/>
      <c r="I1799" s="8"/>
      <c r="J1799" s="5" t="str">
        <f t="shared" si="144"/>
        <v/>
      </c>
      <c r="K1799" s="3"/>
      <c r="L1799" s="3" t="str">
        <f t="shared" si="143"/>
        <v/>
      </c>
      <c r="N1799" s="3" t="str">
        <f t="shared" si="142"/>
        <v/>
      </c>
      <c r="O1799" s="6" t="str">
        <f t="shared" si="145"/>
        <v/>
      </c>
      <c r="P1799" s="7">
        <f ca="1">SUMIFS($N$2:$N1799,$B$2:$B1799,"&lt;&gt;"&amp;B1799)+SUM($Q$2:$Q1799)</f>
        <v>135.05500000000001</v>
      </c>
      <c r="R1799" t="b">
        <f>AND(ISNUMBER(FIND($E1799,Tables!$I$2)), ISNUMBER(FIND($D1799,Tables!$J$2)), $E1799&lt;&gt;"")</f>
        <v>0</v>
      </c>
    </row>
    <row r="1800" spans="1:18" x14ac:dyDescent="0.3">
      <c r="A1800">
        <f t="shared" si="141"/>
        <v>1783</v>
      </c>
      <c r="B1800" s="4"/>
      <c r="I1800" s="8"/>
      <c r="J1800" s="5" t="str">
        <f t="shared" si="144"/>
        <v/>
      </c>
      <c r="K1800" s="3"/>
      <c r="L1800" s="3" t="str">
        <f t="shared" si="143"/>
        <v/>
      </c>
      <c r="N1800" s="3" t="str">
        <f t="shared" si="142"/>
        <v/>
      </c>
      <c r="O1800" s="6" t="str">
        <f t="shared" si="145"/>
        <v/>
      </c>
      <c r="P1800" s="7">
        <f ca="1">SUMIFS($N$2:$N1800,$B$2:$B1800,"&lt;&gt;"&amp;B1800)+SUM($Q$2:$Q1800)</f>
        <v>135.05500000000001</v>
      </c>
      <c r="R1800" t="b">
        <f>AND(ISNUMBER(FIND($E1800,Tables!$I$2)), ISNUMBER(FIND($D1800,Tables!$J$2)), $E1800&lt;&gt;"")</f>
        <v>0</v>
      </c>
    </row>
    <row r="1801" spans="1:18" x14ac:dyDescent="0.3">
      <c r="A1801">
        <f t="shared" si="141"/>
        <v>1784</v>
      </c>
      <c r="B1801" s="4"/>
      <c r="I1801" s="8"/>
      <c r="J1801" s="5" t="str">
        <f t="shared" si="144"/>
        <v/>
      </c>
      <c r="K1801" s="3"/>
      <c r="L1801" s="3" t="str">
        <f t="shared" si="143"/>
        <v/>
      </c>
      <c r="N1801" s="3" t="str">
        <f t="shared" si="142"/>
        <v/>
      </c>
      <c r="O1801" s="6" t="str">
        <f t="shared" si="145"/>
        <v/>
      </c>
      <c r="P1801" s="7">
        <f ca="1">SUMIFS($N$2:$N1801,$B$2:$B1801,"&lt;&gt;"&amp;B1801)+SUM($Q$2:$Q1801)</f>
        <v>135.05500000000001</v>
      </c>
      <c r="R1801" t="b">
        <f>AND(ISNUMBER(FIND($E1801,Tables!$I$2)), ISNUMBER(FIND($D1801,Tables!$J$2)), $E1801&lt;&gt;"")</f>
        <v>0</v>
      </c>
    </row>
    <row r="1802" spans="1:18" x14ac:dyDescent="0.3">
      <c r="A1802">
        <f t="shared" si="141"/>
        <v>1785</v>
      </c>
      <c r="B1802" s="4"/>
      <c r="I1802" s="8"/>
      <c r="J1802" s="5" t="str">
        <f t="shared" si="144"/>
        <v/>
      </c>
      <c r="K1802" s="3"/>
      <c r="L1802" s="3" t="str">
        <f t="shared" si="143"/>
        <v/>
      </c>
      <c r="N1802" s="3" t="str">
        <f t="shared" si="142"/>
        <v/>
      </c>
      <c r="O1802" s="6" t="str">
        <f t="shared" si="145"/>
        <v/>
      </c>
      <c r="P1802" s="7">
        <f ca="1">SUMIFS($N$2:$N1802,$B$2:$B1802,"&lt;&gt;"&amp;B1802)+SUM($Q$2:$Q1802)</f>
        <v>135.05500000000001</v>
      </c>
      <c r="R1802" t="b">
        <f>AND(ISNUMBER(FIND($E1802,Tables!$I$2)), ISNUMBER(FIND($D1802,Tables!$J$2)), $E1802&lt;&gt;"")</f>
        <v>0</v>
      </c>
    </row>
    <row r="1803" spans="1:18" x14ac:dyDescent="0.3">
      <c r="A1803">
        <f t="shared" si="141"/>
        <v>1786</v>
      </c>
      <c r="B1803" s="4"/>
      <c r="I1803" s="8"/>
      <c r="J1803" s="5" t="str">
        <f t="shared" si="144"/>
        <v/>
      </c>
      <c r="K1803" s="3"/>
      <c r="L1803" s="3" t="str">
        <f t="shared" si="143"/>
        <v/>
      </c>
      <c r="N1803" s="3" t="str">
        <f t="shared" si="142"/>
        <v/>
      </c>
      <c r="O1803" s="6" t="str">
        <f t="shared" si="145"/>
        <v/>
      </c>
      <c r="P1803" s="7">
        <f ca="1">SUMIFS($N$2:$N1803,$B$2:$B1803,"&lt;&gt;"&amp;B1803)+SUM($Q$2:$Q1803)</f>
        <v>135.05500000000001</v>
      </c>
      <c r="R1803" t="b">
        <f>AND(ISNUMBER(FIND($E1803,Tables!$I$2)), ISNUMBER(FIND($D1803,Tables!$J$2)), $E1803&lt;&gt;"")</f>
        <v>0</v>
      </c>
    </row>
    <row r="1804" spans="1:18" x14ac:dyDescent="0.3">
      <c r="A1804">
        <f t="shared" si="141"/>
        <v>1787</v>
      </c>
      <c r="B1804" s="4"/>
      <c r="I1804" s="8"/>
      <c r="J1804" s="5" t="str">
        <f t="shared" si="144"/>
        <v/>
      </c>
      <c r="K1804" s="3"/>
      <c r="L1804" s="3" t="str">
        <f t="shared" si="143"/>
        <v/>
      </c>
      <c r="N1804" s="3" t="str">
        <f t="shared" si="142"/>
        <v/>
      </c>
      <c r="O1804" s="6" t="str">
        <f t="shared" si="145"/>
        <v/>
      </c>
      <c r="P1804" s="7">
        <f ca="1">SUMIFS($N$2:$N1804,$B$2:$B1804,"&lt;&gt;"&amp;B1804)+SUM($Q$2:$Q1804)</f>
        <v>135.05500000000001</v>
      </c>
      <c r="R1804" t="b">
        <f>AND(ISNUMBER(FIND($E1804,Tables!$I$2)), ISNUMBER(FIND($D1804,Tables!$J$2)), $E1804&lt;&gt;"")</f>
        <v>0</v>
      </c>
    </row>
    <row r="1805" spans="1:18" x14ac:dyDescent="0.3">
      <c r="A1805">
        <f t="shared" si="141"/>
        <v>1788</v>
      </c>
      <c r="B1805" s="4"/>
      <c r="I1805" s="8"/>
      <c r="J1805" s="5" t="str">
        <f t="shared" si="144"/>
        <v/>
      </c>
      <c r="K1805" s="3"/>
      <c r="L1805" s="3" t="str">
        <f t="shared" si="143"/>
        <v/>
      </c>
      <c r="N1805" s="3" t="str">
        <f t="shared" si="142"/>
        <v/>
      </c>
      <c r="O1805" s="6" t="str">
        <f t="shared" si="145"/>
        <v/>
      </c>
      <c r="P1805" s="7">
        <f ca="1">SUMIFS($N$2:$N1805,$B$2:$B1805,"&lt;&gt;"&amp;B1805)+SUM($Q$2:$Q1805)</f>
        <v>135.05500000000001</v>
      </c>
      <c r="R1805" t="b">
        <f>AND(ISNUMBER(FIND($E1805,Tables!$I$2)), ISNUMBER(FIND($D1805,Tables!$J$2)), $E1805&lt;&gt;"")</f>
        <v>0</v>
      </c>
    </row>
    <row r="1806" spans="1:18" x14ac:dyDescent="0.3">
      <c r="A1806">
        <f t="shared" si="141"/>
        <v>1789</v>
      </c>
      <c r="B1806" s="4"/>
      <c r="I1806" s="8"/>
      <c r="J1806" s="5" t="str">
        <f t="shared" si="144"/>
        <v/>
      </c>
      <c r="K1806" s="3"/>
      <c r="L1806" s="3" t="str">
        <f t="shared" si="143"/>
        <v/>
      </c>
      <c r="N1806" s="3" t="str">
        <f t="shared" si="142"/>
        <v/>
      </c>
      <c r="O1806" s="6" t="str">
        <f t="shared" si="145"/>
        <v/>
      </c>
      <c r="P1806" s="7">
        <f ca="1">SUMIFS($N$2:$N1806,$B$2:$B1806,"&lt;&gt;"&amp;B1806)+SUM($Q$2:$Q1806)</f>
        <v>135.05500000000001</v>
      </c>
      <c r="R1806" t="b">
        <f>AND(ISNUMBER(FIND($E1806,Tables!$I$2)), ISNUMBER(FIND($D1806,Tables!$J$2)), $E1806&lt;&gt;"")</f>
        <v>0</v>
      </c>
    </row>
    <row r="1807" spans="1:18" x14ac:dyDescent="0.3">
      <c r="A1807">
        <f t="shared" si="141"/>
        <v>1790</v>
      </c>
      <c r="B1807" s="4"/>
      <c r="I1807" s="8"/>
      <c r="J1807" s="5" t="str">
        <f t="shared" si="144"/>
        <v/>
      </c>
      <c r="K1807" s="3"/>
      <c r="L1807" s="3" t="str">
        <f t="shared" si="143"/>
        <v/>
      </c>
      <c r="N1807" s="3" t="str">
        <f t="shared" si="142"/>
        <v/>
      </c>
      <c r="O1807" s="6" t="str">
        <f t="shared" si="145"/>
        <v/>
      </c>
      <c r="P1807" s="7">
        <f ca="1">SUMIFS($N$2:$N1807,$B$2:$B1807,"&lt;&gt;"&amp;B1807)+SUM($Q$2:$Q1807)</f>
        <v>135.05500000000001</v>
      </c>
      <c r="R1807" t="b">
        <f>AND(ISNUMBER(FIND($E1807,Tables!$I$2)), ISNUMBER(FIND($D1807,Tables!$J$2)), $E1807&lt;&gt;"")</f>
        <v>0</v>
      </c>
    </row>
    <row r="1808" spans="1:18" x14ac:dyDescent="0.3">
      <c r="A1808">
        <f t="shared" si="141"/>
        <v>1791</v>
      </c>
      <c r="B1808" s="4"/>
      <c r="I1808" s="8"/>
      <c r="J1808" s="5" t="str">
        <f t="shared" si="144"/>
        <v/>
      </c>
      <c r="K1808" s="3"/>
      <c r="L1808" s="3" t="str">
        <f t="shared" si="143"/>
        <v/>
      </c>
      <c r="N1808" s="3" t="str">
        <f t="shared" si="142"/>
        <v/>
      </c>
      <c r="O1808" s="6" t="str">
        <f t="shared" si="145"/>
        <v/>
      </c>
      <c r="P1808" s="7">
        <f ca="1">SUMIFS($N$2:$N1808,$B$2:$B1808,"&lt;&gt;"&amp;B1808)+SUM($Q$2:$Q1808)</f>
        <v>135.05500000000001</v>
      </c>
      <c r="R1808" t="b">
        <f>AND(ISNUMBER(FIND($E1808,Tables!$I$2)), ISNUMBER(FIND($D1808,Tables!$J$2)), $E1808&lt;&gt;"")</f>
        <v>0</v>
      </c>
    </row>
    <row r="1809" spans="1:18" x14ac:dyDescent="0.3">
      <c r="A1809">
        <f t="shared" si="141"/>
        <v>1792</v>
      </c>
      <c r="B1809" s="4"/>
      <c r="I1809" s="8"/>
      <c r="J1809" s="5" t="str">
        <f t="shared" si="144"/>
        <v/>
      </c>
      <c r="K1809" s="3"/>
      <c r="L1809" s="3" t="str">
        <f t="shared" si="143"/>
        <v/>
      </c>
      <c r="N1809" s="3" t="str">
        <f t="shared" si="142"/>
        <v/>
      </c>
      <c r="O1809" s="6" t="str">
        <f t="shared" si="145"/>
        <v/>
      </c>
      <c r="P1809" s="7">
        <f ca="1">SUMIFS($N$2:$N1809,$B$2:$B1809,"&lt;&gt;"&amp;B1809)+SUM($Q$2:$Q1809)</f>
        <v>135.05500000000001</v>
      </c>
      <c r="R1809" t="b">
        <f>AND(ISNUMBER(FIND($E1809,Tables!$I$2)), ISNUMBER(FIND($D1809,Tables!$J$2)), $E1809&lt;&gt;"")</f>
        <v>0</v>
      </c>
    </row>
    <row r="1810" spans="1:18" x14ac:dyDescent="0.3">
      <c r="A1810">
        <f t="shared" si="141"/>
        <v>1793</v>
      </c>
      <c r="B1810" s="4"/>
      <c r="I1810" s="8"/>
      <c r="J1810" s="5" t="str">
        <f t="shared" si="144"/>
        <v/>
      </c>
      <c r="K1810" s="3"/>
      <c r="L1810" s="3" t="str">
        <f t="shared" si="143"/>
        <v/>
      </c>
      <c r="N1810" s="3" t="str">
        <f t="shared" si="142"/>
        <v/>
      </c>
      <c r="O1810" s="6" t="str">
        <f t="shared" si="145"/>
        <v/>
      </c>
      <c r="P1810" s="7">
        <f ca="1">SUMIFS($N$2:$N1810,$B$2:$B1810,"&lt;&gt;"&amp;B1810)+SUM($Q$2:$Q1810)</f>
        <v>135.05500000000001</v>
      </c>
      <c r="R1810" t="b">
        <f>AND(ISNUMBER(FIND($E1810,Tables!$I$2)), ISNUMBER(FIND($D1810,Tables!$J$2)), $E1810&lt;&gt;"")</f>
        <v>0</v>
      </c>
    </row>
    <row r="1811" spans="1:18" x14ac:dyDescent="0.3">
      <c r="A1811">
        <f t="shared" si="141"/>
        <v>1794</v>
      </c>
      <c r="B1811" s="4"/>
      <c r="I1811" s="8"/>
      <c r="J1811" s="5" t="str">
        <f t="shared" si="144"/>
        <v/>
      </c>
      <c r="K1811" s="3"/>
      <c r="L1811" s="3" t="str">
        <f t="shared" si="143"/>
        <v/>
      </c>
      <c r="N1811" s="3" t="str">
        <f t="shared" si="142"/>
        <v/>
      </c>
      <c r="O1811" s="6" t="str">
        <f t="shared" si="145"/>
        <v/>
      </c>
      <c r="P1811" s="7">
        <f ca="1">SUMIFS($N$2:$N1811,$B$2:$B1811,"&lt;&gt;"&amp;B1811)+SUM($Q$2:$Q1811)</f>
        <v>135.05500000000001</v>
      </c>
      <c r="R1811" t="b">
        <f>AND(ISNUMBER(FIND($E1811,Tables!$I$2)), ISNUMBER(FIND($D1811,Tables!$J$2)), $E1811&lt;&gt;"")</f>
        <v>0</v>
      </c>
    </row>
    <row r="1812" spans="1:18" x14ac:dyDescent="0.3">
      <c r="A1812">
        <f t="shared" si="141"/>
        <v>1795</v>
      </c>
      <c r="B1812" s="4"/>
      <c r="I1812" s="8"/>
      <c r="J1812" s="5" t="str">
        <f t="shared" si="144"/>
        <v/>
      </c>
      <c r="K1812" s="3"/>
      <c r="L1812" s="3" t="str">
        <f t="shared" si="143"/>
        <v/>
      </c>
      <c r="N1812" s="3" t="str">
        <f t="shared" si="142"/>
        <v/>
      </c>
      <c r="O1812" s="6" t="str">
        <f t="shared" si="145"/>
        <v/>
      </c>
      <c r="P1812" s="7">
        <f ca="1">SUMIFS($N$2:$N1812,$B$2:$B1812,"&lt;&gt;"&amp;B1812)+SUM($Q$2:$Q1812)</f>
        <v>135.05500000000001</v>
      </c>
      <c r="R1812" t="b">
        <f>AND(ISNUMBER(FIND($E1812,Tables!$I$2)), ISNUMBER(FIND($D1812,Tables!$J$2)), $E1812&lt;&gt;"")</f>
        <v>0</v>
      </c>
    </row>
    <row r="1813" spans="1:18" x14ac:dyDescent="0.3">
      <c r="A1813">
        <f t="shared" si="141"/>
        <v>1796</v>
      </c>
      <c r="B1813" s="4"/>
      <c r="I1813" s="8"/>
      <c r="J1813" s="5" t="str">
        <f t="shared" si="144"/>
        <v/>
      </c>
      <c r="K1813" s="3"/>
      <c r="L1813" s="3" t="str">
        <f t="shared" si="143"/>
        <v/>
      </c>
      <c r="N1813" s="3" t="str">
        <f t="shared" si="142"/>
        <v/>
      </c>
      <c r="O1813" s="6" t="str">
        <f t="shared" si="145"/>
        <v/>
      </c>
      <c r="P1813" s="7">
        <f ca="1">SUMIFS($N$2:$N1813,$B$2:$B1813,"&lt;&gt;"&amp;B1813)+SUM($Q$2:$Q1813)</f>
        <v>135.05500000000001</v>
      </c>
      <c r="R1813" t="b">
        <f>AND(ISNUMBER(FIND($E1813,Tables!$I$2)), ISNUMBER(FIND($D1813,Tables!$J$2)), $E1813&lt;&gt;"")</f>
        <v>0</v>
      </c>
    </row>
    <row r="1814" spans="1:18" x14ac:dyDescent="0.3">
      <c r="A1814">
        <f t="shared" si="141"/>
        <v>1797</v>
      </c>
      <c r="B1814" s="4"/>
      <c r="I1814" s="8"/>
      <c r="J1814" s="5" t="str">
        <f t="shared" si="144"/>
        <v/>
      </c>
      <c r="K1814" s="3"/>
      <c r="L1814" s="3" t="str">
        <f t="shared" si="143"/>
        <v/>
      </c>
      <c r="N1814" s="3" t="str">
        <f t="shared" si="142"/>
        <v/>
      </c>
      <c r="O1814" s="6" t="str">
        <f t="shared" si="145"/>
        <v/>
      </c>
      <c r="P1814" s="7">
        <f ca="1">SUMIFS($N$2:$N1814,$B$2:$B1814,"&lt;&gt;"&amp;B1814)+SUM($Q$2:$Q1814)</f>
        <v>135.05500000000001</v>
      </c>
      <c r="R1814" t="b">
        <f>AND(ISNUMBER(FIND($E1814,Tables!$I$2)), ISNUMBER(FIND($D1814,Tables!$J$2)), $E1814&lt;&gt;"")</f>
        <v>0</v>
      </c>
    </row>
    <row r="1815" spans="1:18" x14ac:dyDescent="0.3">
      <c r="A1815">
        <f t="shared" si="141"/>
        <v>1798</v>
      </c>
      <c r="B1815" s="4"/>
      <c r="I1815" s="8"/>
      <c r="J1815" s="5" t="str">
        <f t="shared" si="144"/>
        <v/>
      </c>
      <c r="K1815" s="3"/>
      <c r="L1815" s="3" t="str">
        <f t="shared" si="143"/>
        <v/>
      </c>
      <c r="N1815" s="3" t="str">
        <f t="shared" si="142"/>
        <v/>
      </c>
      <c r="O1815" s="6" t="str">
        <f t="shared" si="145"/>
        <v/>
      </c>
      <c r="P1815" s="7">
        <f ca="1">SUMIFS($N$2:$N1815,$B$2:$B1815,"&lt;&gt;"&amp;B1815)+SUM($Q$2:$Q1815)</f>
        <v>135.05500000000001</v>
      </c>
      <c r="R1815" t="b">
        <f>AND(ISNUMBER(FIND($E1815,Tables!$I$2)), ISNUMBER(FIND($D1815,Tables!$J$2)), $E1815&lt;&gt;"")</f>
        <v>0</v>
      </c>
    </row>
    <row r="1816" spans="1:18" x14ac:dyDescent="0.3">
      <c r="A1816">
        <f t="shared" si="141"/>
        <v>1799</v>
      </c>
      <c r="B1816" s="4"/>
      <c r="I1816" s="8"/>
      <c r="J1816" s="5" t="str">
        <f t="shared" si="144"/>
        <v/>
      </c>
      <c r="K1816" s="3"/>
      <c r="L1816" s="3" t="str">
        <f t="shared" si="143"/>
        <v/>
      </c>
      <c r="N1816" s="3" t="str">
        <f t="shared" si="142"/>
        <v/>
      </c>
      <c r="O1816" s="6" t="str">
        <f t="shared" si="145"/>
        <v/>
      </c>
      <c r="P1816" s="7">
        <f ca="1">SUMIFS($N$2:$N1816,$B$2:$B1816,"&lt;&gt;"&amp;B1816)+SUM($Q$2:$Q1816)</f>
        <v>135.05500000000001</v>
      </c>
      <c r="R1816" t="b">
        <f>AND(ISNUMBER(FIND($E1816,Tables!$I$2)), ISNUMBER(FIND($D1816,Tables!$J$2)), $E1816&lt;&gt;"")</f>
        <v>0</v>
      </c>
    </row>
    <row r="1817" spans="1:18" x14ac:dyDescent="0.3">
      <c r="A1817">
        <f t="shared" si="141"/>
        <v>1800</v>
      </c>
      <c r="B1817" s="4"/>
      <c r="I1817" s="8"/>
      <c r="J1817" s="5" t="str">
        <f t="shared" si="144"/>
        <v/>
      </c>
      <c r="K1817" s="3"/>
      <c r="L1817" s="3" t="str">
        <f t="shared" si="143"/>
        <v/>
      </c>
      <c r="N1817" s="3" t="str">
        <f t="shared" si="142"/>
        <v/>
      </c>
      <c r="O1817" s="6" t="str">
        <f t="shared" si="145"/>
        <v/>
      </c>
      <c r="P1817" s="7">
        <f ca="1">SUMIFS($N$2:$N1817,$B$2:$B1817,"&lt;&gt;"&amp;B1817)+SUM($Q$2:$Q1817)</f>
        <v>135.05500000000001</v>
      </c>
      <c r="R1817" t="b">
        <f>AND(ISNUMBER(FIND($E1817,Tables!$I$2)), ISNUMBER(FIND($D1817,Tables!$J$2)), $E1817&lt;&gt;"")</f>
        <v>0</v>
      </c>
    </row>
    <row r="1818" spans="1:18" x14ac:dyDescent="0.3">
      <c r="A1818">
        <f t="shared" si="141"/>
        <v>1801</v>
      </c>
      <c r="B1818" s="4"/>
      <c r="I1818" s="8"/>
      <c r="J1818" s="5" t="str">
        <f t="shared" si="144"/>
        <v/>
      </c>
      <c r="K1818" s="3"/>
      <c r="L1818" s="3" t="str">
        <f t="shared" si="143"/>
        <v/>
      </c>
      <c r="N1818" s="3" t="str">
        <f t="shared" si="142"/>
        <v/>
      </c>
      <c r="O1818" s="6" t="str">
        <f t="shared" si="145"/>
        <v/>
      </c>
      <c r="P1818" s="7">
        <f ca="1">SUMIFS($N$2:$N1818,$B$2:$B1818,"&lt;&gt;"&amp;B1818)+SUM($Q$2:$Q1818)</f>
        <v>135.05500000000001</v>
      </c>
      <c r="R1818" t="b">
        <f>AND(ISNUMBER(FIND($E1818,Tables!$I$2)), ISNUMBER(FIND($D1818,Tables!$J$2)), $E1818&lt;&gt;"")</f>
        <v>0</v>
      </c>
    </row>
    <row r="1819" spans="1:18" x14ac:dyDescent="0.3">
      <c r="A1819">
        <f t="shared" si="141"/>
        <v>1802</v>
      </c>
      <c r="B1819" s="4"/>
      <c r="I1819" s="8"/>
      <c r="J1819" s="5" t="str">
        <f t="shared" si="144"/>
        <v/>
      </c>
      <c r="K1819" s="3"/>
      <c r="L1819" s="3" t="str">
        <f t="shared" si="143"/>
        <v/>
      </c>
      <c r="N1819" s="3" t="str">
        <f t="shared" si="142"/>
        <v/>
      </c>
      <c r="O1819" s="6" t="str">
        <f t="shared" si="145"/>
        <v/>
      </c>
      <c r="P1819" s="7">
        <f ca="1">SUMIFS($N$2:$N1819,$B$2:$B1819,"&lt;&gt;"&amp;B1819)+SUM($Q$2:$Q1819)</f>
        <v>135.05500000000001</v>
      </c>
      <c r="R1819" t="b">
        <f>AND(ISNUMBER(FIND($E1819,Tables!$I$2)), ISNUMBER(FIND($D1819,Tables!$J$2)), $E1819&lt;&gt;"")</f>
        <v>0</v>
      </c>
    </row>
    <row r="1820" spans="1:18" x14ac:dyDescent="0.3">
      <c r="A1820">
        <f t="shared" si="141"/>
        <v>1803</v>
      </c>
      <c r="B1820" s="4"/>
      <c r="I1820" s="8"/>
      <c r="J1820" s="5" t="str">
        <f t="shared" si="144"/>
        <v/>
      </c>
      <c r="K1820" s="3"/>
      <c r="L1820" s="3" t="str">
        <f t="shared" si="143"/>
        <v/>
      </c>
      <c r="N1820" s="3" t="str">
        <f t="shared" si="142"/>
        <v/>
      </c>
      <c r="O1820" s="6" t="str">
        <f t="shared" si="145"/>
        <v/>
      </c>
      <c r="P1820" s="7">
        <f ca="1">SUMIFS($N$2:$N1820,$B$2:$B1820,"&lt;&gt;"&amp;B1820)+SUM($Q$2:$Q1820)</f>
        <v>135.05500000000001</v>
      </c>
      <c r="R1820" t="b">
        <f>AND(ISNUMBER(FIND($E1820,Tables!$I$2)), ISNUMBER(FIND($D1820,Tables!$J$2)), $E1820&lt;&gt;"")</f>
        <v>0</v>
      </c>
    </row>
    <row r="1821" spans="1:18" x14ac:dyDescent="0.3">
      <c r="A1821">
        <f t="shared" si="141"/>
        <v>1804</v>
      </c>
      <c r="B1821" s="4"/>
      <c r="I1821" s="8"/>
      <c r="J1821" s="5" t="str">
        <f t="shared" si="144"/>
        <v/>
      </c>
      <c r="K1821" s="3"/>
      <c r="L1821" s="3" t="str">
        <f t="shared" si="143"/>
        <v/>
      </c>
      <c r="N1821" s="3" t="str">
        <f t="shared" si="142"/>
        <v/>
      </c>
      <c r="O1821" s="6" t="str">
        <f t="shared" si="145"/>
        <v/>
      </c>
      <c r="P1821" s="7">
        <f ca="1">SUMIFS($N$2:$N1821,$B$2:$B1821,"&lt;&gt;"&amp;B1821)+SUM($Q$2:$Q1821)</f>
        <v>135.05500000000001</v>
      </c>
      <c r="R1821" t="b">
        <f>AND(ISNUMBER(FIND($E1821,Tables!$I$2)), ISNUMBER(FIND($D1821,Tables!$J$2)), $E1821&lt;&gt;"")</f>
        <v>0</v>
      </c>
    </row>
    <row r="1822" spans="1:18" x14ac:dyDescent="0.3">
      <c r="A1822">
        <f t="shared" si="141"/>
        <v>1805</v>
      </c>
      <c r="B1822" s="4"/>
      <c r="I1822" s="8"/>
      <c r="J1822" s="5" t="str">
        <f t="shared" si="144"/>
        <v/>
      </c>
      <c r="K1822" s="3"/>
      <c r="L1822" s="3" t="str">
        <f t="shared" si="143"/>
        <v/>
      </c>
      <c r="N1822" s="3" t="str">
        <f t="shared" si="142"/>
        <v/>
      </c>
      <c r="O1822" s="6" t="str">
        <f t="shared" si="145"/>
        <v/>
      </c>
      <c r="P1822" s="7">
        <f ca="1">SUMIFS($N$2:$N1822,$B$2:$B1822,"&lt;&gt;"&amp;B1822)+SUM($Q$2:$Q1822)</f>
        <v>135.05500000000001</v>
      </c>
      <c r="R1822" t="b">
        <f>AND(ISNUMBER(FIND($E1822,Tables!$I$2)), ISNUMBER(FIND($D1822,Tables!$J$2)), $E1822&lt;&gt;"")</f>
        <v>0</v>
      </c>
    </row>
    <row r="1823" spans="1:18" x14ac:dyDescent="0.3">
      <c r="A1823">
        <f t="shared" si="141"/>
        <v>1806</v>
      </c>
      <c r="B1823" s="4"/>
      <c r="I1823" s="8"/>
      <c r="J1823" s="5" t="str">
        <f t="shared" si="144"/>
        <v/>
      </c>
      <c r="K1823" s="3"/>
      <c r="L1823" s="3" t="str">
        <f t="shared" si="143"/>
        <v/>
      </c>
      <c r="N1823" s="3" t="str">
        <f t="shared" si="142"/>
        <v/>
      </c>
      <c r="O1823" s="6" t="str">
        <f t="shared" si="145"/>
        <v/>
      </c>
      <c r="P1823" s="7">
        <f ca="1">SUMIFS($N$2:$N1823,$B$2:$B1823,"&lt;&gt;"&amp;B1823)+SUM($Q$2:$Q1823)</f>
        <v>135.05500000000001</v>
      </c>
      <c r="R1823" t="b">
        <f>AND(ISNUMBER(FIND($E1823,Tables!$I$2)), ISNUMBER(FIND($D1823,Tables!$J$2)), $E1823&lt;&gt;"")</f>
        <v>0</v>
      </c>
    </row>
    <row r="1824" spans="1:18" x14ac:dyDescent="0.3">
      <c r="A1824">
        <f t="shared" si="141"/>
        <v>1807</v>
      </c>
      <c r="B1824" s="4"/>
      <c r="I1824" s="8"/>
      <c r="J1824" s="5" t="str">
        <f t="shared" si="144"/>
        <v/>
      </c>
      <c r="K1824" s="3"/>
      <c r="L1824" s="3" t="str">
        <f t="shared" si="143"/>
        <v/>
      </c>
      <c r="N1824" s="3" t="str">
        <f t="shared" si="142"/>
        <v/>
      </c>
      <c r="O1824" s="6" t="str">
        <f t="shared" si="145"/>
        <v/>
      </c>
      <c r="P1824" s="7">
        <f ca="1">SUMIFS($N$2:$N1824,$B$2:$B1824,"&lt;&gt;"&amp;B1824)+SUM($Q$2:$Q1824)</f>
        <v>135.05500000000001</v>
      </c>
      <c r="R1824" t="b">
        <f>AND(ISNUMBER(FIND($E1824,Tables!$I$2)), ISNUMBER(FIND($D1824,Tables!$J$2)), $E1824&lt;&gt;"")</f>
        <v>0</v>
      </c>
    </row>
    <row r="1825" spans="1:18" x14ac:dyDescent="0.3">
      <c r="A1825">
        <f t="shared" si="141"/>
        <v>1808</v>
      </c>
      <c r="B1825" s="4"/>
      <c r="I1825" s="8"/>
      <c r="J1825" s="5" t="str">
        <f t="shared" si="144"/>
        <v/>
      </c>
      <c r="K1825" s="3"/>
      <c r="L1825" s="3" t="str">
        <f t="shared" si="143"/>
        <v/>
      </c>
      <c r="N1825" s="3" t="str">
        <f t="shared" si="142"/>
        <v/>
      </c>
      <c r="O1825" s="6" t="str">
        <f t="shared" si="145"/>
        <v/>
      </c>
      <c r="P1825" s="7">
        <f ca="1">SUMIFS($N$2:$N1825,$B$2:$B1825,"&lt;&gt;"&amp;B1825)+SUM($Q$2:$Q1825)</f>
        <v>135.05500000000001</v>
      </c>
      <c r="R1825" t="b">
        <f>AND(ISNUMBER(FIND($E1825,Tables!$I$2)), ISNUMBER(FIND($D1825,Tables!$J$2)), $E1825&lt;&gt;"")</f>
        <v>0</v>
      </c>
    </row>
    <row r="1826" spans="1:18" x14ac:dyDescent="0.3">
      <c r="A1826">
        <f t="shared" ref="A1826:A1889" si="146">IF(AND(B1826="", D1826&lt;&gt;""), A1825, A1825+1)</f>
        <v>1809</v>
      </c>
      <c r="B1826" s="4"/>
      <c r="I1826" s="8"/>
      <c r="J1826" s="5" t="str">
        <f t="shared" si="144"/>
        <v/>
      </c>
      <c r="K1826" s="3"/>
      <c r="L1826" s="3" t="str">
        <f t="shared" si="143"/>
        <v/>
      </c>
      <c r="N1826" s="3" t="str">
        <f t="shared" si="142"/>
        <v/>
      </c>
      <c r="O1826" s="6" t="str">
        <f t="shared" si="145"/>
        <v/>
      </c>
      <c r="P1826" s="7">
        <f ca="1">SUMIFS($N$2:$N1826,$B$2:$B1826,"&lt;&gt;"&amp;B1826)+SUM($Q$2:$Q1826)</f>
        <v>135.05500000000001</v>
      </c>
      <c r="R1826" t="b">
        <f>AND(ISNUMBER(FIND($E1826,Tables!$I$2)), ISNUMBER(FIND($D1826,Tables!$J$2)), $E1826&lt;&gt;"")</f>
        <v>0</v>
      </c>
    </row>
    <row r="1827" spans="1:18" x14ac:dyDescent="0.3">
      <c r="A1827">
        <f t="shared" si="146"/>
        <v>1810</v>
      </c>
      <c r="B1827" s="4"/>
      <c r="I1827" s="8"/>
      <c r="J1827" s="5" t="str">
        <f t="shared" si="144"/>
        <v/>
      </c>
      <c r="K1827" s="3"/>
      <c r="L1827" s="3" t="str">
        <f t="shared" si="143"/>
        <v/>
      </c>
      <c r="N1827" s="3" t="str">
        <f t="shared" si="142"/>
        <v/>
      </c>
      <c r="O1827" s="6" t="str">
        <f t="shared" si="145"/>
        <v/>
      </c>
      <c r="P1827" s="7">
        <f ca="1">SUMIFS($N$2:$N1827,$B$2:$B1827,"&lt;&gt;"&amp;B1827)+SUM($Q$2:$Q1827)</f>
        <v>135.05500000000001</v>
      </c>
      <c r="R1827" t="b">
        <f>AND(ISNUMBER(FIND($E1827,Tables!$I$2)), ISNUMBER(FIND($D1827,Tables!$J$2)), $E1827&lt;&gt;"")</f>
        <v>0</v>
      </c>
    </row>
    <row r="1828" spans="1:18" x14ac:dyDescent="0.3">
      <c r="A1828">
        <f t="shared" si="146"/>
        <v>1811</v>
      </c>
      <c r="B1828" s="4"/>
      <c r="I1828" s="8"/>
      <c r="J1828" s="5" t="str">
        <f t="shared" si="144"/>
        <v/>
      </c>
      <c r="K1828" s="3"/>
      <c r="L1828" s="3" t="str">
        <f t="shared" si="143"/>
        <v/>
      </c>
      <c r="N1828" s="3" t="str">
        <f t="shared" si="142"/>
        <v/>
      </c>
      <c r="O1828" s="6" t="str">
        <f t="shared" si="145"/>
        <v/>
      </c>
      <c r="P1828" s="7">
        <f ca="1">SUMIFS($N$2:$N1828,$B$2:$B1828,"&lt;&gt;"&amp;B1828)+SUM($Q$2:$Q1828)</f>
        <v>135.05500000000001</v>
      </c>
      <c r="R1828" t="b">
        <f>AND(ISNUMBER(FIND($E1828,Tables!$I$2)), ISNUMBER(FIND($D1828,Tables!$J$2)), $E1828&lt;&gt;"")</f>
        <v>0</v>
      </c>
    </row>
    <row r="1829" spans="1:18" x14ac:dyDescent="0.3">
      <c r="A1829">
        <f t="shared" si="146"/>
        <v>1812</v>
      </c>
      <c r="B1829" s="4"/>
      <c r="I1829" s="8"/>
      <c r="J1829" s="5" t="str">
        <f t="shared" si="144"/>
        <v/>
      </c>
      <c r="K1829" s="3"/>
      <c r="L1829" s="3" t="str">
        <f t="shared" si="143"/>
        <v/>
      </c>
      <c r="N1829" s="3" t="str">
        <f t="shared" si="142"/>
        <v/>
      </c>
      <c r="O1829" s="6" t="str">
        <f t="shared" si="145"/>
        <v/>
      </c>
      <c r="P1829" s="7">
        <f ca="1">SUMIFS($N$2:$N1829,$B$2:$B1829,"&lt;&gt;"&amp;B1829)+SUM($Q$2:$Q1829)</f>
        <v>135.05500000000001</v>
      </c>
      <c r="R1829" t="b">
        <f>AND(ISNUMBER(FIND($E1829,Tables!$I$2)), ISNUMBER(FIND($D1829,Tables!$J$2)), $E1829&lt;&gt;"")</f>
        <v>0</v>
      </c>
    </row>
    <row r="1830" spans="1:18" x14ac:dyDescent="0.3">
      <c r="A1830">
        <f t="shared" si="146"/>
        <v>1813</v>
      </c>
      <c r="B1830" s="4"/>
      <c r="I1830" s="8"/>
      <c r="J1830" s="5" t="str">
        <f t="shared" si="144"/>
        <v/>
      </c>
      <c r="K1830" s="3"/>
      <c r="L1830" s="3" t="str">
        <f t="shared" si="143"/>
        <v/>
      </c>
      <c r="N1830" s="3" t="str">
        <f t="shared" si="142"/>
        <v/>
      </c>
      <c r="O1830" s="6" t="str">
        <f t="shared" si="145"/>
        <v/>
      </c>
      <c r="P1830" s="7">
        <f ca="1">SUMIFS($N$2:$N1830,$B$2:$B1830,"&lt;&gt;"&amp;B1830)+SUM($Q$2:$Q1830)</f>
        <v>135.05500000000001</v>
      </c>
      <c r="R1830" t="b">
        <f>AND(ISNUMBER(FIND($E1830,Tables!$I$2)), ISNUMBER(FIND($D1830,Tables!$J$2)), $E1830&lt;&gt;"")</f>
        <v>0</v>
      </c>
    </row>
    <row r="1831" spans="1:18" x14ac:dyDescent="0.3">
      <c r="A1831">
        <f t="shared" si="146"/>
        <v>1814</v>
      </c>
      <c r="B1831" s="4"/>
      <c r="I1831" s="8"/>
      <c r="J1831" s="5" t="str">
        <f t="shared" si="144"/>
        <v/>
      </c>
      <c r="K1831" s="3"/>
      <c r="L1831" s="3" t="str">
        <f t="shared" si="143"/>
        <v/>
      </c>
      <c r="N1831" s="3" t="str">
        <f t="shared" si="142"/>
        <v/>
      </c>
      <c r="O1831" s="6" t="str">
        <f t="shared" si="145"/>
        <v/>
      </c>
      <c r="P1831" s="7">
        <f ca="1">SUMIFS($N$2:$N1831,$B$2:$B1831,"&lt;&gt;"&amp;B1831)+SUM($Q$2:$Q1831)</f>
        <v>135.05500000000001</v>
      </c>
      <c r="R1831" t="b">
        <f>AND(ISNUMBER(FIND($E1831,Tables!$I$2)), ISNUMBER(FIND($D1831,Tables!$J$2)), $E1831&lt;&gt;"")</f>
        <v>0</v>
      </c>
    </row>
    <row r="1832" spans="1:18" x14ac:dyDescent="0.3">
      <c r="A1832">
        <f t="shared" si="146"/>
        <v>1815</v>
      </c>
      <c r="B1832" s="4"/>
      <c r="I1832" s="8"/>
      <c r="J1832" s="5" t="str">
        <f t="shared" si="144"/>
        <v/>
      </c>
      <c r="K1832" s="3"/>
      <c r="L1832" s="3" t="str">
        <f t="shared" si="143"/>
        <v/>
      </c>
      <c r="N1832" s="3" t="str">
        <f t="shared" ref="N1832:N1895" si="147">IF(L1832 = "", "", IF(M1832="", "", IF(OR(M1832="Draw",M1832="NC"), 0, IF(M1832="win", L1832, -1*K1832))))</f>
        <v/>
      </c>
      <c r="O1832" s="6" t="str">
        <f t="shared" si="145"/>
        <v/>
      </c>
      <c r="P1832" s="7">
        <f ca="1">SUMIFS($N$2:$N1832,$B$2:$B1832,"&lt;&gt;"&amp;B1832)+SUM($Q$2:$Q1832)</f>
        <v>135.05500000000001</v>
      </c>
      <c r="R1832" t="b">
        <f>AND(ISNUMBER(FIND($E1832,Tables!$I$2)), ISNUMBER(FIND($D1832,Tables!$J$2)), $E1832&lt;&gt;"")</f>
        <v>0</v>
      </c>
    </row>
    <row r="1833" spans="1:18" x14ac:dyDescent="0.3">
      <c r="A1833">
        <f t="shared" si="146"/>
        <v>1816</v>
      </c>
      <c r="B1833" s="4"/>
      <c r="I1833" s="8"/>
      <c r="J1833" s="5" t="str">
        <f t="shared" si="144"/>
        <v/>
      </c>
      <c r="K1833" s="3"/>
      <c r="L1833" s="3" t="str">
        <f t="shared" si="143"/>
        <v/>
      </c>
      <c r="N1833" s="3" t="str">
        <f t="shared" si="147"/>
        <v/>
      </c>
      <c r="O1833" s="6" t="str">
        <f t="shared" si="145"/>
        <v/>
      </c>
      <c r="P1833" s="7">
        <f ca="1">SUMIFS($N$2:$N1833,$B$2:$B1833,"&lt;&gt;"&amp;B1833)+SUM($Q$2:$Q1833)</f>
        <v>135.05500000000001</v>
      </c>
      <c r="R1833" t="b">
        <f>AND(ISNUMBER(FIND($E1833,Tables!$I$2)), ISNUMBER(FIND($D1833,Tables!$J$2)), $E1833&lt;&gt;"")</f>
        <v>0</v>
      </c>
    </row>
    <row r="1834" spans="1:18" x14ac:dyDescent="0.3">
      <c r="A1834">
        <f t="shared" si="146"/>
        <v>1817</v>
      </c>
      <c r="B1834" s="4"/>
      <c r="I1834" s="8"/>
      <c r="J1834" s="5" t="str">
        <f t="shared" si="144"/>
        <v/>
      </c>
      <c r="K1834" s="3"/>
      <c r="L1834" s="3" t="str">
        <f t="shared" si="143"/>
        <v/>
      </c>
      <c r="N1834" s="3" t="str">
        <f t="shared" si="147"/>
        <v/>
      </c>
      <c r="O1834" s="6" t="str">
        <f t="shared" si="145"/>
        <v/>
      </c>
      <c r="P1834" s="7">
        <f ca="1">SUMIFS($N$2:$N1834,$B$2:$B1834,"&lt;&gt;"&amp;B1834)+SUM($Q$2:$Q1834)</f>
        <v>135.05500000000001</v>
      </c>
      <c r="R1834" t="b">
        <f>AND(ISNUMBER(FIND($E1834,Tables!$I$2)), ISNUMBER(FIND($D1834,Tables!$J$2)), $E1834&lt;&gt;"")</f>
        <v>0</v>
      </c>
    </row>
    <row r="1835" spans="1:18" x14ac:dyDescent="0.3">
      <c r="A1835">
        <f t="shared" si="146"/>
        <v>1818</v>
      </c>
      <c r="B1835" s="4"/>
      <c r="I1835" s="8"/>
      <c r="J1835" s="5" t="str">
        <f t="shared" si="144"/>
        <v/>
      </c>
      <c r="K1835" s="3"/>
      <c r="L1835" s="3" t="str">
        <f t="shared" si="143"/>
        <v/>
      </c>
      <c r="N1835" s="3" t="str">
        <f t="shared" si="147"/>
        <v/>
      </c>
      <c r="O1835" s="6" t="str">
        <f t="shared" si="145"/>
        <v/>
      </c>
      <c r="P1835" s="7">
        <f ca="1">SUMIFS($N$2:$N1835,$B$2:$B1835,"&lt;&gt;"&amp;B1835)+SUM($Q$2:$Q1835)</f>
        <v>135.05500000000001</v>
      </c>
      <c r="R1835" t="b">
        <f>AND(ISNUMBER(FIND($E1835,Tables!$I$2)), ISNUMBER(FIND($D1835,Tables!$J$2)), $E1835&lt;&gt;"")</f>
        <v>0</v>
      </c>
    </row>
    <row r="1836" spans="1:18" x14ac:dyDescent="0.3">
      <c r="A1836">
        <f t="shared" si="146"/>
        <v>1819</v>
      </c>
      <c r="B1836" s="4"/>
      <c r="I1836" s="8"/>
      <c r="J1836" s="5" t="str">
        <f t="shared" si="144"/>
        <v/>
      </c>
      <c r="K1836" s="3"/>
      <c r="L1836" s="3" t="str">
        <f t="shared" si="143"/>
        <v/>
      </c>
      <c r="N1836" s="3" t="str">
        <f t="shared" si="147"/>
        <v/>
      </c>
      <c r="O1836" s="6" t="str">
        <f t="shared" si="145"/>
        <v/>
      </c>
      <c r="P1836" s="7">
        <f ca="1">SUMIFS($N$2:$N1836,$B$2:$B1836,"&lt;&gt;"&amp;B1836)+SUM($Q$2:$Q1836)</f>
        <v>135.05500000000001</v>
      </c>
      <c r="R1836" t="b">
        <f>AND(ISNUMBER(FIND($E1836,Tables!$I$2)), ISNUMBER(FIND($D1836,Tables!$J$2)), $E1836&lt;&gt;"")</f>
        <v>0</v>
      </c>
    </row>
    <row r="1837" spans="1:18" x14ac:dyDescent="0.3">
      <c r="A1837">
        <f t="shared" si="146"/>
        <v>1820</v>
      </c>
      <c r="B1837" s="4"/>
      <c r="I1837" s="8"/>
      <c r="J1837" s="5" t="str">
        <f t="shared" si="144"/>
        <v/>
      </c>
      <c r="K1837" s="3"/>
      <c r="L1837" s="3" t="str">
        <f t="shared" si="143"/>
        <v/>
      </c>
      <c r="N1837" s="3" t="str">
        <f t="shared" si="147"/>
        <v/>
      </c>
      <c r="O1837" s="6" t="str">
        <f t="shared" si="145"/>
        <v/>
      </c>
      <c r="P1837" s="7">
        <f ca="1">SUMIFS($N$2:$N1837,$B$2:$B1837,"&lt;&gt;"&amp;B1837)+SUM($Q$2:$Q1837)</f>
        <v>135.05500000000001</v>
      </c>
      <c r="R1837" t="b">
        <f>AND(ISNUMBER(FIND($E1837,Tables!$I$2)), ISNUMBER(FIND($D1837,Tables!$J$2)), $E1837&lt;&gt;"")</f>
        <v>0</v>
      </c>
    </row>
    <row r="1838" spans="1:18" x14ac:dyDescent="0.3">
      <c r="A1838">
        <f t="shared" si="146"/>
        <v>1821</v>
      </c>
      <c r="B1838" s="4"/>
      <c r="I1838" s="8"/>
      <c r="J1838" s="5" t="str">
        <f t="shared" si="144"/>
        <v/>
      </c>
      <c r="K1838" s="3"/>
      <c r="L1838" s="3" t="str">
        <f t="shared" si="143"/>
        <v/>
      </c>
      <c r="N1838" s="3" t="str">
        <f t="shared" si="147"/>
        <v/>
      </c>
      <c r="O1838" s="6" t="str">
        <f t="shared" si="145"/>
        <v/>
      </c>
      <c r="P1838" s="7">
        <f ca="1">SUMIFS($N$2:$N1838,$B$2:$B1838,"&lt;&gt;"&amp;B1838)+SUM($Q$2:$Q1838)</f>
        <v>135.05500000000001</v>
      </c>
      <c r="R1838" t="b">
        <f>AND(ISNUMBER(FIND($E1838,Tables!$I$2)), ISNUMBER(FIND($D1838,Tables!$J$2)), $E1838&lt;&gt;"")</f>
        <v>0</v>
      </c>
    </row>
    <row r="1839" spans="1:18" x14ac:dyDescent="0.3">
      <c r="A1839">
        <f t="shared" si="146"/>
        <v>1822</v>
      </c>
      <c r="B1839" s="4"/>
      <c r="I1839" s="8"/>
      <c r="J1839" s="5" t="str">
        <f t="shared" si="144"/>
        <v/>
      </c>
      <c r="K1839" s="3"/>
      <c r="L1839" s="3" t="str">
        <f t="shared" si="143"/>
        <v/>
      </c>
      <c r="N1839" s="3" t="str">
        <f t="shared" si="147"/>
        <v/>
      </c>
      <c r="O1839" s="6" t="str">
        <f t="shared" si="145"/>
        <v/>
      </c>
      <c r="P1839" s="7">
        <f ca="1">SUMIFS($N$2:$N1839,$B$2:$B1839,"&lt;&gt;"&amp;B1839)+SUM($Q$2:$Q1839)</f>
        <v>135.05500000000001</v>
      </c>
      <c r="R1839" t="b">
        <f>AND(ISNUMBER(FIND($E1839,Tables!$I$2)), ISNUMBER(FIND($D1839,Tables!$J$2)), $E1839&lt;&gt;"")</f>
        <v>0</v>
      </c>
    </row>
    <row r="1840" spans="1:18" x14ac:dyDescent="0.3">
      <c r="A1840">
        <f t="shared" si="146"/>
        <v>1823</v>
      </c>
      <c r="B1840" s="4"/>
      <c r="I1840" s="8"/>
      <c r="J1840" s="5" t="str">
        <f t="shared" si="144"/>
        <v/>
      </c>
      <c r="K1840" s="3"/>
      <c r="L1840" s="3" t="str">
        <f t="shared" si="143"/>
        <v/>
      </c>
      <c r="N1840" s="3" t="str">
        <f t="shared" si="147"/>
        <v/>
      </c>
      <c r="O1840" s="6" t="str">
        <f t="shared" si="145"/>
        <v/>
      </c>
      <c r="P1840" s="7">
        <f ca="1">SUMIFS($N$2:$N1840,$B$2:$B1840,"&lt;&gt;"&amp;B1840)+SUM($Q$2:$Q1840)</f>
        <v>135.05500000000001</v>
      </c>
      <c r="R1840" t="b">
        <f>AND(ISNUMBER(FIND($E1840,Tables!$I$2)), ISNUMBER(FIND($D1840,Tables!$J$2)), $E1840&lt;&gt;"")</f>
        <v>0</v>
      </c>
    </row>
    <row r="1841" spans="1:18" x14ac:dyDescent="0.3">
      <c r="A1841">
        <f t="shared" si="146"/>
        <v>1824</v>
      </c>
      <c r="B1841" s="4"/>
      <c r="I1841" s="8"/>
      <c r="J1841" s="5" t="str">
        <f t="shared" si="144"/>
        <v/>
      </c>
      <c r="K1841" s="3"/>
      <c r="L1841" s="3" t="str">
        <f t="shared" si="143"/>
        <v/>
      </c>
      <c r="N1841" s="3" t="str">
        <f t="shared" si="147"/>
        <v/>
      </c>
      <c r="O1841" s="6" t="str">
        <f t="shared" si="145"/>
        <v/>
      </c>
      <c r="P1841" s="7">
        <f ca="1">SUMIFS($N$2:$N1841,$B$2:$B1841,"&lt;&gt;"&amp;B1841)+SUM($Q$2:$Q1841)</f>
        <v>135.05500000000001</v>
      </c>
      <c r="R1841" t="b">
        <f>AND(ISNUMBER(FIND($E1841,Tables!$I$2)), ISNUMBER(FIND($D1841,Tables!$J$2)), $E1841&lt;&gt;"")</f>
        <v>0</v>
      </c>
    </row>
    <row r="1842" spans="1:18" x14ac:dyDescent="0.3">
      <c r="A1842">
        <f t="shared" si="146"/>
        <v>1825</v>
      </c>
      <c r="B1842" s="4"/>
      <c r="I1842" s="8"/>
      <c r="J1842" s="5" t="str">
        <f t="shared" si="144"/>
        <v/>
      </c>
      <c r="K1842" s="3"/>
      <c r="L1842" s="3" t="str">
        <f t="shared" ref="L1842:L1905" si="148">IFERROR(IF(K1842=0, "", IF(I1842&gt;0, K1842/100*I1842,K1842/I1842*-100)), "")</f>
        <v/>
      </c>
      <c r="N1842" s="3" t="str">
        <f t="shared" si="147"/>
        <v/>
      </c>
      <c r="O1842" s="6" t="str">
        <f t="shared" si="145"/>
        <v/>
      </c>
      <c r="P1842" s="7">
        <f ca="1">SUMIFS($N$2:$N1842,$B$2:$B1842,"&lt;&gt;"&amp;B1842)+SUM($Q$2:$Q1842)</f>
        <v>135.05500000000001</v>
      </c>
      <c r="R1842" t="b">
        <f>AND(ISNUMBER(FIND($E1842,Tables!$I$2)), ISNUMBER(FIND($D1842,Tables!$J$2)), $E1842&lt;&gt;"")</f>
        <v>0</v>
      </c>
    </row>
    <row r="1843" spans="1:18" x14ac:dyDescent="0.3">
      <c r="A1843">
        <f t="shared" si="146"/>
        <v>1826</v>
      </c>
      <c r="B1843" s="4"/>
      <c r="I1843" s="8"/>
      <c r="J1843" s="5" t="str">
        <f t="shared" si="144"/>
        <v/>
      </c>
      <c r="K1843" s="3"/>
      <c r="L1843" s="3" t="str">
        <f t="shared" si="148"/>
        <v/>
      </c>
      <c r="N1843" s="3" t="str">
        <f t="shared" si="147"/>
        <v/>
      </c>
      <c r="O1843" s="6" t="str">
        <f t="shared" si="145"/>
        <v/>
      </c>
      <c r="P1843" s="7">
        <f ca="1">SUMIFS($N$2:$N1843,$B$2:$B1843,"&lt;&gt;"&amp;B1843)+SUM($Q$2:$Q1843)</f>
        <v>135.05500000000001</v>
      </c>
      <c r="R1843" t="b">
        <f>AND(ISNUMBER(FIND($E1843,Tables!$I$2)), ISNUMBER(FIND($D1843,Tables!$J$2)), $E1843&lt;&gt;"")</f>
        <v>0</v>
      </c>
    </row>
    <row r="1844" spans="1:18" x14ac:dyDescent="0.3">
      <c r="A1844">
        <f t="shared" si="146"/>
        <v>1827</v>
      </c>
      <c r="B1844" s="4"/>
      <c r="I1844" s="8"/>
      <c r="J1844" s="5" t="str">
        <f t="shared" si="144"/>
        <v/>
      </c>
      <c r="K1844" s="3"/>
      <c r="L1844" s="3" t="str">
        <f t="shared" si="148"/>
        <v/>
      </c>
      <c r="N1844" s="3" t="str">
        <f t="shared" si="147"/>
        <v/>
      </c>
      <c r="O1844" s="6" t="str">
        <f t="shared" si="145"/>
        <v/>
      </c>
      <c r="P1844" s="7">
        <f ca="1">SUMIFS($N$2:$N1844,$B$2:$B1844,"&lt;&gt;"&amp;B1844)+SUM($Q$2:$Q1844)</f>
        <v>135.05500000000001</v>
      </c>
      <c r="R1844" t="b">
        <f>AND(ISNUMBER(FIND($E1844,Tables!$I$2)), ISNUMBER(FIND($D1844,Tables!$J$2)), $E1844&lt;&gt;"")</f>
        <v>0</v>
      </c>
    </row>
    <row r="1845" spans="1:18" x14ac:dyDescent="0.3">
      <c r="A1845">
        <f t="shared" si="146"/>
        <v>1828</v>
      </c>
      <c r="B1845" s="4"/>
      <c r="I1845" s="8"/>
      <c r="J1845" s="5" t="str">
        <f t="shared" si="144"/>
        <v/>
      </c>
      <c r="K1845" s="3"/>
      <c r="L1845" s="3" t="str">
        <f t="shared" si="148"/>
        <v/>
      </c>
      <c r="N1845" s="3" t="str">
        <f t="shared" si="147"/>
        <v/>
      </c>
      <c r="O1845" s="6" t="str">
        <f t="shared" si="145"/>
        <v/>
      </c>
      <c r="P1845" s="7">
        <f ca="1">SUMIFS($N$2:$N1845,$B$2:$B1845,"&lt;&gt;"&amp;B1845)+SUM($Q$2:$Q1845)</f>
        <v>135.05500000000001</v>
      </c>
      <c r="R1845" t="b">
        <f>AND(ISNUMBER(FIND($E1845,Tables!$I$2)), ISNUMBER(FIND($D1845,Tables!$J$2)), $E1845&lt;&gt;"")</f>
        <v>0</v>
      </c>
    </row>
    <row r="1846" spans="1:18" x14ac:dyDescent="0.3">
      <c r="A1846">
        <f t="shared" si="146"/>
        <v>1829</v>
      </c>
      <c r="B1846" s="4"/>
      <c r="I1846" s="8"/>
      <c r="J1846" s="5" t="str">
        <f t="shared" si="144"/>
        <v/>
      </c>
      <c r="K1846" s="3"/>
      <c r="L1846" s="3" t="str">
        <f t="shared" si="148"/>
        <v/>
      </c>
      <c r="N1846" s="3" t="str">
        <f t="shared" si="147"/>
        <v/>
      </c>
      <c r="O1846" s="6" t="str">
        <f t="shared" si="145"/>
        <v/>
      </c>
      <c r="P1846" s="7">
        <f ca="1">SUMIFS($N$2:$N1846,$B$2:$B1846,"&lt;&gt;"&amp;B1846)+SUM($Q$2:$Q1846)</f>
        <v>135.05500000000001</v>
      </c>
      <c r="R1846" t="b">
        <f>AND(ISNUMBER(FIND($E1846,Tables!$I$2)), ISNUMBER(FIND($D1846,Tables!$J$2)), $E1846&lt;&gt;"")</f>
        <v>0</v>
      </c>
    </row>
    <row r="1847" spans="1:18" x14ac:dyDescent="0.3">
      <c r="A1847">
        <f t="shared" si="146"/>
        <v>1830</v>
      </c>
      <c r="B1847" s="4"/>
      <c r="I1847" s="8"/>
      <c r="J1847" s="5" t="str">
        <f t="shared" si="144"/>
        <v/>
      </c>
      <c r="K1847" s="3"/>
      <c r="L1847" s="3" t="str">
        <f t="shared" si="148"/>
        <v/>
      </c>
      <c r="N1847" s="3" t="str">
        <f t="shared" si="147"/>
        <v/>
      </c>
      <c r="O1847" s="6" t="str">
        <f t="shared" si="145"/>
        <v/>
      </c>
      <c r="P1847" s="7">
        <f ca="1">SUMIFS($N$2:$N1847,$B$2:$B1847,"&lt;&gt;"&amp;B1847)+SUM($Q$2:$Q1847)</f>
        <v>135.05500000000001</v>
      </c>
      <c r="R1847" t="b">
        <f>AND(ISNUMBER(FIND($E1847,Tables!$I$2)), ISNUMBER(FIND($D1847,Tables!$J$2)), $E1847&lt;&gt;"")</f>
        <v>0</v>
      </c>
    </row>
    <row r="1848" spans="1:18" x14ac:dyDescent="0.3">
      <c r="A1848">
        <f t="shared" si="146"/>
        <v>1831</v>
      </c>
      <c r="B1848" s="4"/>
      <c r="I1848" s="8"/>
      <c r="J1848" s="5" t="str">
        <f t="shared" si="144"/>
        <v/>
      </c>
      <c r="K1848" s="3"/>
      <c r="L1848" s="3" t="str">
        <f t="shared" si="148"/>
        <v/>
      </c>
      <c r="N1848" s="3" t="str">
        <f t="shared" si="147"/>
        <v/>
      </c>
      <c r="O1848" s="6" t="str">
        <f t="shared" si="145"/>
        <v/>
      </c>
      <c r="P1848" s="7">
        <f ca="1">SUMIFS($N$2:$N1848,$B$2:$B1848,"&lt;&gt;"&amp;B1848)+SUM($Q$2:$Q1848)</f>
        <v>135.05500000000001</v>
      </c>
      <c r="R1848" t="b">
        <f>AND(ISNUMBER(FIND($E1848,Tables!$I$2)), ISNUMBER(FIND($D1848,Tables!$J$2)), $E1848&lt;&gt;"")</f>
        <v>0</v>
      </c>
    </row>
    <row r="1849" spans="1:18" x14ac:dyDescent="0.3">
      <c r="A1849">
        <f t="shared" si="146"/>
        <v>1832</v>
      </c>
      <c r="B1849" s="4"/>
      <c r="I1849" s="8"/>
      <c r="J1849" s="5" t="str">
        <f t="shared" si="144"/>
        <v/>
      </c>
      <c r="K1849" s="3"/>
      <c r="L1849" s="3" t="str">
        <f t="shared" si="148"/>
        <v/>
      </c>
      <c r="N1849" s="3" t="str">
        <f t="shared" si="147"/>
        <v/>
      </c>
      <c r="O1849" s="6" t="str">
        <f t="shared" si="145"/>
        <v/>
      </c>
      <c r="P1849" s="7">
        <f ca="1">SUMIFS($N$2:$N1849,$B$2:$B1849,"&lt;&gt;"&amp;B1849)+SUM($Q$2:$Q1849)</f>
        <v>135.05500000000001</v>
      </c>
      <c r="R1849" t="b">
        <f>AND(ISNUMBER(FIND($E1849,Tables!$I$2)), ISNUMBER(FIND($D1849,Tables!$J$2)), $E1849&lt;&gt;"")</f>
        <v>0</v>
      </c>
    </row>
    <row r="1850" spans="1:18" x14ac:dyDescent="0.3">
      <c r="A1850">
        <f t="shared" si="146"/>
        <v>1833</v>
      </c>
      <c r="B1850" s="4"/>
      <c r="I1850" s="8"/>
      <c r="J1850" s="5" t="str">
        <f t="shared" si="144"/>
        <v/>
      </c>
      <c r="K1850" s="3"/>
      <c r="L1850" s="3" t="str">
        <f t="shared" si="148"/>
        <v/>
      </c>
      <c r="N1850" s="3" t="str">
        <f t="shared" si="147"/>
        <v/>
      </c>
      <c r="O1850" s="6" t="str">
        <f t="shared" si="145"/>
        <v/>
      </c>
      <c r="P1850" s="7">
        <f ca="1">SUMIFS($N$2:$N1850,$B$2:$B1850,"&lt;&gt;"&amp;B1850)+SUM($Q$2:$Q1850)</f>
        <v>135.05500000000001</v>
      </c>
      <c r="R1850" t="b">
        <f>AND(ISNUMBER(FIND($E1850,Tables!$I$2)), ISNUMBER(FIND($D1850,Tables!$J$2)), $E1850&lt;&gt;"")</f>
        <v>0</v>
      </c>
    </row>
    <row r="1851" spans="1:18" x14ac:dyDescent="0.3">
      <c r="A1851">
        <f t="shared" si="146"/>
        <v>1834</v>
      </c>
      <c r="B1851" s="4"/>
      <c r="I1851" s="8"/>
      <c r="J1851" s="5" t="str">
        <f t="shared" si="144"/>
        <v/>
      </c>
      <c r="K1851" s="3"/>
      <c r="L1851" s="3" t="str">
        <f t="shared" si="148"/>
        <v/>
      </c>
      <c r="N1851" s="3" t="str">
        <f t="shared" si="147"/>
        <v/>
      </c>
      <c r="O1851" s="6" t="str">
        <f t="shared" si="145"/>
        <v/>
      </c>
      <c r="P1851" s="7">
        <f ca="1">SUMIFS($N$2:$N1851,$B$2:$B1851,"&lt;&gt;"&amp;B1851)+SUM($Q$2:$Q1851)</f>
        <v>135.05500000000001</v>
      </c>
      <c r="R1851" t="b">
        <f>AND(ISNUMBER(FIND($E1851,Tables!$I$2)), ISNUMBER(FIND($D1851,Tables!$J$2)), $E1851&lt;&gt;"")</f>
        <v>0</v>
      </c>
    </row>
    <row r="1852" spans="1:18" x14ac:dyDescent="0.3">
      <c r="A1852">
        <f t="shared" si="146"/>
        <v>1835</v>
      </c>
      <c r="B1852" s="4"/>
      <c r="I1852" s="8"/>
      <c r="J1852" s="5" t="str">
        <f t="shared" si="144"/>
        <v/>
      </c>
      <c r="K1852" s="3"/>
      <c r="L1852" s="3" t="str">
        <f t="shared" si="148"/>
        <v/>
      </c>
      <c r="N1852" s="3" t="str">
        <f t="shared" si="147"/>
        <v/>
      </c>
      <c r="O1852" s="6" t="str">
        <f t="shared" si="145"/>
        <v/>
      </c>
      <c r="P1852" s="7">
        <f ca="1">SUMIFS($N$2:$N1852,$B$2:$B1852,"&lt;&gt;"&amp;B1852)+SUM($Q$2:$Q1852)</f>
        <v>135.05500000000001</v>
      </c>
      <c r="R1852" t="b">
        <f>AND(ISNUMBER(FIND($E1852,Tables!$I$2)), ISNUMBER(FIND($D1852,Tables!$J$2)), $E1852&lt;&gt;"")</f>
        <v>0</v>
      </c>
    </row>
    <row r="1853" spans="1:18" x14ac:dyDescent="0.3">
      <c r="A1853">
        <f t="shared" si="146"/>
        <v>1836</v>
      </c>
      <c r="B1853" s="4"/>
      <c r="I1853" s="8"/>
      <c r="J1853" s="5" t="str">
        <f t="shared" si="144"/>
        <v/>
      </c>
      <c r="K1853" s="3"/>
      <c r="L1853" s="3" t="str">
        <f t="shared" si="148"/>
        <v/>
      </c>
      <c r="N1853" s="3" t="str">
        <f t="shared" si="147"/>
        <v/>
      </c>
      <c r="O1853" s="6" t="str">
        <f t="shared" si="145"/>
        <v/>
      </c>
      <c r="P1853" s="7">
        <f ca="1">SUMIFS($N$2:$N1853,$B$2:$B1853,"&lt;&gt;"&amp;B1853)+SUM($Q$2:$Q1853)</f>
        <v>135.05500000000001</v>
      </c>
      <c r="R1853" t="b">
        <f>AND(ISNUMBER(FIND($E1853,Tables!$I$2)), ISNUMBER(FIND($D1853,Tables!$J$2)), $E1853&lt;&gt;"")</f>
        <v>0</v>
      </c>
    </row>
    <row r="1854" spans="1:18" x14ac:dyDescent="0.3">
      <c r="A1854">
        <f t="shared" si="146"/>
        <v>1837</v>
      </c>
      <c r="B1854" s="4"/>
      <c r="I1854" s="8"/>
      <c r="J1854" s="5" t="str">
        <f t="shared" si="144"/>
        <v/>
      </c>
      <c r="K1854" s="3"/>
      <c r="L1854" s="3" t="str">
        <f t="shared" si="148"/>
        <v/>
      </c>
      <c r="N1854" s="3" t="str">
        <f t="shared" si="147"/>
        <v/>
      </c>
      <c r="O1854" s="6" t="str">
        <f t="shared" si="145"/>
        <v/>
      </c>
      <c r="P1854" s="7">
        <f ca="1">SUMIFS($N$2:$N1854,$B$2:$B1854,"&lt;&gt;"&amp;B1854)+SUM($Q$2:$Q1854)</f>
        <v>135.05500000000001</v>
      </c>
      <c r="R1854" t="b">
        <f>AND(ISNUMBER(FIND($E1854,Tables!$I$2)), ISNUMBER(FIND($D1854,Tables!$J$2)), $E1854&lt;&gt;"")</f>
        <v>0</v>
      </c>
    </row>
    <row r="1855" spans="1:18" x14ac:dyDescent="0.3">
      <c r="A1855">
        <f t="shared" si="146"/>
        <v>1838</v>
      </c>
      <c r="B1855" s="4"/>
      <c r="I1855" s="8"/>
      <c r="J1855" s="5" t="str">
        <f t="shared" si="144"/>
        <v/>
      </c>
      <c r="K1855" s="3"/>
      <c r="L1855" s="3" t="str">
        <f t="shared" si="148"/>
        <v/>
      </c>
      <c r="N1855" s="3" t="str">
        <f t="shared" si="147"/>
        <v/>
      </c>
      <c r="O1855" s="6" t="str">
        <f t="shared" si="145"/>
        <v/>
      </c>
      <c r="P1855" s="7">
        <f ca="1">SUMIFS($N$2:$N1855,$B$2:$B1855,"&lt;&gt;"&amp;B1855)+SUM($Q$2:$Q1855)</f>
        <v>135.05500000000001</v>
      </c>
      <c r="R1855" t="b">
        <f>AND(ISNUMBER(FIND($E1855,Tables!$I$2)), ISNUMBER(FIND($D1855,Tables!$J$2)), $E1855&lt;&gt;"")</f>
        <v>0</v>
      </c>
    </row>
    <row r="1856" spans="1:18" x14ac:dyDescent="0.3">
      <c r="A1856">
        <f t="shared" si="146"/>
        <v>1839</v>
      </c>
      <c r="B1856" s="4"/>
      <c r="I1856" s="8"/>
      <c r="J1856" s="5" t="str">
        <f t="shared" si="144"/>
        <v/>
      </c>
      <c r="K1856" s="3"/>
      <c r="L1856" s="3" t="str">
        <f t="shared" si="148"/>
        <v/>
      </c>
      <c r="N1856" s="3" t="str">
        <f t="shared" si="147"/>
        <v/>
      </c>
      <c r="O1856" s="6" t="str">
        <f t="shared" si="145"/>
        <v/>
      </c>
      <c r="P1856" s="7">
        <f ca="1">SUMIFS($N$2:$N1856,$B$2:$B1856,"&lt;&gt;"&amp;B1856)+SUM($Q$2:$Q1856)</f>
        <v>135.05500000000001</v>
      </c>
      <c r="R1856" t="b">
        <f>AND(ISNUMBER(FIND($E1856,Tables!$I$2)), ISNUMBER(FIND($D1856,Tables!$J$2)), $E1856&lt;&gt;"")</f>
        <v>0</v>
      </c>
    </row>
    <row r="1857" spans="1:18" x14ac:dyDescent="0.3">
      <c r="A1857">
        <f t="shared" si="146"/>
        <v>1840</v>
      </c>
      <c r="B1857" s="4"/>
      <c r="I1857" s="8"/>
      <c r="J1857" s="5" t="str">
        <f t="shared" si="144"/>
        <v/>
      </c>
      <c r="K1857" s="3"/>
      <c r="L1857" s="3" t="str">
        <f t="shared" si="148"/>
        <v/>
      </c>
      <c r="N1857" s="3" t="str">
        <f t="shared" si="147"/>
        <v/>
      </c>
      <c r="O1857" s="6" t="str">
        <f t="shared" si="145"/>
        <v/>
      </c>
      <c r="P1857" s="7">
        <f ca="1">SUMIFS($N$2:$N1857,$B$2:$B1857,"&lt;&gt;"&amp;B1857)+SUM($Q$2:$Q1857)</f>
        <v>135.05500000000001</v>
      </c>
      <c r="R1857" t="b">
        <f>AND(ISNUMBER(FIND($E1857,Tables!$I$2)), ISNUMBER(FIND($D1857,Tables!$J$2)), $E1857&lt;&gt;"")</f>
        <v>0</v>
      </c>
    </row>
    <row r="1858" spans="1:18" x14ac:dyDescent="0.3">
      <c r="A1858">
        <f t="shared" si="146"/>
        <v>1841</v>
      </c>
      <c r="B1858" s="4"/>
      <c r="I1858" s="8"/>
      <c r="J1858" s="5" t="str">
        <f t="shared" ref="J1858:J1871" si="149">IF(I1858="", "", IF(I1858&gt;0, I1858/100 +1, -100/I1858 +1))</f>
        <v/>
      </c>
      <c r="K1858" s="3"/>
      <c r="L1858" s="3" t="str">
        <f t="shared" si="148"/>
        <v/>
      </c>
      <c r="N1858" s="3" t="str">
        <f t="shared" si="147"/>
        <v/>
      </c>
      <c r="O1858" s="6" t="str">
        <f t="shared" ref="O1858:O1921" si="150">IFERROR(K1858/VLOOKUP(_xlfn.MINIFS(A:A,B:B,B1858,C:C,C1858),A:P,16),"")</f>
        <v/>
      </c>
      <c r="P1858" s="7">
        <f ca="1">SUMIFS($N$2:$N1858,$B$2:$B1858,"&lt;&gt;"&amp;B1858)+SUM($Q$2:$Q1858)</f>
        <v>135.05500000000001</v>
      </c>
      <c r="R1858" t="b">
        <f>AND(ISNUMBER(FIND($E1858,Tables!$I$2)), ISNUMBER(FIND($D1858,Tables!$J$2)), $E1858&lt;&gt;"")</f>
        <v>0</v>
      </c>
    </row>
    <row r="1859" spans="1:18" x14ac:dyDescent="0.3">
      <c r="A1859">
        <f t="shared" si="146"/>
        <v>1842</v>
      </c>
      <c r="B1859" s="4"/>
      <c r="I1859" s="8"/>
      <c r="J1859" s="5" t="str">
        <f t="shared" si="149"/>
        <v/>
      </c>
      <c r="K1859" s="3"/>
      <c r="L1859" s="3" t="str">
        <f t="shared" si="148"/>
        <v/>
      </c>
      <c r="N1859" s="3" t="str">
        <f t="shared" si="147"/>
        <v/>
      </c>
      <c r="O1859" s="6" t="str">
        <f t="shared" si="150"/>
        <v/>
      </c>
      <c r="P1859" s="7">
        <f ca="1">SUMIFS($N$2:$N1859,$B$2:$B1859,"&lt;&gt;"&amp;B1859)+SUM($Q$2:$Q1859)</f>
        <v>135.05500000000001</v>
      </c>
      <c r="R1859" t="b">
        <f>AND(ISNUMBER(FIND($E1859,Tables!$I$2)), ISNUMBER(FIND($D1859,Tables!$J$2)), $E1859&lt;&gt;"")</f>
        <v>0</v>
      </c>
    </row>
    <row r="1860" spans="1:18" x14ac:dyDescent="0.3">
      <c r="A1860">
        <f t="shared" si="146"/>
        <v>1843</v>
      </c>
      <c r="B1860" s="4"/>
      <c r="I1860" s="8"/>
      <c r="J1860" s="5" t="str">
        <f t="shared" si="149"/>
        <v/>
      </c>
      <c r="K1860" s="3"/>
      <c r="L1860" s="3" t="str">
        <f t="shared" si="148"/>
        <v/>
      </c>
      <c r="N1860" s="3" t="str">
        <f t="shared" si="147"/>
        <v/>
      </c>
      <c r="O1860" s="6" t="str">
        <f t="shared" si="150"/>
        <v/>
      </c>
      <c r="P1860" s="7">
        <f ca="1">SUMIFS($N$2:$N1860,$B$2:$B1860,"&lt;&gt;"&amp;B1860)+SUM($Q$2:$Q1860)</f>
        <v>135.05500000000001</v>
      </c>
      <c r="R1860" t="b">
        <f>AND(ISNUMBER(FIND($E1860,Tables!$I$2)), ISNUMBER(FIND($D1860,Tables!$J$2)), $E1860&lt;&gt;"")</f>
        <v>0</v>
      </c>
    </row>
    <row r="1861" spans="1:18" x14ac:dyDescent="0.3">
      <c r="A1861">
        <f t="shared" si="146"/>
        <v>1844</v>
      </c>
      <c r="B1861" s="4"/>
      <c r="I1861" s="8"/>
      <c r="J1861" s="5" t="str">
        <f t="shared" si="149"/>
        <v/>
      </c>
      <c r="K1861" s="3"/>
      <c r="L1861" s="3" t="str">
        <f t="shared" si="148"/>
        <v/>
      </c>
      <c r="N1861" s="3" t="str">
        <f t="shared" si="147"/>
        <v/>
      </c>
      <c r="O1861" s="6" t="str">
        <f t="shared" si="150"/>
        <v/>
      </c>
      <c r="P1861" s="7">
        <f ca="1">SUMIFS($N$2:$N1861,$B$2:$B1861,"&lt;&gt;"&amp;B1861)+SUM($Q$2:$Q1861)</f>
        <v>135.05500000000001</v>
      </c>
      <c r="R1861" t="b">
        <f>AND(ISNUMBER(FIND($E1861,Tables!$I$2)), ISNUMBER(FIND($D1861,Tables!$J$2)), $E1861&lt;&gt;"")</f>
        <v>0</v>
      </c>
    </row>
    <row r="1862" spans="1:18" x14ac:dyDescent="0.3">
      <c r="A1862">
        <f t="shared" si="146"/>
        <v>1845</v>
      </c>
      <c r="B1862" s="4"/>
      <c r="I1862" s="8"/>
      <c r="J1862" s="5" t="str">
        <f t="shared" si="149"/>
        <v/>
      </c>
      <c r="K1862" s="3"/>
      <c r="L1862" s="3" t="str">
        <f t="shared" si="148"/>
        <v/>
      </c>
      <c r="N1862" s="3" t="str">
        <f t="shared" si="147"/>
        <v/>
      </c>
      <c r="O1862" s="6" t="str">
        <f t="shared" si="150"/>
        <v/>
      </c>
      <c r="P1862" s="7">
        <f ca="1">SUMIFS($N$2:$N1862,$B$2:$B1862,"&lt;&gt;"&amp;B1862)+SUM($Q$2:$Q1862)</f>
        <v>135.05500000000001</v>
      </c>
      <c r="R1862" t="b">
        <f>AND(ISNUMBER(FIND($E1862,Tables!$I$2)), ISNUMBER(FIND($D1862,Tables!$J$2)), $E1862&lt;&gt;"")</f>
        <v>0</v>
      </c>
    </row>
    <row r="1863" spans="1:18" x14ac:dyDescent="0.3">
      <c r="A1863">
        <f t="shared" si="146"/>
        <v>1846</v>
      </c>
      <c r="B1863" s="4"/>
      <c r="I1863" s="8"/>
      <c r="J1863" s="5" t="str">
        <f t="shared" si="149"/>
        <v/>
      </c>
      <c r="K1863" s="3"/>
      <c r="L1863" s="3" t="str">
        <f t="shared" si="148"/>
        <v/>
      </c>
      <c r="N1863" s="3" t="str">
        <f t="shared" si="147"/>
        <v/>
      </c>
      <c r="O1863" s="6" t="str">
        <f t="shared" si="150"/>
        <v/>
      </c>
      <c r="P1863" s="7">
        <f ca="1">SUMIFS($N$2:$N1863,$B$2:$B1863,"&lt;&gt;"&amp;B1863)+SUM($Q$2:$Q1863)</f>
        <v>135.05500000000001</v>
      </c>
      <c r="R1863" t="b">
        <f>AND(ISNUMBER(FIND($E1863,Tables!$I$2)), ISNUMBER(FIND($D1863,Tables!$J$2)), $E1863&lt;&gt;"")</f>
        <v>0</v>
      </c>
    </row>
    <row r="1864" spans="1:18" x14ac:dyDescent="0.3">
      <c r="A1864">
        <f t="shared" si="146"/>
        <v>1847</v>
      </c>
      <c r="B1864" s="4"/>
      <c r="I1864" s="8"/>
      <c r="J1864" s="5" t="str">
        <f t="shared" si="149"/>
        <v/>
      </c>
      <c r="K1864" s="3"/>
      <c r="L1864" s="3" t="str">
        <f t="shared" si="148"/>
        <v/>
      </c>
      <c r="N1864" s="3" t="str">
        <f t="shared" si="147"/>
        <v/>
      </c>
      <c r="O1864" s="6" t="str">
        <f t="shared" si="150"/>
        <v/>
      </c>
      <c r="P1864" s="7">
        <f ca="1">SUMIFS($N$2:$N1864,$B$2:$B1864,"&lt;&gt;"&amp;B1864)+SUM($Q$2:$Q1864)</f>
        <v>135.05500000000001</v>
      </c>
      <c r="R1864" t="b">
        <f>AND(ISNUMBER(FIND($E1864,Tables!$I$2)), ISNUMBER(FIND($D1864,Tables!$J$2)), $E1864&lt;&gt;"")</f>
        <v>0</v>
      </c>
    </row>
    <row r="1865" spans="1:18" x14ac:dyDescent="0.3">
      <c r="A1865">
        <f t="shared" si="146"/>
        <v>1848</v>
      </c>
      <c r="B1865" s="4"/>
      <c r="I1865" s="8"/>
      <c r="J1865" s="5" t="str">
        <f t="shared" si="149"/>
        <v/>
      </c>
      <c r="K1865" s="3"/>
      <c r="L1865" s="3" t="str">
        <f t="shared" si="148"/>
        <v/>
      </c>
      <c r="N1865" s="3" t="str">
        <f t="shared" si="147"/>
        <v/>
      </c>
      <c r="O1865" s="6" t="str">
        <f t="shared" si="150"/>
        <v/>
      </c>
      <c r="P1865" s="7">
        <f ca="1">SUMIFS($N$2:$N1865,$B$2:$B1865,"&lt;&gt;"&amp;B1865)+SUM($Q$2:$Q1865)</f>
        <v>135.05500000000001</v>
      </c>
      <c r="R1865" t="b">
        <f>AND(ISNUMBER(FIND($E1865,Tables!$I$2)), ISNUMBER(FIND($D1865,Tables!$J$2)), $E1865&lt;&gt;"")</f>
        <v>0</v>
      </c>
    </row>
    <row r="1866" spans="1:18" x14ac:dyDescent="0.3">
      <c r="A1866">
        <f t="shared" si="146"/>
        <v>1849</v>
      </c>
      <c r="B1866" s="4"/>
      <c r="I1866" s="8"/>
      <c r="J1866" s="5" t="str">
        <f t="shared" si="149"/>
        <v/>
      </c>
      <c r="K1866" s="3"/>
      <c r="L1866" s="3" t="str">
        <f t="shared" si="148"/>
        <v/>
      </c>
      <c r="N1866" s="3" t="str">
        <f t="shared" si="147"/>
        <v/>
      </c>
      <c r="O1866" s="6" t="str">
        <f t="shared" si="150"/>
        <v/>
      </c>
      <c r="P1866" s="7">
        <f ca="1">SUMIFS($N$2:$N1866,$B$2:$B1866,"&lt;&gt;"&amp;B1866)+SUM($Q$2:$Q1866)</f>
        <v>135.05500000000001</v>
      </c>
      <c r="R1866" t="b">
        <f>AND(ISNUMBER(FIND($E1866,Tables!$I$2)), ISNUMBER(FIND($D1866,Tables!$J$2)), $E1866&lt;&gt;"")</f>
        <v>0</v>
      </c>
    </row>
    <row r="1867" spans="1:18" x14ac:dyDescent="0.3">
      <c r="A1867">
        <f t="shared" si="146"/>
        <v>1850</v>
      </c>
      <c r="B1867" s="4"/>
      <c r="I1867" s="8"/>
      <c r="J1867" s="5" t="str">
        <f t="shared" si="149"/>
        <v/>
      </c>
      <c r="K1867" s="3"/>
      <c r="L1867" s="3" t="str">
        <f t="shared" si="148"/>
        <v/>
      </c>
      <c r="N1867" s="3" t="str">
        <f t="shared" si="147"/>
        <v/>
      </c>
      <c r="O1867" s="6" t="str">
        <f t="shared" si="150"/>
        <v/>
      </c>
      <c r="P1867" s="7">
        <f ca="1">SUMIFS($N$2:$N1867,$B$2:$B1867,"&lt;&gt;"&amp;B1867)+SUM($Q$2:$Q1867)</f>
        <v>135.05500000000001</v>
      </c>
      <c r="R1867" t="b">
        <f>AND(ISNUMBER(FIND($E1867,Tables!$I$2)), ISNUMBER(FIND($D1867,Tables!$J$2)), $E1867&lt;&gt;"")</f>
        <v>0</v>
      </c>
    </row>
    <row r="1868" spans="1:18" x14ac:dyDescent="0.3">
      <c r="A1868">
        <f t="shared" si="146"/>
        <v>1851</v>
      </c>
      <c r="B1868" s="4"/>
      <c r="I1868" s="8"/>
      <c r="J1868" s="5" t="str">
        <f t="shared" si="149"/>
        <v/>
      </c>
      <c r="K1868" s="3"/>
      <c r="L1868" s="3" t="str">
        <f t="shared" si="148"/>
        <v/>
      </c>
      <c r="N1868" s="3" t="str">
        <f t="shared" si="147"/>
        <v/>
      </c>
      <c r="O1868" s="6" t="str">
        <f t="shared" si="150"/>
        <v/>
      </c>
      <c r="P1868" s="7">
        <f ca="1">SUMIFS($N$2:$N1868,$B$2:$B1868,"&lt;&gt;"&amp;B1868)+SUM($Q$2:$Q1868)</f>
        <v>135.05500000000001</v>
      </c>
      <c r="R1868" t="b">
        <f>AND(ISNUMBER(FIND($E1868,Tables!$I$2)), ISNUMBER(FIND($D1868,Tables!$J$2)), $E1868&lt;&gt;"")</f>
        <v>0</v>
      </c>
    </row>
    <row r="1869" spans="1:18" x14ac:dyDescent="0.3">
      <c r="A1869">
        <f t="shared" si="146"/>
        <v>1852</v>
      </c>
      <c r="B1869" s="4"/>
      <c r="I1869" s="8"/>
      <c r="J1869" s="5" t="str">
        <f t="shared" si="149"/>
        <v/>
      </c>
      <c r="K1869" s="3"/>
      <c r="L1869" s="3" t="str">
        <f t="shared" si="148"/>
        <v/>
      </c>
      <c r="N1869" s="3" t="str">
        <f t="shared" si="147"/>
        <v/>
      </c>
      <c r="O1869" s="6" t="str">
        <f t="shared" si="150"/>
        <v/>
      </c>
      <c r="P1869" s="7">
        <f ca="1">SUMIFS($N$2:$N1869,$B$2:$B1869,"&lt;&gt;"&amp;B1869)+SUM($Q$2:$Q1869)</f>
        <v>135.05500000000001</v>
      </c>
      <c r="R1869" t="b">
        <f>AND(ISNUMBER(FIND($E1869,Tables!$I$2)), ISNUMBER(FIND($D1869,Tables!$J$2)), $E1869&lt;&gt;"")</f>
        <v>0</v>
      </c>
    </row>
    <row r="1870" spans="1:18" x14ac:dyDescent="0.3">
      <c r="A1870">
        <f t="shared" si="146"/>
        <v>1853</v>
      </c>
      <c r="B1870" s="4"/>
      <c r="I1870" s="8"/>
      <c r="J1870" s="5" t="str">
        <f t="shared" si="149"/>
        <v/>
      </c>
      <c r="K1870" s="3"/>
      <c r="L1870" s="3" t="str">
        <f t="shared" si="148"/>
        <v/>
      </c>
      <c r="N1870" s="3" t="str">
        <f t="shared" si="147"/>
        <v/>
      </c>
      <c r="O1870" s="6" t="str">
        <f t="shared" si="150"/>
        <v/>
      </c>
      <c r="P1870" s="7">
        <f ca="1">SUMIFS($N$2:$N1870,$B$2:$B1870,"&lt;&gt;"&amp;B1870)+SUM($Q$2:$Q1870)</f>
        <v>135.05500000000001</v>
      </c>
      <c r="R1870" t="b">
        <f>AND(ISNUMBER(FIND($E1870,Tables!$I$2)), ISNUMBER(FIND($D1870,Tables!$J$2)), $E1870&lt;&gt;"")</f>
        <v>0</v>
      </c>
    </row>
    <row r="1871" spans="1:18" x14ac:dyDescent="0.3">
      <c r="A1871">
        <f t="shared" si="146"/>
        <v>1854</v>
      </c>
      <c r="B1871" s="4"/>
      <c r="I1871" s="8"/>
      <c r="J1871" s="5" t="str">
        <f t="shared" si="149"/>
        <v/>
      </c>
      <c r="K1871" s="3"/>
      <c r="L1871" s="3" t="str">
        <f t="shared" si="148"/>
        <v/>
      </c>
      <c r="N1871" s="3" t="str">
        <f t="shared" si="147"/>
        <v/>
      </c>
      <c r="O1871" s="6" t="str">
        <f t="shared" si="150"/>
        <v/>
      </c>
      <c r="P1871" s="7">
        <f ca="1">SUMIFS($N$2:$N1871,$B$2:$B1871,"&lt;&gt;"&amp;B1871)+SUM($Q$2:$Q1871)</f>
        <v>135.05500000000001</v>
      </c>
      <c r="R1871" t="b">
        <f>AND(ISNUMBER(FIND($E1871,Tables!$I$2)), ISNUMBER(FIND($D1871,Tables!$J$2)), $E1871&lt;&gt;"")</f>
        <v>0</v>
      </c>
    </row>
    <row r="1872" spans="1:18" x14ac:dyDescent="0.3">
      <c r="A1872">
        <f t="shared" si="146"/>
        <v>1855</v>
      </c>
      <c r="B1872" s="4"/>
      <c r="I1872" s="8"/>
      <c r="J1872" s="5"/>
      <c r="K1872" s="3"/>
      <c r="L1872" s="3" t="str">
        <f t="shared" si="148"/>
        <v/>
      </c>
      <c r="N1872" s="3" t="str">
        <f t="shared" si="147"/>
        <v/>
      </c>
      <c r="O1872" s="6" t="str">
        <f t="shared" si="150"/>
        <v/>
      </c>
      <c r="P1872" s="7">
        <f ca="1">SUMIFS($N$2:$N1872,$B$2:$B1872,"&lt;&gt;"&amp;B1872)+SUM($Q$2:$Q1872)</f>
        <v>135.05500000000001</v>
      </c>
      <c r="R1872" t="b">
        <f>AND(ISNUMBER(FIND($E1872,Tables!$I$2)), ISNUMBER(FIND($D1872,Tables!$J$2)), $E1872&lt;&gt;"")</f>
        <v>0</v>
      </c>
    </row>
    <row r="1873" spans="1:18" x14ac:dyDescent="0.3">
      <c r="A1873">
        <f t="shared" si="146"/>
        <v>1856</v>
      </c>
      <c r="B1873" s="4"/>
      <c r="I1873" s="8"/>
      <c r="J1873" s="5"/>
      <c r="K1873" s="3"/>
      <c r="L1873" s="3" t="str">
        <f t="shared" si="148"/>
        <v/>
      </c>
      <c r="N1873" s="3" t="str">
        <f t="shared" si="147"/>
        <v/>
      </c>
      <c r="O1873" s="6" t="str">
        <f t="shared" si="150"/>
        <v/>
      </c>
      <c r="P1873" s="7">
        <f ca="1">SUMIFS($N$2:$N1873,$B$2:$B1873,"&lt;&gt;"&amp;B1873)+SUM($Q$2:$Q1873)</f>
        <v>135.05500000000001</v>
      </c>
      <c r="R1873" t="b">
        <f>AND(ISNUMBER(FIND($E1873,Tables!$I$2)), ISNUMBER(FIND($D1873,Tables!$J$2)), $E1873&lt;&gt;"")</f>
        <v>0</v>
      </c>
    </row>
    <row r="1874" spans="1:18" x14ac:dyDescent="0.3">
      <c r="A1874">
        <f t="shared" si="146"/>
        <v>1857</v>
      </c>
      <c r="B1874" s="4"/>
      <c r="I1874" s="8"/>
      <c r="J1874" s="5"/>
      <c r="K1874" s="3"/>
      <c r="L1874" s="3" t="str">
        <f t="shared" si="148"/>
        <v/>
      </c>
      <c r="N1874" s="3" t="str">
        <f t="shared" si="147"/>
        <v/>
      </c>
      <c r="O1874" s="6" t="str">
        <f t="shared" si="150"/>
        <v/>
      </c>
      <c r="P1874" s="7">
        <f ca="1">SUMIFS($N$2:$N1874,$B$2:$B1874,"&lt;&gt;"&amp;B1874)+SUM($Q$2:$Q1874)</f>
        <v>135.05500000000001</v>
      </c>
      <c r="R1874" t="b">
        <f>AND(ISNUMBER(FIND($E1874,Tables!$I$2)), ISNUMBER(FIND($D1874,Tables!$J$2)), $E1874&lt;&gt;"")</f>
        <v>0</v>
      </c>
    </row>
    <row r="1875" spans="1:18" x14ac:dyDescent="0.3">
      <c r="A1875">
        <f t="shared" si="146"/>
        <v>1858</v>
      </c>
      <c r="B1875" s="4"/>
      <c r="I1875" s="8"/>
      <c r="J1875" s="5"/>
      <c r="K1875" s="3"/>
      <c r="L1875" s="3" t="str">
        <f t="shared" si="148"/>
        <v/>
      </c>
      <c r="N1875" s="3" t="str">
        <f t="shared" si="147"/>
        <v/>
      </c>
      <c r="O1875" s="6" t="str">
        <f t="shared" si="150"/>
        <v/>
      </c>
      <c r="P1875" s="7">
        <f ca="1">SUMIFS($N$2:$N1875,$B$2:$B1875,"&lt;&gt;"&amp;B1875)+SUM($Q$2:$Q1875)</f>
        <v>135.05500000000001</v>
      </c>
      <c r="R1875" t="b">
        <f>AND(ISNUMBER(FIND($E1875,Tables!$I$2)), ISNUMBER(FIND($D1875,Tables!$J$2)), $E1875&lt;&gt;"")</f>
        <v>0</v>
      </c>
    </row>
    <row r="1876" spans="1:18" x14ac:dyDescent="0.3">
      <c r="A1876">
        <f t="shared" si="146"/>
        <v>1859</v>
      </c>
      <c r="B1876" s="4"/>
      <c r="I1876" s="8"/>
      <c r="J1876" s="5"/>
      <c r="K1876" s="3"/>
      <c r="L1876" s="3" t="str">
        <f t="shared" si="148"/>
        <v/>
      </c>
      <c r="N1876" s="3" t="str">
        <f t="shared" si="147"/>
        <v/>
      </c>
      <c r="O1876" s="6" t="str">
        <f t="shared" si="150"/>
        <v/>
      </c>
      <c r="P1876" s="7">
        <f ca="1">SUMIFS($N$2:$N1876,$B$2:$B1876,"&lt;&gt;"&amp;B1876)+SUM($Q$2:$Q1876)</f>
        <v>135.05500000000001</v>
      </c>
      <c r="R1876" t="b">
        <f>AND(ISNUMBER(FIND($E1876,Tables!$I$2)), ISNUMBER(FIND($D1876,Tables!$J$2)), $E1876&lt;&gt;"")</f>
        <v>0</v>
      </c>
    </row>
    <row r="1877" spans="1:18" x14ac:dyDescent="0.3">
      <c r="A1877">
        <f t="shared" si="146"/>
        <v>1860</v>
      </c>
      <c r="B1877" s="4"/>
      <c r="I1877" s="8"/>
      <c r="J1877" s="5"/>
      <c r="K1877" s="3"/>
      <c r="L1877" s="3" t="str">
        <f t="shared" si="148"/>
        <v/>
      </c>
      <c r="N1877" s="3" t="str">
        <f t="shared" si="147"/>
        <v/>
      </c>
      <c r="O1877" s="6" t="str">
        <f t="shared" si="150"/>
        <v/>
      </c>
      <c r="P1877" s="7">
        <f ca="1">SUMIFS($N$2:$N1877,$B$2:$B1877,"&lt;&gt;"&amp;B1877)+SUM($Q$2:$Q1877)</f>
        <v>135.05500000000001</v>
      </c>
      <c r="R1877" t="b">
        <f>AND(ISNUMBER(FIND($E1877,Tables!$I$2)), ISNUMBER(FIND($D1877,Tables!$J$2)), $E1877&lt;&gt;"")</f>
        <v>0</v>
      </c>
    </row>
    <row r="1878" spans="1:18" x14ac:dyDescent="0.3">
      <c r="A1878">
        <f t="shared" si="146"/>
        <v>1861</v>
      </c>
      <c r="B1878" s="4"/>
      <c r="I1878" s="8"/>
      <c r="J1878" s="5"/>
      <c r="K1878" s="3"/>
      <c r="L1878" s="3" t="str">
        <f t="shared" si="148"/>
        <v/>
      </c>
      <c r="N1878" s="3" t="str">
        <f t="shared" si="147"/>
        <v/>
      </c>
      <c r="O1878" s="6" t="str">
        <f t="shared" si="150"/>
        <v/>
      </c>
      <c r="P1878" s="7">
        <f ca="1">SUMIFS($N$2:$N1878,$B$2:$B1878,"&lt;&gt;"&amp;B1878)+SUM($Q$2:$Q1878)</f>
        <v>135.05500000000001</v>
      </c>
      <c r="R1878" t="b">
        <f>AND(ISNUMBER(FIND($E1878,Tables!$I$2)), ISNUMBER(FIND($D1878,Tables!$J$2)), $E1878&lt;&gt;"")</f>
        <v>0</v>
      </c>
    </row>
    <row r="1879" spans="1:18" x14ac:dyDescent="0.3">
      <c r="A1879">
        <f t="shared" si="146"/>
        <v>1862</v>
      </c>
      <c r="B1879" s="4"/>
      <c r="I1879" s="8"/>
      <c r="J1879" s="5"/>
      <c r="K1879" s="3"/>
      <c r="L1879" s="3" t="str">
        <f t="shared" si="148"/>
        <v/>
      </c>
      <c r="N1879" s="3" t="str">
        <f t="shared" si="147"/>
        <v/>
      </c>
      <c r="O1879" s="6" t="str">
        <f t="shared" si="150"/>
        <v/>
      </c>
      <c r="P1879" s="7">
        <f ca="1">SUMIFS($N$2:$N1879,$B$2:$B1879,"&lt;&gt;"&amp;B1879)+SUM($Q$2:$Q1879)</f>
        <v>135.05500000000001</v>
      </c>
      <c r="R1879" t="b">
        <f>AND(ISNUMBER(FIND($E1879,Tables!$I$2)), ISNUMBER(FIND($D1879,Tables!$J$2)), $E1879&lt;&gt;"")</f>
        <v>0</v>
      </c>
    </row>
    <row r="1880" spans="1:18" x14ac:dyDescent="0.3">
      <c r="A1880">
        <f t="shared" si="146"/>
        <v>1863</v>
      </c>
      <c r="B1880" s="4"/>
      <c r="I1880" s="8"/>
      <c r="J1880" s="5"/>
      <c r="K1880" s="3"/>
      <c r="L1880" s="3" t="str">
        <f t="shared" si="148"/>
        <v/>
      </c>
      <c r="N1880" s="3" t="str">
        <f t="shared" si="147"/>
        <v/>
      </c>
      <c r="O1880" s="6" t="str">
        <f t="shared" si="150"/>
        <v/>
      </c>
      <c r="P1880" s="7">
        <f ca="1">SUMIFS($N$2:$N1880,$B$2:$B1880,"&lt;&gt;"&amp;B1880)+SUM($Q$2:$Q1880)</f>
        <v>135.05500000000001</v>
      </c>
      <c r="R1880" t="b">
        <f>AND(ISNUMBER(FIND($E1880,Tables!$I$2)), ISNUMBER(FIND($D1880,Tables!$J$2)), $E1880&lt;&gt;"")</f>
        <v>0</v>
      </c>
    </row>
    <row r="1881" spans="1:18" x14ac:dyDescent="0.3">
      <c r="A1881">
        <f t="shared" si="146"/>
        <v>1864</v>
      </c>
      <c r="B1881" s="4"/>
      <c r="I1881" s="8"/>
      <c r="J1881" s="5"/>
      <c r="K1881" s="3"/>
      <c r="L1881" s="3" t="str">
        <f t="shared" si="148"/>
        <v/>
      </c>
      <c r="N1881" s="3" t="str">
        <f t="shared" si="147"/>
        <v/>
      </c>
      <c r="O1881" s="6" t="str">
        <f t="shared" si="150"/>
        <v/>
      </c>
      <c r="P1881" s="7">
        <f ca="1">SUMIFS($N$2:$N1881,$B$2:$B1881,"&lt;&gt;"&amp;B1881)+SUM($Q$2:$Q1881)</f>
        <v>135.05500000000001</v>
      </c>
      <c r="R1881" t="b">
        <f>AND(ISNUMBER(FIND($E1881,Tables!$I$2)), ISNUMBER(FIND($D1881,Tables!$J$2)), $E1881&lt;&gt;"")</f>
        <v>0</v>
      </c>
    </row>
    <row r="1882" spans="1:18" x14ac:dyDescent="0.3">
      <c r="A1882">
        <f t="shared" si="146"/>
        <v>1865</v>
      </c>
      <c r="B1882" s="4"/>
      <c r="I1882" s="8"/>
      <c r="J1882" s="5"/>
      <c r="K1882" s="3"/>
      <c r="L1882" s="3" t="str">
        <f t="shared" si="148"/>
        <v/>
      </c>
      <c r="N1882" s="3" t="str">
        <f t="shared" si="147"/>
        <v/>
      </c>
      <c r="O1882" s="6" t="str">
        <f t="shared" si="150"/>
        <v/>
      </c>
      <c r="P1882" s="7">
        <f ca="1">SUMIFS($N$2:$N1882,$B$2:$B1882,"&lt;&gt;"&amp;B1882)+SUM($Q$2:$Q1882)</f>
        <v>135.05500000000001</v>
      </c>
      <c r="R1882" t="b">
        <f>AND(ISNUMBER(FIND($E1882,Tables!$I$2)), ISNUMBER(FIND($D1882,Tables!$J$2)), $E1882&lt;&gt;"")</f>
        <v>0</v>
      </c>
    </row>
    <row r="1883" spans="1:18" x14ac:dyDescent="0.3">
      <c r="A1883">
        <f t="shared" si="146"/>
        <v>1866</v>
      </c>
      <c r="B1883" s="4"/>
      <c r="I1883" s="8"/>
      <c r="J1883" s="5"/>
      <c r="K1883" s="3"/>
      <c r="L1883" s="3" t="str">
        <f t="shared" si="148"/>
        <v/>
      </c>
      <c r="N1883" s="3" t="str">
        <f t="shared" si="147"/>
        <v/>
      </c>
      <c r="O1883" s="6" t="str">
        <f t="shared" si="150"/>
        <v/>
      </c>
      <c r="P1883" s="7">
        <f ca="1">SUMIFS($N$2:$N1883,$B$2:$B1883,"&lt;&gt;"&amp;B1883)+SUM($Q$2:$Q1883)</f>
        <v>135.05500000000001</v>
      </c>
      <c r="R1883" t="b">
        <f>AND(ISNUMBER(FIND($E1883,Tables!$I$2)), ISNUMBER(FIND($D1883,Tables!$J$2)), $E1883&lt;&gt;"")</f>
        <v>0</v>
      </c>
    </row>
    <row r="1884" spans="1:18" x14ac:dyDescent="0.3">
      <c r="A1884">
        <f t="shared" si="146"/>
        <v>1867</v>
      </c>
      <c r="B1884" s="4"/>
      <c r="I1884" s="8"/>
      <c r="J1884" s="5"/>
      <c r="K1884" s="3"/>
      <c r="L1884" s="3" t="str">
        <f t="shared" si="148"/>
        <v/>
      </c>
      <c r="N1884" s="3" t="str">
        <f t="shared" si="147"/>
        <v/>
      </c>
      <c r="O1884" s="6" t="str">
        <f t="shared" si="150"/>
        <v/>
      </c>
      <c r="P1884" s="7">
        <f ca="1">SUMIFS($N$2:$N1884,$B$2:$B1884,"&lt;&gt;"&amp;B1884)+SUM($Q$2:$Q1884)</f>
        <v>135.05500000000001</v>
      </c>
      <c r="R1884" t="b">
        <f>AND(ISNUMBER(FIND($E1884,Tables!$I$2)), ISNUMBER(FIND($D1884,Tables!$J$2)), $E1884&lt;&gt;"")</f>
        <v>0</v>
      </c>
    </row>
    <row r="1885" spans="1:18" x14ac:dyDescent="0.3">
      <c r="A1885">
        <f t="shared" si="146"/>
        <v>1868</v>
      </c>
      <c r="B1885" s="4"/>
      <c r="I1885" s="8"/>
      <c r="J1885" s="5"/>
      <c r="K1885" s="3"/>
      <c r="L1885" s="3" t="str">
        <f t="shared" si="148"/>
        <v/>
      </c>
      <c r="N1885" s="3" t="str">
        <f t="shared" si="147"/>
        <v/>
      </c>
      <c r="O1885" s="6" t="str">
        <f t="shared" si="150"/>
        <v/>
      </c>
      <c r="P1885" s="7">
        <f ca="1">SUMIFS($N$2:$N1885,$B$2:$B1885,"&lt;&gt;"&amp;B1885)+SUM($Q$2:$Q1885)</f>
        <v>135.05500000000001</v>
      </c>
      <c r="R1885" t="b">
        <f>AND(ISNUMBER(FIND($E1885,Tables!$I$2)), ISNUMBER(FIND($D1885,Tables!$J$2)), $E1885&lt;&gt;"")</f>
        <v>0</v>
      </c>
    </row>
    <row r="1886" spans="1:18" x14ac:dyDescent="0.3">
      <c r="A1886">
        <f t="shared" si="146"/>
        <v>1869</v>
      </c>
      <c r="B1886" s="4"/>
      <c r="I1886" s="8"/>
      <c r="J1886" s="5"/>
      <c r="K1886" s="3"/>
      <c r="L1886" s="3" t="str">
        <f t="shared" si="148"/>
        <v/>
      </c>
      <c r="N1886" s="3" t="str">
        <f t="shared" si="147"/>
        <v/>
      </c>
      <c r="O1886" s="6" t="str">
        <f t="shared" si="150"/>
        <v/>
      </c>
      <c r="P1886" s="7">
        <f ca="1">SUMIFS($N$2:$N1886,$B$2:$B1886,"&lt;&gt;"&amp;B1886)+SUM($Q$2:$Q1886)</f>
        <v>135.05500000000001</v>
      </c>
      <c r="R1886" t="b">
        <f>AND(ISNUMBER(FIND($E1886,Tables!$I$2)), ISNUMBER(FIND($D1886,Tables!$J$2)), $E1886&lt;&gt;"")</f>
        <v>0</v>
      </c>
    </row>
    <row r="1887" spans="1:18" x14ac:dyDescent="0.3">
      <c r="A1887">
        <f t="shared" si="146"/>
        <v>1870</v>
      </c>
      <c r="B1887" s="4"/>
      <c r="I1887" s="8"/>
      <c r="J1887" s="5"/>
      <c r="K1887" s="3"/>
      <c r="L1887" s="3" t="str">
        <f t="shared" si="148"/>
        <v/>
      </c>
      <c r="N1887" s="3" t="str">
        <f t="shared" si="147"/>
        <v/>
      </c>
      <c r="O1887" s="6" t="str">
        <f t="shared" si="150"/>
        <v/>
      </c>
      <c r="P1887" s="7">
        <f ca="1">SUMIFS($N$2:$N1887,$B$2:$B1887,"&lt;&gt;"&amp;B1887)+SUM($Q$2:$Q1887)</f>
        <v>135.05500000000001</v>
      </c>
      <c r="R1887" t="b">
        <f>AND(ISNUMBER(FIND($E1887,Tables!$I$2)), ISNUMBER(FIND($D1887,Tables!$J$2)), $E1887&lt;&gt;"")</f>
        <v>0</v>
      </c>
    </row>
    <row r="1888" spans="1:18" x14ac:dyDescent="0.3">
      <c r="A1888">
        <f t="shared" si="146"/>
        <v>1871</v>
      </c>
      <c r="B1888" s="4"/>
      <c r="I1888" s="8"/>
      <c r="J1888" s="5"/>
      <c r="K1888" s="3"/>
      <c r="L1888" s="3" t="str">
        <f t="shared" si="148"/>
        <v/>
      </c>
      <c r="N1888" s="3" t="str">
        <f t="shared" si="147"/>
        <v/>
      </c>
      <c r="O1888" s="6" t="str">
        <f t="shared" si="150"/>
        <v/>
      </c>
      <c r="P1888" s="7">
        <f ca="1">SUMIFS($N$2:$N1888,$B$2:$B1888,"&lt;&gt;"&amp;B1888)+SUM($Q$2:$Q1888)</f>
        <v>135.05500000000001</v>
      </c>
      <c r="R1888" t="b">
        <f>AND(ISNUMBER(FIND($E1888,Tables!$I$2)), ISNUMBER(FIND($D1888,Tables!$J$2)), $E1888&lt;&gt;"")</f>
        <v>0</v>
      </c>
    </row>
    <row r="1889" spans="1:18" x14ac:dyDescent="0.3">
      <c r="A1889">
        <f t="shared" si="146"/>
        <v>1872</v>
      </c>
      <c r="B1889" s="4"/>
      <c r="I1889" s="8"/>
      <c r="J1889" s="5"/>
      <c r="K1889" s="3"/>
      <c r="L1889" s="3" t="str">
        <f t="shared" si="148"/>
        <v/>
      </c>
      <c r="N1889" s="3" t="str">
        <f t="shared" si="147"/>
        <v/>
      </c>
      <c r="O1889" s="6" t="str">
        <f t="shared" si="150"/>
        <v/>
      </c>
      <c r="P1889" s="7">
        <f ca="1">SUMIFS($N$2:$N1889,$B$2:$B1889,"&lt;&gt;"&amp;B1889)+SUM($Q$2:$Q1889)</f>
        <v>135.05500000000001</v>
      </c>
      <c r="R1889" t="b">
        <f>AND(ISNUMBER(FIND($E1889,Tables!$I$2)), ISNUMBER(FIND($D1889,Tables!$J$2)), $E1889&lt;&gt;"")</f>
        <v>0</v>
      </c>
    </row>
    <row r="1890" spans="1:18" x14ac:dyDescent="0.3">
      <c r="A1890">
        <f t="shared" ref="A1890:A1953" si="151">IF(AND(B1890="", D1890&lt;&gt;""), A1889, A1889+1)</f>
        <v>1873</v>
      </c>
      <c r="B1890" s="4"/>
      <c r="I1890" s="8"/>
      <c r="J1890" s="5"/>
      <c r="K1890" s="3"/>
      <c r="L1890" s="3" t="str">
        <f t="shared" si="148"/>
        <v/>
      </c>
      <c r="N1890" s="3" t="str">
        <f t="shared" si="147"/>
        <v/>
      </c>
      <c r="O1890" s="6" t="str">
        <f t="shared" si="150"/>
        <v/>
      </c>
      <c r="P1890" s="7">
        <f ca="1">SUMIFS($N$2:$N1890,$B$2:$B1890,"&lt;&gt;"&amp;B1890)+SUM($Q$2:$Q1890)</f>
        <v>135.05500000000001</v>
      </c>
      <c r="R1890" t="b">
        <f>AND(ISNUMBER(FIND($E1890,Tables!$I$2)), ISNUMBER(FIND($D1890,Tables!$J$2)), $E1890&lt;&gt;"")</f>
        <v>0</v>
      </c>
    </row>
    <row r="1891" spans="1:18" x14ac:dyDescent="0.3">
      <c r="A1891">
        <f t="shared" si="151"/>
        <v>1874</v>
      </c>
      <c r="B1891" s="4"/>
      <c r="I1891" s="8"/>
      <c r="J1891" s="5"/>
      <c r="K1891" s="3"/>
      <c r="L1891" s="3" t="str">
        <f t="shared" si="148"/>
        <v/>
      </c>
      <c r="N1891" s="3" t="str">
        <f t="shared" si="147"/>
        <v/>
      </c>
      <c r="O1891" s="6" t="str">
        <f t="shared" si="150"/>
        <v/>
      </c>
      <c r="P1891" s="7">
        <f ca="1">SUMIFS($N$2:$N1891,$B$2:$B1891,"&lt;&gt;"&amp;B1891)+SUM($Q$2:$Q1891)</f>
        <v>135.05500000000001</v>
      </c>
      <c r="R1891" t="b">
        <f>AND(ISNUMBER(FIND($E1891,Tables!$I$2)), ISNUMBER(FIND($D1891,Tables!$J$2)), $E1891&lt;&gt;"")</f>
        <v>0</v>
      </c>
    </row>
    <row r="1892" spans="1:18" x14ac:dyDescent="0.3">
      <c r="A1892">
        <f t="shared" si="151"/>
        <v>1875</v>
      </c>
      <c r="B1892" s="4"/>
      <c r="I1892" s="8"/>
      <c r="J1892" s="5"/>
      <c r="K1892" s="3"/>
      <c r="L1892" s="3" t="str">
        <f t="shared" si="148"/>
        <v/>
      </c>
      <c r="N1892" s="3" t="str">
        <f t="shared" si="147"/>
        <v/>
      </c>
      <c r="O1892" s="6" t="str">
        <f t="shared" si="150"/>
        <v/>
      </c>
      <c r="P1892" s="7">
        <f ca="1">SUMIFS($N$2:$N1892,$B$2:$B1892,"&lt;&gt;"&amp;B1892)+SUM($Q$2:$Q1892)</f>
        <v>135.05500000000001</v>
      </c>
      <c r="R1892" t="b">
        <f>AND(ISNUMBER(FIND($E1892,Tables!$I$2)), ISNUMBER(FIND($D1892,Tables!$J$2)), $E1892&lt;&gt;"")</f>
        <v>0</v>
      </c>
    </row>
    <row r="1893" spans="1:18" x14ac:dyDescent="0.3">
      <c r="A1893">
        <f t="shared" si="151"/>
        <v>1876</v>
      </c>
      <c r="B1893" s="4"/>
      <c r="I1893" s="8"/>
      <c r="J1893" s="5"/>
      <c r="K1893" s="3"/>
      <c r="L1893" s="3" t="str">
        <f t="shared" si="148"/>
        <v/>
      </c>
      <c r="N1893" s="3" t="str">
        <f t="shared" si="147"/>
        <v/>
      </c>
      <c r="O1893" s="6" t="str">
        <f t="shared" si="150"/>
        <v/>
      </c>
      <c r="P1893" s="7">
        <f ca="1">SUMIFS($N$2:$N1893,$B$2:$B1893,"&lt;&gt;"&amp;B1893)+SUM($Q$2:$Q1893)</f>
        <v>135.05500000000001</v>
      </c>
      <c r="R1893" t="b">
        <f>AND(ISNUMBER(FIND($E1893,Tables!$I$2)), ISNUMBER(FIND($D1893,Tables!$J$2)), $E1893&lt;&gt;"")</f>
        <v>0</v>
      </c>
    </row>
    <row r="1894" spans="1:18" x14ac:dyDescent="0.3">
      <c r="A1894">
        <f t="shared" si="151"/>
        <v>1877</v>
      </c>
      <c r="B1894" s="4"/>
      <c r="I1894" s="8"/>
      <c r="J1894" s="5"/>
      <c r="K1894" s="3"/>
      <c r="L1894" s="3" t="str">
        <f t="shared" si="148"/>
        <v/>
      </c>
      <c r="N1894" s="3" t="str">
        <f t="shared" si="147"/>
        <v/>
      </c>
      <c r="O1894" s="6" t="str">
        <f t="shared" si="150"/>
        <v/>
      </c>
      <c r="P1894" s="7">
        <f ca="1">SUMIFS($N$2:$N1894,$B$2:$B1894,"&lt;&gt;"&amp;B1894)+SUM($Q$2:$Q1894)</f>
        <v>135.05500000000001</v>
      </c>
      <c r="R1894" t="b">
        <f>AND(ISNUMBER(FIND($E1894,Tables!$I$2)), ISNUMBER(FIND($D1894,Tables!$J$2)), $E1894&lt;&gt;"")</f>
        <v>0</v>
      </c>
    </row>
    <row r="1895" spans="1:18" x14ac:dyDescent="0.3">
      <c r="A1895">
        <f t="shared" si="151"/>
        <v>1878</v>
      </c>
      <c r="B1895" s="4"/>
      <c r="I1895" s="8"/>
      <c r="J1895" s="5"/>
      <c r="K1895" s="3"/>
      <c r="L1895" s="3" t="str">
        <f t="shared" si="148"/>
        <v/>
      </c>
      <c r="N1895" s="3" t="str">
        <f t="shared" si="147"/>
        <v/>
      </c>
      <c r="O1895" s="6" t="str">
        <f t="shared" si="150"/>
        <v/>
      </c>
      <c r="P1895" s="7">
        <f ca="1">SUMIFS($N$2:$N1895,$B$2:$B1895,"&lt;&gt;"&amp;B1895)+SUM($Q$2:$Q1895)</f>
        <v>135.05500000000001</v>
      </c>
      <c r="R1895" t="b">
        <f>AND(ISNUMBER(FIND($E1895,Tables!$I$2)), ISNUMBER(FIND($D1895,Tables!$J$2)), $E1895&lt;&gt;"")</f>
        <v>0</v>
      </c>
    </row>
    <row r="1896" spans="1:18" x14ac:dyDescent="0.3">
      <c r="A1896">
        <f t="shared" si="151"/>
        <v>1879</v>
      </c>
      <c r="B1896" s="4"/>
      <c r="I1896" s="8"/>
      <c r="J1896" s="5"/>
      <c r="K1896" s="3"/>
      <c r="L1896" s="3" t="str">
        <f t="shared" si="148"/>
        <v/>
      </c>
      <c r="N1896" s="3" t="str">
        <f t="shared" ref="N1896:N1959" si="152">IF(L1896 = "", "", IF(M1896="", "", IF(OR(M1896="Draw",M1896="NC"), 0, IF(M1896="win", L1896, -1*K1896))))</f>
        <v/>
      </c>
      <c r="O1896" s="6" t="str">
        <f t="shared" si="150"/>
        <v/>
      </c>
      <c r="P1896" s="7">
        <f ca="1">SUMIFS($N$2:$N1896,$B$2:$B1896,"&lt;&gt;"&amp;B1896)+SUM($Q$2:$Q1896)</f>
        <v>135.05500000000001</v>
      </c>
      <c r="R1896" t="b">
        <f>AND(ISNUMBER(FIND($E1896,Tables!$I$2)), ISNUMBER(FIND($D1896,Tables!$J$2)), $E1896&lt;&gt;"")</f>
        <v>0</v>
      </c>
    </row>
    <row r="1897" spans="1:18" x14ac:dyDescent="0.3">
      <c r="A1897">
        <f t="shared" si="151"/>
        <v>1880</v>
      </c>
      <c r="B1897" s="4"/>
      <c r="I1897" s="8"/>
      <c r="J1897" s="5"/>
      <c r="K1897" s="3"/>
      <c r="L1897" s="3" t="str">
        <f t="shared" si="148"/>
        <v/>
      </c>
      <c r="N1897" s="3" t="str">
        <f t="shared" si="152"/>
        <v/>
      </c>
      <c r="O1897" s="6" t="str">
        <f t="shared" si="150"/>
        <v/>
      </c>
      <c r="P1897" s="7">
        <f ca="1">SUMIFS($N$2:$N1897,$B$2:$B1897,"&lt;&gt;"&amp;B1897)+SUM($Q$2:$Q1897)</f>
        <v>135.05500000000001</v>
      </c>
      <c r="R1897" t="b">
        <f>AND(ISNUMBER(FIND($E1897,Tables!$I$2)), ISNUMBER(FIND($D1897,Tables!$J$2)), $E1897&lt;&gt;"")</f>
        <v>0</v>
      </c>
    </row>
    <row r="1898" spans="1:18" x14ac:dyDescent="0.3">
      <c r="A1898">
        <f t="shared" si="151"/>
        <v>1881</v>
      </c>
      <c r="B1898" s="4"/>
      <c r="I1898" s="8"/>
      <c r="J1898" s="5"/>
      <c r="K1898" s="3"/>
      <c r="L1898" s="3" t="str">
        <f t="shared" si="148"/>
        <v/>
      </c>
      <c r="N1898" s="3" t="str">
        <f t="shared" si="152"/>
        <v/>
      </c>
      <c r="O1898" s="6" t="str">
        <f t="shared" si="150"/>
        <v/>
      </c>
      <c r="P1898" s="7">
        <f ca="1">SUMIFS($N$2:$N1898,$B$2:$B1898,"&lt;&gt;"&amp;B1898)+SUM($Q$2:$Q1898)</f>
        <v>135.05500000000001</v>
      </c>
      <c r="R1898" t="b">
        <f>AND(ISNUMBER(FIND($E1898,Tables!$I$2)), ISNUMBER(FIND($D1898,Tables!$J$2)), $E1898&lt;&gt;"")</f>
        <v>0</v>
      </c>
    </row>
    <row r="1899" spans="1:18" x14ac:dyDescent="0.3">
      <c r="A1899">
        <f t="shared" si="151"/>
        <v>1882</v>
      </c>
      <c r="B1899" s="4"/>
      <c r="I1899" s="8"/>
      <c r="J1899" s="5"/>
      <c r="K1899" s="3"/>
      <c r="L1899" s="3" t="str">
        <f t="shared" si="148"/>
        <v/>
      </c>
      <c r="N1899" s="3" t="str">
        <f t="shared" si="152"/>
        <v/>
      </c>
      <c r="O1899" s="6" t="str">
        <f t="shared" si="150"/>
        <v/>
      </c>
      <c r="P1899" s="7">
        <f ca="1">SUMIFS($N$2:$N1899,$B$2:$B1899,"&lt;&gt;"&amp;B1899)+SUM($Q$2:$Q1899)</f>
        <v>135.05500000000001</v>
      </c>
      <c r="R1899" t="b">
        <f>AND(ISNUMBER(FIND($E1899,Tables!$I$2)), ISNUMBER(FIND($D1899,Tables!$J$2)), $E1899&lt;&gt;"")</f>
        <v>0</v>
      </c>
    </row>
    <row r="1900" spans="1:18" x14ac:dyDescent="0.3">
      <c r="A1900">
        <f t="shared" si="151"/>
        <v>1883</v>
      </c>
      <c r="B1900" s="4"/>
      <c r="I1900" s="8"/>
      <c r="J1900" s="5"/>
      <c r="K1900" s="3"/>
      <c r="L1900" s="3" t="str">
        <f t="shared" si="148"/>
        <v/>
      </c>
      <c r="N1900" s="3" t="str">
        <f t="shared" si="152"/>
        <v/>
      </c>
      <c r="O1900" s="6" t="str">
        <f t="shared" si="150"/>
        <v/>
      </c>
      <c r="P1900" s="7">
        <f ca="1">SUMIFS($N$2:$N1900,$B$2:$B1900,"&lt;&gt;"&amp;B1900)+SUM($Q$2:$Q1900)</f>
        <v>135.05500000000001</v>
      </c>
      <c r="R1900" t="b">
        <f>AND(ISNUMBER(FIND($E1900,Tables!$I$2)), ISNUMBER(FIND($D1900,Tables!$J$2)), $E1900&lt;&gt;"")</f>
        <v>0</v>
      </c>
    </row>
    <row r="1901" spans="1:18" x14ac:dyDescent="0.3">
      <c r="A1901">
        <f t="shared" si="151"/>
        <v>1884</v>
      </c>
      <c r="B1901" s="4"/>
      <c r="I1901" s="8"/>
      <c r="J1901" s="5"/>
      <c r="K1901" s="3"/>
      <c r="L1901" s="3" t="str">
        <f t="shared" si="148"/>
        <v/>
      </c>
      <c r="N1901" s="3" t="str">
        <f t="shared" si="152"/>
        <v/>
      </c>
      <c r="O1901" s="6" t="str">
        <f t="shared" si="150"/>
        <v/>
      </c>
      <c r="P1901" s="7">
        <f ca="1">SUMIFS($N$2:$N1901,$B$2:$B1901,"&lt;&gt;"&amp;B1901)+SUM($Q$2:$Q1901)</f>
        <v>135.05500000000001</v>
      </c>
      <c r="R1901" t="b">
        <f>AND(ISNUMBER(FIND($E1901,Tables!$I$2)), ISNUMBER(FIND($D1901,Tables!$J$2)), $E1901&lt;&gt;"")</f>
        <v>0</v>
      </c>
    </row>
    <row r="1902" spans="1:18" x14ac:dyDescent="0.3">
      <c r="A1902">
        <f t="shared" si="151"/>
        <v>1885</v>
      </c>
      <c r="B1902" s="4"/>
      <c r="I1902" s="8"/>
      <c r="J1902" s="5"/>
      <c r="K1902" s="3"/>
      <c r="L1902" s="3" t="str">
        <f t="shared" si="148"/>
        <v/>
      </c>
      <c r="N1902" s="3" t="str">
        <f t="shared" si="152"/>
        <v/>
      </c>
      <c r="O1902" s="6" t="str">
        <f t="shared" si="150"/>
        <v/>
      </c>
      <c r="P1902" s="7">
        <f ca="1">SUMIFS($N$2:$N1902,$B$2:$B1902,"&lt;&gt;"&amp;B1902)+SUM($Q$2:$Q1902)</f>
        <v>135.05500000000001</v>
      </c>
      <c r="R1902" t="b">
        <f>AND(ISNUMBER(FIND($E1902,Tables!$I$2)), ISNUMBER(FIND($D1902,Tables!$J$2)), $E1902&lt;&gt;"")</f>
        <v>0</v>
      </c>
    </row>
    <row r="1903" spans="1:18" x14ac:dyDescent="0.3">
      <c r="A1903">
        <f t="shared" si="151"/>
        <v>1886</v>
      </c>
      <c r="B1903" s="4"/>
      <c r="I1903" s="8"/>
      <c r="J1903" s="5"/>
      <c r="K1903" s="3"/>
      <c r="L1903" s="3" t="str">
        <f t="shared" si="148"/>
        <v/>
      </c>
      <c r="N1903" s="3" t="str">
        <f t="shared" si="152"/>
        <v/>
      </c>
      <c r="O1903" s="6" t="str">
        <f t="shared" si="150"/>
        <v/>
      </c>
      <c r="P1903" s="7">
        <f ca="1">SUMIFS($N$2:$N1903,$B$2:$B1903,"&lt;&gt;"&amp;B1903)+SUM($Q$2:$Q1903)</f>
        <v>135.05500000000001</v>
      </c>
      <c r="R1903" t="b">
        <f>AND(ISNUMBER(FIND($E1903,Tables!$I$2)), ISNUMBER(FIND($D1903,Tables!$J$2)), $E1903&lt;&gt;"")</f>
        <v>0</v>
      </c>
    </row>
    <row r="1904" spans="1:18" x14ac:dyDescent="0.3">
      <c r="A1904">
        <f t="shared" si="151"/>
        <v>1887</v>
      </c>
      <c r="B1904" s="4"/>
      <c r="I1904" s="8"/>
      <c r="J1904" s="5"/>
      <c r="K1904" s="3"/>
      <c r="L1904" s="3" t="str">
        <f t="shared" si="148"/>
        <v/>
      </c>
      <c r="N1904" s="3" t="str">
        <f t="shared" si="152"/>
        <v/>
      </c>
      <c r="O1904" s="6" t="str">
        <f t="shared" si="150"/>
        <v/>
      </c>
      <c r="P1904" s="7">
        <f ca="1">SUMIFS($N$2:$N1904,$B$2:$B1904,"&lt;&gt;"&amp;B1904)+SUM($Q$2:$Q1904)</f>
        <v>135.05500000000001</v>
      </c>
      <c r="R1904" t="b">
        <f>AND(ISNUMBER(FIND($E1904,Tables!$I$2)), ISNUMBER(FIND($D1904,Tables!$J$2)), $E1904&lt;&gt;"")</f>
        <v>0</v>
      </c>
    </row>
    <row r="1905" spans="1:18" x14ac:dyDescent="0.3">
      <c r="A1905">
        <f t="shared" si="151"/>
        <v>1888</v>
      </c>
      <c r="B1905" s="4"/>
      <c r="I1905" s="8"/>
      <c r="J1905" s="5"/>
      <c r="K1905" s="3"/>
      <c r="L1905" s="3" t="str">
        <f t="shared" si="148"/>
        <v/>
      </c>
      <c r="N1905" s="3" t="str">
        <f t="shared" si="152"/>
        <v/>
      </c>
      <c r="O1905" s="6" t="str">
        <f t="shared" si="150"/>
        <v/>
      </c>
      <c r="P1905" s="7">
        <f ca="1">SUMIFS($N$2:$N1905,$B$2:$B1905,"&lt;&gt;"&amp;B1905)+SUM($Q$2:$Q1905)</f>
        <v>135.05500000000001</v>
      </c>
      <c r="R1905" t="b">
        <f>AND(ISNUMBER(FIND($E1905,Tables!$I$2)), ISNUMBER(FIND($D1905,Tables!$J$2)), $E1905&lt;&gt;"")</f>
        <v>0</v>
      </c>
    </row>
    <row r="1906" spans="1:18" x14ac:dyDescent="0.3">
      <c r="A1906">
        <f t="shared" si="151"/>
        <v>1889</v>
      </c>
      <c r="B1906" s="4"/>
      <c r="I1906" s="8"/>
      <c r="J1906" s="5"/>
      <c r="K1906" s="3"/>
      <c r="L1906" s="3" t="str">
        <f t="shared" ref="L1906:L1969" si="153">IFERROR(IF(K1906=0, "", IF(I1906&gt;0, K1906/100*I1906,K1906/I1906*-100)), "")</f>
        <v/>
      </c>
      <c r="N1906" s="3" t="str">
        <f t="shared" si="152"/>
        <v/>
      </c>
      <c r="O1906" s="6" t="str">
        <f t="shared" si="150"/>
        <v/>
      </c>
      <c r="P1906" s="7">
        <f ca="1">SUMIFS($N$2:$N1906,$B$2:$B1906,"&lt;&gt;"&amp;B1906)+SUM($Q$2:$Q1906)</f>
        <v>135.05500000000001</v>
      </c>
      <c r="R1906" t="b">
        <f>AND(ISNUMBER(FIND($E1906,Tables!$I$2)), ISNUMBER(FIND($D1906,Tables!$J$2)), $E1906&lt;&gt;"")</f>
        <v>0</v>
      </c>
    </row>
    <row r="1907" spans="1:18" x14ac:dyDescent="0.3">
      <c r="A1907">
        <f t="shared" si="151"/>
        <v>1890</v>
      </c>
      <c r="B1907" s="4"/>
      <c r="I1907" s="8"/>
      <c r="J1907" s="5"/>
      <c r="K1907" s="3"/>
      <c r="L1907" s="3" t="str">
        <f t="shared" si="153"/>
        <v/>
      </c>
      <c r="N1907" s="3" t="str">
        <f t="shared" si="152"/>
        <v/>
      </c>
      <c r="O1907" s="6" t="str">
        <f t="shared" si="150"/>
        <v/>
      </c>
      <c r="P1907" s="7">
        <f ca="1">SUMIFS($N$2:$N1907,$B$2:$B1907,"&lt;&gt;"&amp;B1907)+SUM($Q$2:$Q1907)</f>
        <v>135.05500000000001</v>
      </c>
      <c r="R1907" t="b">
        <f>AND(ISNUMBER(FIND($E1907,Tables!$I$2)), ISNUMBER(FIND($D1907,Tables!$J$2)), $E1907&lt;&gt;"")</f>
        <v>0</v>
      </c>
    </row>
    <row r="1908" spans="1:18" x14ac:dyDescent="0.3">
      <c r="A1908">
        <f t="shared" si="151"/>
        <v>1891</v>
      </c>
      <c r="B1908" s="4"/>
      <c r="I1908" s="8"/>
      <c r="J1908" s="5"/>
      <c r="K1908" s="3"/>
      <c r="L1908" s="3" t="str">
        <f t="shared" si="153"/>
        <v/>
      </c>
      <c r="N1908" s="3" t="str">
        <f t="shared" si="152"/>
        <v/>
      </c>
      <c r="O1908" s="6" t="str">
        <f t="shared" si="150"/>
        <v/>
      </c>
      <c r="P1908" s="7">
        <f ca="1">SUMIFS($N$2:$N1908,$B$2:$B1908,"&lt;&gt;"&amp;B1908)+SUM($Q$2:$Q1908)</f>
        <v>135.05500000000001</v>
      </c>
      <c r="R1908" t="b">
        <f>AND(ISNUMBER(FIND($E1908,Tables!$I$2)), ISNUMBER(FIND($D1908,Tables!$J$2)), $E1908&lt;&gt;"")</f>
        <v>0</v>
      </c>
    </row>
    <row r="1909" spans="1:18" x14ac:dyDescent="0.3">
      <c r="A1909">
        <f t="shared" si="151"/>
        <v>1892</v>
      </c>
      <c r="B1909" s="4"/>
      <c r="I1909" s="8"/>
      <c r="J1909" s="5"/>
      <c r="K1909" s="3"/>
      <c r="L1909" s="3" t="str">
        <f t="shared" si="153"/>
        <v/>
      </c>
      <c r="N1909" s="3" t="str">
        <f t="shared" si="152"/>
        <v/>
      </c>
      <c r="O1909" s="6" t="str">
        <f t="shared" si="150"/>
        <v/>
      </c>
      <c r="P1909" s="7">
        <f ca="1">SUMIFS($N$2:$N1909,$B$2:$B1909,"&lt;&gt;"&amp;B1909)+SUM($Q$2:$Q1909)</f>
        <v>135.05500000000001</v>
      </c>
      <c r="R1909" t="b">
        <f>AND(ISNUMBER(FIND($E1909,Tables!$I$2)), ISNUMBER(FIND($D1909,Tables!$J$2)), $E1909&lt;&gt;"")</f>
        <v>0</v>
      </c>
    </row>
    <row r="1910" spans="1:18" x14ac:dyDescent="0.3">
      <c r="A1910">
        <f t="shared" si="151"/>
        <v>1893</v>
      </c>
      <c r="B1910" s="4"/>
      <c r="I1910" s="8"/>
      <c r="J1910" s="5"/>
      <c r="K1910" s="3"/>
      <c r="L1910" s="3" t="str">
        <f t="shared" si="153"/>
        <v/>
      </c>
      <c r="N1910" s="3" t="str">
        <f t="shared" si="152"/>
        <v/>
      </c>
      <c r="O1910" s="6" t="str">
        <f t="shared" si="150"/>
        <v/>
      </c>
      <c r="P1910" s="7">
        <f ca="1">SUMIFS($N$2:$N1910,$B$2:$B1910,"&lt;&gt;"&amp;B1910)+SUM($Q$2:$Q1910)</f>
        <v>135.05500000000001</v>
      </c>
      <c r="R1910" t="b">
        <f>AND(ISNUMBER(FIND($E1910,Tables!$I$2)), ISNUMBER(FIND($D1910,Tables!$J$2)), $E1910&lt;&gt;"")</f>
        <v>0</v>
      </c>
    </row>
    <row r="1911" spans="1:18" x14ac:dyDescent="0.3">
      <c r="A1911">
        <f t="shared" si="151"/>
        <v>1894</v>
      </c>
      <c r="B1911" s="4"/>
      <c r="I1911" s="8"/>
      <c r="J1911" s="5"/>
      <c r="K1911" s="3"/>
      <c r="L1911" s="3" t="str">
        <f t="shared" si="153"/>
        <v/>
      </c>
      <c r="N1911" s="3" t="str">
        <f t="shared" si="152"/>
        <v/>
      </c>
      <c r="O1911" s="6" t="str">
        <f t="shared" si="150"/>
        <v/>
      </c>
      <c r="P1911" s="7">
        <f ca="1">SUMIFS($N$2:$N1911,$B$2:$B1911,"&lt;&gt;"&amp;B1911)+SUM($Q$2:$Q1911)</f>
        <v>135.05500000000001</v>
      </c>
      <c r="R1911" t="b">
        <f>AND(ISNUMBER(FIND($E1911,Tables!$I$2)), ISNUMBER(FIND($D1911,Tables!$J$2)), $E1911&lt;&gt;"")</f>
        <v>0</v>
      </c>
    </row>
    <row r="1912" spans="1:18" x14ac:dyDescent="0.3">
      <c r="A1912">
        <f t="shared" si="151"/>
        <v>1895</v>
      </c>
      <c r="B1912" s="4"/>
      <c r="I1912" s="8"/>
      <c r="J1912" s="5"/>
      <c r="K1912" s="3"/>
      <c r="L1912" s="3" t="str">
        <f t="shared" si="153"/>
        <v/>
      </c>
      <c r="N1912" s="3" t="str">
        <f t="shared" si="152"/>
        <v/>
      </c>
      <c r="O1912" s="6" t="str">
        <f t="shared" si="150"/>
        <v/>
      </c>
      <c r="P1912" s="7">
        <f ca="1">SUMIFS($N$2:$N1912,$B$2:$B1912,"&lt;&gt;"&amp;B1912)+SUM($Q$2:$Q1912)</f>
        <v>135.05500000000001</v>
      </c>
      <c r="R1912" t="b">
        <f>AND(ISNUMBER(FIND($E1912,Tables!$I$2)), ISNUMBER(FIND($D1912,Tables!$J$2)), $E1912&lt;&gt;"")</f>
        <v>0</v>
      </c>
    </row>
    <row r="1913" spans="1:18" x14ac:dyDescent="0.3">
      <c r="A1913">
        <f t="shared" si="151"/>
        <v>1896</v>
      </c>
      <c r="B1913" s="4"/>
      <c r="I1913" s="8"/>
      <c r="J1913" s="5"/>
      <c r="K1913" s="3"/>
      <c r="L1913" s="3" t="str">
        <f t="shared" si="153"/>
        <v/>
      </c>
      <c r="N1913" s="3" t="str">
        <f t="shared" si="152"/>
        <v/>
      </c>
      <c r="O1913" s="6" t="str">
        <f t="shared" si="150"/>
        <v/>
      </c>
      <c r="P1913" s="7">
        <f ca="1">SUMIFS($N$2:$N1913,$B$2:$B1913,"&lt;&gt;"&amp;B1913)+SUM($Q$2:$Q1913)</f>
        <v>135.05500000000001</v>
      </c>
      <c r="R1913" t="b">
        <f>AND(ISNUMBER(FIND($E1913,Tables!$I$2)), ISNUMBER(FIND($D1913,Tables!$J$2)), $E1913&lt;&gt;"")</f>
        <v>0</v>
      </c>
    </row>
    <row r="1914" spans="1:18" x14ac:dyDescent="0.3">
      <c r="A1914">
        <f t="shared" si="151"/>
        <v>1897</v>
      </c>
      <c r="B1914" s="4"/>
      <c r="I1914" s="8"/>
      <c r="J1914" s="5"/>
      <c r="K1914" s="3"/>
      <c r="L1914" s="3" t="str">
        <f t="shared" si="153"/>
        <v/>
      </c>
      <c r="N1914" s="3" t="str">
        <f t="shared" si="152"/>
        <v/>
      </c>
      <c r="O1914" s="6" t="str">
        <f t="shared" si="150"/>
        <v/>
      </c>
      <c r="P1914" s="7">
        <f ca="1">SUMIFS($N$2:$N1914,$B$2:$B1914,"&lt;&gt;"&amp;B1914)+SUM($Q$2:$Q1914)</f>
        <v>135.05500000000001</v>
      </c>
      <c r="R1914" t="b">
        <f>AND(ISNUMBER(FIND($E1914,Tables!$I$2)), ISNUMBER(FIND($D1914,Tables!$J$2)), $E1914&lt;&gt;"")</f>
        <v>0</v>
      </c>
    </row>
    <row r="1915" spans="1:18" x14ac:dyDescent="0.3">
      <c r="A1915">
        <f t="shared" si="151"/>
        <v>1898</v>
      </c>
      <c r="B1915" s="4"/>
      <c r="I1915" s="8"/>
      <c r="J1915" s="5"/>
      <c r="K1915" s="3"/>
      <c r="L1915" s="3" t="str">
        <f t="shared" si="153"/>
        <v/>
      </c>
      <c r="N1915" s="3" t="str">
        <f t="shared" si="152"/>
        <v/>
      </c>
      <c r="O1915" s="6" t="str">
        <f t="shared" si="150"/>
        <v/>
      </c>
      <c r="P1915" s="7">
        <f ca="1">SUMIFS($N$2:$N1915,$B$2:$B1915,"&lt;&gt;"&amp;B1915)+SUM($Q$2:$Q1915)</f>
        <v>135.05500000000001</v>
      </c>
      <c r="R1915" t="b">
        <f>AND(ISNUMBER(FIND($E1915,Tables!$I$2)), ISNUMBER(FIND($D1915,Tables!$J$2)), $E1915&lt;&gt;"")</f>
        <v>0</v>
      </c>
    </row>
    <row r="1916" spans="1:18" x14ac:dyDescent="0.3">
      <c r="A1916">
        <f t="shared" si="151"/>
        <v>1899</v>
      </c>
      <c r="B1916" s="4"/>
      <c r="I1916" s="8"/>
      <c r="J1916" s="5"/>
      <c r="K1916" s="3"/>
      <c r="L1916" s="3" t="str">
        <f t="shared" si="153"/>
        <v/>
      </c>
      <c r="N1916" s="3" t="str">
        <f t="shared" si="152"/>
        <v/>
      </c>
      <c r="O1916" s="6" t="str">
        <f t="shared" si="150"/>
        <v/>
      </c>
      <c r="P1916" s="7">
        <f ca="1">SUMIFS($N$2:$N1916,$B$2:$B1916,"&lt;&gt;"&amp;B1916)+SUM($Q$2:$Q1916)</f>
        <v>135.05500000000001</v>
      </c>
      <c r="R1916" t="b">
        <f>AND(ISNUMBER(FIND($E1916,Tables!$I$2)), ISNUMBER(FIND($D1916,Tables!$J$2)), $E1916&lt;&gt;"")</f>
        <v>0</v>
      </c>
    </row>
    <row r="1917" spans="1:18" x14ac:dyDescent="0.3">
      <c r="A1917">
        <f t="shared" si="151"/>
        <v>1900</v>
      </c>
      <c r="B1917" s="4"/>
      <c r="I1917" s="8"/>
      <c r="J1917" s="5"/>
      <c r="K1917" s="3"/>
      <c r="L1917" s="3" t="str">
        <f t="shared" si="153"/>
        <v/>
      </c>
      <c r="N1917" s="3" t="str">
        <f t="shared" si="152"/>
        <v/>
      </c>
      <c r="O1917" s="6" t="str">
        <f t="shared" si="150"/>
        <v/>
      </c>
      <c r="P1917" s="7">
        <f ca="1">SUMIFS($N$2:$N1917,$B$2:$B1917,"&lt;&gt;"&amp;B1917)+SUM($Q$2:$Q1917)</f>
        <v>135.05500000000001</v>
      </c>
      <c r="R1917" t="b">
        <f>AND(ISNUMBER(FIND($E1917,Tables!$I$2)), ISNUMBER(FIND($D1917,Tables!$J$2)), $E1917&lt;&gt;"")</f>
        <v>0</v>
      </c>
    </row>
    <row r="1918" spans="1:18" x14ac:dyDescent="0.3">
      <c r="A1918">
        <f t="shared" si="151"/>
        <v>1901</v>
      </c>
      <c r="B1918" s="4"/>
      <c r="I1918" s="8"/>
      <c r="J1918" s="5"/>
      <c r="K1918" s="3"/>
      <c r="L1918" s="3" t="str">
        <f t="shared" si="153"/>
        <v/>
      </c>
      <c r="N1918" s="3" t="str">
        <f t="shared" si="152"/>
        <v/>
      </c>
      <c r="O1918" s="6" t="str">
        <f t="shared" si="150"/>
        <v/>
      </c>
      <c r="P1918" s="7">
        <f ca="1">SUMIFS($N$2:$N1918,$B$2:$B1918,"&lt;&gt;"&amp;B1918)+SUM($Q$2:$Q1918)</f>
        <v>135.05500000000001</v>
      </c>
      <c r="R1918" t="b">
        <f>AND(ISNUMBER(FIND($E1918,Tables!$I$2)), ISNUMBER(FIND($D1918,Tables!$J$2)), $E1918&lt;&gt;"")</f>
        <v>0</v>
      </c>
    </row>
    <row r="1919" spans="1:18" x14ac:dyDescent="0.3">
      <c r="A1919">
        <f t="shared" si="151"/>
        <v>1902</v>
      </c>
      <c r="B1919" s="4"/>
      <c r="I1919" s="8"/>
      <c r="J1919" s="5"/>
      <c r="K1919" s="3"/>
      <c r="L1919" s="3" t="str">
        <f t="shared" si="153"/>
        <v/>
      </c>
      <c r="N1919" s="3" t="str">
        <f t="shared" si="152"/>
        <v/>
      </c>
      <c r="O1919" s="6" t="str">
        <f t="shared" si="150"/>
        <v/>
      </c>
      <c r="P1919" s="7">
        <f ca="1">SUMIFS($N$2:$N1919,$B$2:$B1919,"&lt;&gt;"&amp;B1919)+SUM($Q$2:$Q1919)</f>
        <v>135.05500000000001</v>
      </c>
      <c r="R1919" t="b">
        <f>AND(ISNUMBER(FIND($E1919,Tables!$I$2)), ISNUMBER(FIND($D1919,Tables!$J$2)), $E1919&lt;&gt;"")</f>
        <v>0</v>
      </c>
    </row>
    <row r="1920" spans="1:18" x14ac:dyDescent="0.3">
      <c r="A1920">
        <f t="shared" si="151"/>
        <v>1903</v>
      </c>
      <c r="B1920" s="4"/>
      <c r="I1920" s="8"/>
      <c r="J1920" s="5"/>
      <c r="K1920" s="3"/>
      <c r="L1920" s="3" t="str">
        <f t="shared" si="153"/>
        <v/>
      </c>
      <c r="N1920" s="3" t="str">
        <f t="shared" si="152"/>
        <v/>
      </c>
      <c r="O1920" s="6" t="str">
        <f t="shared" si="150"/>
        <v/>
      </c>
      <c r="P1920" s="7">
        <f ca="1">SUMIFS($N$2:$N1920,$B$2:$B1920,"&lt;&gt;"&amp;B1920)+SUM($Q$2:$Q1920)</f>
        <v>135.05500000000001</v>
      </c>
      <c r="R1920" t="b">
        <f>AND(ISNUMBER(FIND($E1920,Tables!$I$2)), ISNUMBER(FIND($D1920,Tables!$J$2)), $E1920&lt;&gt;"")</f>
        <v>0</v>
      </c>
    </row>
    <row r="1921" spans="1:18" x14ac:dyDescent="0.3">
      <c r="A1921">
        <f t="shared" si="151"/>
        <v>1904</v>
      </c>
      <c r="B1921" s="4"/>
      <c r="I1921" s="8"/>
      <c r="J1921" s="5"/>
      <c r="K1921" s="3"/>
      <c r="L1921" s="3" t="str">
        <f t="shared" si="153"/>
        <v/>
      </c>
      <c r="N1921" s="3" t="str">
        <f t="shared" si="152"/>
        <v/>
      </c>
      <c r="O1921" s="6" t="str">
        <f t="shared" si="150"/>
        <v/>
      </c>
      <c r="P1921" s="7">
        <f ca="1">SUMIFS($N$2:$N1921,$B$2:$B1921,"&lt;&gt;"&amp;B1921)+SUM($Q$2:$Q1921)</f>
        <v>135.05500000000001</v>
      </c>
      <c r="R1921" t="b">
        <f>AND(ISNUMBER(FIND($E1921,Tables!$I$2)), ISNUMBER(FIND($D1921,Tables!$J$2)), $E1921&lt;&gt;"")</f>
        <v>0</v>
      </c>
    </row>
    <row r="1922" spans="1:18" x14ac:dyDescent="0.3">
      <c r="A1922">
        <f t="shared" si="151"/>
        <v>1905</v>
      </c>
      <c r="B1922" s="4"/>
      <c r="I1922" s="8"/>
      <c r="J1922" s="5"/>
      <c r="K1922" s="3"/>
      <c r="L1922" s="3" t="str">
        <f t="shared" si="153"/>
        <v/>
      </c>
      <c r="N1922" s="3" t="str">
        <f t="shared" si="152"/>
        <v/>
      </c>
      <c r="O1922" s="6" t="str">
        <f t="shared" ref="O1922:O1985" si="154">IFERROR(K1922/VLOOKUP(_xlfn.MINIFS(A:A,B:B,B1922,C:C,C1922),A:P,16),"")</f>
        <v/>
      </c>
      <c r="P1922" s="7">
        <f ca="1">SUMIFS($N$2:$N1922,$B$2:$B1922,"&lt;&gt;"&amp;B1922)+SUM($Q$2:$Q1922)</f>
        <v>135.05500000000001</v>
      </c>
      <c r="R1922" t="b">
        <f>AND(ISNUMBER(FIND($E1922,Tables!$I$2)), ISNUMBER(FIND($D1922,Tables!$J$2)), $E1922&lt;&gt;"")</f>
        <v>0</v>
      </c>
    </row>
    <row r="1923" spans="1:18" x14ac:dyDescent="0.3">
      <c r="A1923">
        <f t="shared" si="151"/>
        <v>1906</v>
      </c>
      <c r="B1923" s="4"/>
      <c r="I1923" s="8"/>
      <c r="J1923" s="5"/>
      <c r="K1923" s="3"/>
      <c r="L1923" s="3" t="str">
        <f t="shared" si="153"/>
        <v/>
      </c>
      <c r="N1923" s="3" t="str">
        <f t="shared" si="152"/>
        <v/>
      </c>
      <c r="O1923" s="6" t="str">
        <f t="shared" si="154"/>
        <v/>
      </c>
      <c r="P1923" s="7">
        <f ca="1">SUMIFS($N$2:$N1923,$B$2:$B1923,"&lt;&gt;"&amp;B1923)+SUM($Q$2:$Q1923)</f>
        <v>135.05500000000001</v>
      </c>
      <c r="R1923" t="b">
        <f>AND(ISNUMBER(FIND($E1923,Tables!$I$2)), ISNUMBER(FIND($D1923,Tables!$J$2)), $E1923&lt;&gt;"")</f>
        <v>0</v>
      </c>
    </row>
    <row r="1924" spans="1:18" x14ac:dyDescent="0.3">
      <c r="A1924">
        <f t="shared" si="151"/>
        <v>1907</v>
      </c>
      <c r="B1924" s="4"/>
      <c r="I1924" s="8"/>
      <c r="J1924" s="5"/>
      <c r="K1924" s="3"/>
      <c r="L1924" s="3" t="str">
        <f t="shared" si="153"/>
        <v/>
      </c>
      <c r="N1924" s="3" t="str">
        <f t="shared" si="152"/>
        <v/>
      </c>
      <c r="O1924" s="6" t="str">
        <f t="shared" si="154"/>
        <v/>
      </c>
      <c r="P1924" s="7">
        <f ca="1">SUMIFS($N$2:$N1924,$B$2:$B1924,"&lt;&gt;"&amp;B1924)+SUM($Q$2:$Q1924)</f>
        <v>135.05500000000001</v>
      </c>
      <c r="R1924" t="b">
        <f>AND(ISNUMBER(FIND($E1924,Tables!$I$2)), ISNUMBER(FIND($D1924,Tables!$J$2)), $E1924&lt;&gt;"")</f>
        <v>0</v>
      </c>
    </row>
    <row r="1925" spans="1:18" x14ac:dyDescent="0.3">
      <c r="A1925">
        <f t="shared" si="151"/>
        <v>1908</v>
      </c>
      <c r="B1925" s="4"/>
      <c r="I1925" s="8"/>
      <c r="J1925" s="5"/>
      <c r="K1925" s="3"/>
      <c r="L1925" s="3" t="str">
        <f t="shared" si="153"/>
        <v/>
      </c>
      <c r="N1925" s="3" t="str">
        <f t="shared" si="152"/>
        <v/>
      </c>
      <c r="O1925" s="6" t="str">
        <f t="shared" si="154"/>
        <v/>
      </c>
      <c r="P1925" s="7">
        <f ca="1">SUMIFS($N$2:$N1925,$B$2:$B1925,"&lt;&gt;"&amp;B1925)+SUM($Q$2:$Q1925)</f>
        <v>135.05500000000001</v>
      </c>
      <c r="R1925" t="b">
        <f>AND(ISNUMBER(FIND($E1925,Tables!$I$2)), ISNUMBER(FIND($D1925,Tables!$J$2)), $E1925&lt;&gt;"")</f>
        <v>0</v>
      </c>
    </row>
    <row r="1926" spans="1:18" x14ac:dyDescent="0.3">
      <c r="A1926">
        <f t="shared" si="151"/>
        <v>1909</v>
      </c>
      <c r="B1926" s="4"/>
      <c r="I1926" s="8"/>
      <c r="J1926" s="5"/>
      <c r="K1926" s="3"/>
      <c r="L1926" s="3" t="str">
        <f t="shared" si="153"/>
        <v/>
      </c>
      <c r="N1926" s="3" t="str">
        <f t="shared" si="152"/>
        <v/>
      </c>
      <c r="O1926" s="6" t="str">
        <f t="shared" si="154"/>
        <v/>
      </c>
      <c r="P1926" s="7">
        <f ca="1">SUMIFS($N$2:$N1926,$B$2:$B1926,"&lt;&gt;"&amp;B1926)+SUM($Q$2:$Q1926)</f>
        <v>135.05500000000001</v>
      </c>
      <c r="R1926" t="b">
        <f>AND(ISNUMBER(FIND($E1926,Tables!$I$2)), ISNUMBER(FIND($D1926,Tables!$J$2)), $E1926&lt;&gt;"")</f>
        <v>0</v>
      </c>
    </row>
    <row r="1927" spans="1:18" x14ac:dyDescent="0.3">
      <c r="A1927">
        <f t="shared" si="151"/>
        <v>1910</v>
      </c>
      <c r="B1927" s="4"/>
      <c r="I1927" s="8"/>
      <c r="J1927" s="5"/>
      <c r="K1927" s="3"/>
      <c r="L1927" s="3" t="str">
        <f t="shared" si="153"/>
        <v/>
      </c>
      <c r="N1927" s="3" t="str">
        <f t="shared" si="152"/>
        <v/>
      </c>
      <c r="O1927" s="6" t="str">
        <f t="shared" si="154"/>
        <v/>
      </c>
      <c r="P1927" s="7">
        <f ca="1">SUMIFS($N$2:$N1927,$B$2:$B1927,"&lt;&gt;"&amp;B1927)+SUM($Q$2:$Q1927)</f>
        <v>135.05500000000001</v>
      </c>
      <c r="R1927" t="b">
        <f>AND(ISNUMBER(FIND($E1927,Tables!$I$2)), ISNUMBER(FIND($D1927,Tables!$J$2)), $E1927&lt;&gt;"")</f>
        <v>0</v>
      </c>
    </row>
    <row r="1928" spans="1:18" x14ac:dyDescent="0.3">
      <c r="A1928">
        <f t="shared" si="151"/>
        <v>1911</v>
      </c>
      <c r="B1928" s="4"/>
      <c r="I1928" s="8"/>
      <c r="J1928" s="5"/>
      <c r="K1928" s="3"/>
      <c r="L1928" s="3" t="str">
        <f t="shared" si="153"/>
        <v/>
      </c>
      <c r="N1928" s="3" t="str">
        <f t="shared" si="152"/>
        <v/>
      </c>
      <c r="O1928" s="6" t="str">
        <f t="shared" si="154"/>
        <v/>
      </c>
      <c r="P1928" s="7">
        <f ca="1">SUMIFS($N$2:$N1928,$B$2:$B1928,"&lt;&gt;"&amp;B1928)+SUM($Q$2:$Q1928)</f>
        <v>135.05500000000001</v>
      </c>
      <c r="R1928" t="b">
        <f>AND(ISNUMBER(FIND($E1928,Tables!$I$2)), ISNUMBER(FIND($D1928,Tables!$J$2)), $E1928&lt;&gt;"")</f>
        <v>0</v>
      </c>
    </row>
    <row r="1929" spans="1:18" x14ac:dyDescent="0.3">
      <c r="A1929">
        <f t="shared" si="151"/>
        <v>1912</v>
      </c>
      <c r="B1929" s="4"/>
      <c r="I1929" s="8"/>
      <c r="J1929" s="5"/>
      <c r="K1929" s="3"/>
      <c r="L1929" s="3" t="str">
        <f t="shared" si="153"/>
        <v/>
      </c>
      <c r="N1929" s="3" t="str">
        <f t="shared" si="152"/>
        <v/>
      </c>
      <c r="O1929" s="6" t="str">
        <f t="shared" si="154"/>
        <v/>
      </c>
      <c r="P1929" s="7">
        <f ca="1">SUMIFS($N$2:$N1929,$B$2:$B1929,"&lt;&gt;"&amp;B1929)+SUM($Q$2:$Q1929)</f>
        <v>135.05500000000001</v>
      </c>
      <c r="R1929" t="b">
        <f>AND(ISNUMBER(FIND($E1929,Tables!$I$2)), ISNUMBER(FIND($D1929,Tables!$J$2)), $E1929&lt;&gt;"")</f>
        <v>0</v>
      </c>
    </row>
    <row r="1930" spans="1:18" x14ac:dyDescent="0.3">
      <c r="A1930">
        <f t="shared" si="151"/>
        <v>1913</v>
      </c>
      <c r="B1930" s="4"/>
      <c r="I1930" s="8"/>
      <c r="J1930" s="5"/>
      <c r="K1930" s="3"/>
      <c r="L1930" s="3" t="str">
        <f t="shared" si="153"/>
        <v/>
      </c>
      <c r="N1930" s="3" t="str">
        <f t="shared" si="152"/>
        <v/>
      </c>
      <c r="O1930" s="6" t="str">
        <f t="shared" si="154"/>
        <v/>
      </c>
      <c r="P1930" s="7">
        <f ca="1">SUMIFS($N$2:$N1930,$B$2:$B1930,"&lt;&gt;"&amp;B1930)+SUM($Q$2:$Q1930)</f>
        <v>135.05500000000001</v>
      </c>
      <c r="R1930" t="b">
        <f>AND(ISNUMBER(FIND($E1930,Tables!$I$2)), ISNUMBER(FIND($D1930,Tables!$J$2)), $E1930&lt;&gt;"")</f>
        <v>0</v>
      </c>
    </row>
    <row r="1931" spans="1:18" x14ac:dyDescent="0.3">
      <c r="A1931">
        <f t="shared" si="151"/>
        <v>1914</v>
      </c>
      <c r="B1931" s="4"/>
      <c r="I1931" s="8"/>
      <c r="J1931" s="5"/>
      <c r="K1931" s="3"/>
      <c r="L1931" s="3" t="str">
        <f t="shared" si="153"/>
        <v/>
      </c>
      <c r="N1931" s="3" t="str">
        <f t="shared" si="152"/>
        <v/>
      </c>
      <c r="O1931" s="6" t="str">
        <f t="shared" si="154"/>
        <v/>
      </c>
      <c r="P1931" s="7">
        <f ca="1">SUMIFS($N$2:$N1931,$B$2:$B1931,"&lt;&gt;"&amp;B1931)+SUM($Q$2:$Q1931)</f>
        <v>135.05500000000001</v>
      </c>
      <c r="R1931" t="b">
        <f>AND(ISNUMBER(FIND($E1931,Tables!$I$2)), ISNUMBER(FIND($D1931,Tables!$J$2)), $E1931&lt;&gt;"")</f>
        <v>0</v>
      </c>
    </row>
    <row r="1932" spans="1:18" x14ac:dyDescent="0.3">
      <c r="A1932">
        <f t="shared" si="151"/>
        <v>1915</v>
      </c>
      <c r="B1932" s="4"/>
      <c r="I1932" s="8"/>
      <c r="J1932" s="5"/>
      <c r="K1932" s="3"/>
      <c r="L1932" s="3" t="str">
        <f t="shared" si="153"/>
        <v/>
      </c>
      <c r="N1932" s="3" t="str">
        <f t="shared" si="152"/>
        <v/>
      </c>
      <c r="O1932" s="6" t="str">
        <f t="shared" si="154"/>
        <v/>
      </c>
      <c r="P1932" s="7">
        <f ca="1">SUMIFS($N$2:$N1932,$B$2:$B1932,"&lt;&gt;"&amp;B1932)+SUM($Q$2:$Q1932)</f>
        <v>135.05500000000001</v>
      </c>
      <c r="R1932" t="b">
        <f>AND(ISNUMBER(FIND($E1932,Tables!$I$2)), ISNUMBER(FIND($D1932,Tables!$J$2)), $E1932&lt;&gt;"")</f>
        <v>0</v>
      </c>
    </row>
    <row r="1933" spans="1:18" x14ac:dyDescent="0.3">
      <c r="A1933">
        <f t="shared" si="151"/>
        <v>1916</v>
      </c>
      <c r="B1933" s="4"/>
      <c r="I1933" s="8"/>
      <c r="J1933" s="5"/>
      <c r="K1933" s="3"/>
      <c r="L1933" s="3" t="str">
        <f t="shared" si="153"/>
        <v/>
      </c>
      <c r="N1933" s="3" t="str">
        <f t="shared" si="152"/>
        <v/>
      </c>
      <c r="O1933" s="6" t="str">
        <f t="shared" si="154"/>
        <v/>
      </c>
      <c r="P1933" s="7">
        <f ca="1">SUMIFS($N$2:$N1933,$B$2:$B1933,"&lt;&gt;"&amp;B1933)+SUM($Q$2:$Q1933)</f>
        <v>135.05500000000001</v>
      </c>
      <c r="R1933" t="b">
        <f>AND(ISNUMBER(FIND($E1933,Tables!$I$2)), ISNUMBER(FIND($D1933,Tables!$J$2)), $E1933&lt;&gt;"")</f>
        <v>0</v>
      </c>
    </row>
    <row r="1934" spans="1:18" x14ac:dyDescent="0.3">
      <c r="A1934">
        <f t="shared" si="151"/>
        <v>1917</v>
      </c>
      <c r="B1934" s="4"/>
      <c r="I1934" s="8"/>
      <c r="J1934" s="5"/>
      <c r="K1934" s="3"/>
      <c r="L1934" s="3" t="str">
        <f t="shared" si="153"/>
        <v/>
      </c>
      <c r="N1934" s="3" t="str">
        <f t="shared" si="152"/>
        <v/>
      </c>
      <c r="O1934" s="6" t="str">
        <f t="shared" si="154"/>
        <v/>
      </c>
      <c r="P1934" s="7">
        <f ca="1">SUMIFS($N$2:$N1934,$B$2:$B1934,"&lt;&gt;"&amp;B1934)+SUM($Q$2:$Q1934)</f>
        <v>135.05500000000001</v>
      </c>
      <c r="R1934" t="b">
        <f>AND(ISNUMBER(FIND($E1934,Tables!$I$2)), ISNUMBER(FIND($D1934,Tables!$J$2)), $E1934&lt;&gt;"")</f>
        <v>0</v>
      </c>
    </row>
    <row r="1935" spans="1:18" x14ac:dyDescent="0.3">
      <c r="A1935">
        <f t="shared" si="151"/>
        <v>1918</v>
      </c>
      <c r="B1935" s="4"/>
      <c r="I1935" s="8"/>
      <c r="J1935" s="5"/>
      <c r="K1935" s="3"/>
      <c r="L1935" s="3" t="str">
        <f t="shared" si="153"/>
        <v/>
      </c>
      <c r="N1935" s="3" t="str">
        <f t="shared" si="152"/>
        <v/>
      </c>
      <c r="O1935" s="6" t="str">
        <f t="shared" si="154"/>
        <v/>
      </c>
      <c r="P1935" s="7">
        <f ca="1">SUMIFS($N$2:$N1935,$B$2:$B1935,"&lt;&gt;"&amp;B1935)+SUM($Q$2:$Q1935)</f>
        <v>135.05500000000001</v>
      </c>
      <c r="R1935" t="b">
        <f>AND(ISNUMBER(FIND($E1935,Tables!$I$2)), ISNUMBER(FIND($D1935,Tables!$J$2)), $E1935&lt;&gt;"")</f>
        <v>0</v>
      </c>
    </row>
    <row r="1936" spans="1:18" x14ac:dyDescent="0.3">
      <c r="A1936">
        <f t="shared" si="151"/>
        <v>1919</v>
      </c>
      <c r="B1936" s="4"/>
      <c r="I1936" s="8"/>
      <c r="J1936" s="5"/>
      <c r="K1936" s="3"/>
      <c r="L1936" s="3" t="str">
        <f t="shared" si="153"/>
        <v/>
      </c>
      <c r="N1936" s="3" t="str">
        <f t="shared" si="152"/>
        <v/>
      </c>
      <c r="O1936" s="6" t="str">
        <f t="shared" si="154"/>
        <v/>
      </c>
      <c r="P1936" s="7">
        <f ca="1">SUMIFS($N$2:$N1936,$B$2:$B1936,"&lt;&gt;"&amp;B1936)+SUM($Q$2:$Q1936)</f>
        <v>135.05500000000001</v>
      </c>
      <c r="R1936" t="b">
        <f>AND(ISNUMBER(FIND($E1936,Tables!$I$2)), ISNUMBER(FIND($D1936,Tables!$J$2)), $E1936&lt;&gt;"")</f>
        <v>0</v>
      </c>
    </row>
    <row r="1937" spans="1:18" x14ac:dyDescent="0.3">
      <c r="A1937">
        <f t="shared" si="151"/>
        <v>1920</v>
      </c>
      <c r="B1937" s="4"/>
      <c r="I1937" s="8"/>
      <c r="J1937" s="5"/>
      <c r="K1937" s="3"/>
      <c r="L1937" s="3" t="str">
        <f t="shared" si="153"/>
        <v/>
      </c>
      <c r="N1937" s="3" t="str">
        <f t="shared" si="152"/>
        <v/>
      </c>
      <c r="O1937" s="6" t="str">
        <f t="shared" si="154"/>
        <v/>
      </c>
      <c r="P1937" s="7">
        <f ca="1">SUMIFS($N$2:$N1937,$B$2:$B1937,"&lt;&gt;"&amp;B1937)+SUM($Q$2:$Q1937)</f>
        <v>135.05500000000001</v>
      </c>
      <c r="R1937" t="b">
        <f>AND(ISNUMBER(FIND($E1937,Tables!$I$2)), ISNUMBER(FIND($D1937,Tables!$J$2)), $E1937&lt;&gt;"")</f>
        <v>0</v>
      </c>
    </row>
    <row r="1938" spans="1:18" x14ac:dyDescent="0.3">
      <c r="A1938">
        <f t="shared" si="151"/>
        <v>1921</v>
      </c>
      <c r="B1938" s="4"/>
      <c r="I1938" s="8"/>
      <c r="J1938" s="5"/>
      <c r="K1938" s="3"/>
      <c r="L1938" s="3" t="str">
        <f t="shared" si="153"/>
        <v/>
      </c>
      <c r="N1938" s="3" t="str">
        <f t="shared" si="152"/>
        <v/>
      </c>
      <c r="O1938" s="6" t="str">
        <f t="shared" si="154"/>
        <v/>
      </c>
      <c r="P1938" s="7">
        <f ca="1">SUMIFS($N$2:$N1938,$B$2:$B1938,"&lt;&gt;"&amp;B1938)+SUM($Q$2:$Q1938)</f>
        <v>135.05500000000001</v>
      </c>
      <c r="R1938" t="b">
        <f>AND(ISNUMBER(FIND($E1938,Tables!$I$2)), ISNUMBER(FIND($D1938,Tables!$J$2)), $E1938&lt;&gt;"")</f>
        <v>0</v>
      </c>
    </row>
    <row r="1939" spans="1:18" x14ac:dyDescent="0.3">
      <c r="A1939">
        <f t="shared" si="151"/>
        <v>1922</v>
      </c>
      <c r="B1939" s="4"/>
      <c r="I1939" s="8"/>
      <c r="J1939" s="5"/>
      <c r="K1939" s="3"/>
      <c r="L1939" s="3" t="str">
        <f t="shared" si="153"/>
        <v/>
      </c>
      <c r="N1939" s="3" t="str">
        <f t="shared" si="152"/>
        <v/>
      </c>
      <c r="O1939" s="6" t="str">
        <f t="shared" si="154"/>
        <v/>
      </c>
      <c r="P1939" s="7">
        <f ca="1">SUMIFS($N$2:$N1939,$B$2:$B1939,"&lt;&gt;"&amp;B1939)+SUM($Q$2:$Q1939)</f>
        <v>135.05500000000001</v>
      </c>
      <c r="R1939" t="b">
        <f>AND(ISNUMBER(FIND($E1939,Tables!$I$2)), ISNUMBER(FIND($D1939,Tables!$J$2)), $E1939&lt;&gt;"")</f>
        <v>0</v>
      </c>
    </row>
    <row r="1940" spans="1:18" x14ac:dyDescent="0.3">
      <c r="A1940">
        <f t="shared" si="151"/>
        <v>1923</v>
      </c>
      <c r="B1940" s="4"/>
      <c r="I1940" s="8"/>
      <c r="J1940" s="5"/>
      <c r="K1940" s="3"/>
      <c r="L1940" s="3" t="str">
        <f t="shared" si="153"/>
        <v/>
      </c>
      <c r="N1940" s="3" t="str">
        <f t="shared" si="152"/>
        <v/>
      </c>
      <c r="O1940" s="6" t="str">
        <f t="shared" si="154"/>
        <v/>
      </c>
      <c r="P1940" s="7">
        <f ca="1">SUMIFS($N$2:$N1940,$B$2:$B1940,"&lt;&gt;"&amp;B1940)+SUM($Q$2:$Q1940)</f>
        <v>135.05500000000001</v>
      </c>
      <c r="R1940" t="b">
        <f>AND(ISNUMBER(FIND($E1940,Tables!$I$2)), ISNUMBER(FIND($D1940,Tables!$J$2)), $E1940&lt;&gt;"")</f>
        <v>0</v>
      </c>
    </row>
    <row r="1941" spans="1:18" x14ac:dyDescent="0.3">
      <c r="A1941">
        <f t="shared" si="151"/>
        <v>1924</v>
      </c>
      <c r="B1941" s="4"/>
      <c r="I1941" s="8"/>
      <c r="J1941" s="5"/>
      <c r="K1941" s="3"/>
      <c r="L1941" s="3" t="str">
        <f t="shared" si="153"/>
        <v/>
      </c>
      <c r="N1941" s="3" t="str">
        <f t="shared" si="152"/>
        <v/>
      </c>
      <c r="O1941" s="6" t="str">
        <f t="shared" si="154"/>
        <v/>
      </c>
      <c r="P1941" s="7">
        <f ca="1">SUMIFS($N$2:$N1941,$B$2:$B1941,"&lt;&gt;"&amp;B1941)+SUM($Q$2:$Q1941)</f>
        <v>135.05500000000001</v>
      </c>
      <c r="R1941" t="b">
        <f>AND(ISNUMBER(FIND($E1941,Tables!$I$2)), ISNUMBER(FIND($D1941,Tables!$J$2)), $E1941&lt;&gt;"")</f>
        <v>0</v>
      </c>
    </row>
    <row r="1942" spans="1:18" x14ac:dyDescent="0.3">
      <c r="A1942">
        <f t="shared" si="151"/>
        <v>1925</v>
      </c>
      <c r="B1942" s="4"/>
      <c r="I1942" s="8"/>
      <c r="J1942" s="5"/>
      <c r="K1942" s="3"/>
      <c r="L1942" s="3" t="str">
        <f t="shared" si="153"/>
        <v/>
      </c>
      <c r="N1942" s="3" t="str">
        <f t="shared" si="152"/>
        <v/>
      </c>
      <c r="O1942" s="6" t="str">
        <f t="shared" si="154"/>
        <v/>
      </c>
      <c r="P1942" s="7">
        <f ca="1">SUMIFS($N$2:$N1942,$B$2:$B1942,"&lt;&gt;"&amp;B1942)+SUM($Q$2:$Q1942)</f>
        <v>135.05500000000001</v>
      </c>
      <c r="R1942" t="b">
        <f>AND(ISNUMBER(FIND($E1942,Tables!$I$2)), ISNUMBER(FIND($D1942,Tables!$J$2)), $E1942&lt;&gt;"")</f>
        <v>0</v>
      </c>
    </row>
    <row r="1943" spans="1:18" x14ac:dyDescent="0.3">
      <c r="A1943">
        <f t="shared" si="151"/>
        <v>1926</v>
      </c>
      <c r="B1943" s="4"/>
      <c r="I1943" s="8"/>
      <c r="J1943" s="5"/>
      <c r="K1943" s="3"/>
      <c r="L1943" s="3" t="str">
        <f t="shared" si="153"/>
        <v/>
      </c>
      <c r="N1943" s="3" t="str">
        <f t="shared" si="152"/>
        <v/>
      </c>
      <c r="O1943" s="6" t="str">
        <f t="shared" si="154"/>
        <v/>
      </c>
      <c r="P1943" s="7">
        <f ca="1">SUMIFS($N$2:$N1943,$B$2:$B1943,"&lt;&gt;"&amp;B1943)+SUM($Q$2:$Q1943)</f>
        <v>135.05500000000001</v>
      </c>
      <c r="R1943" t="b">
        <f>AND(ISNUMBER(FIND($E1943,Tables!$I$2)), ISNUMBER(FIND($D1943,Tables!$J$2)), $E1943&lt;&gt;"")</f>
        <v>0</v>
      </c>
    </row>
    <row r="1944" spans="1:18" x14ac:dyDescent="0.3">
      <c r="A1944">
        <f t="shared" si="151"/>
        <v>1927</v>
      </c>
      <c r="B1944" s="4"/>
      <c r="I1944" s="8"/>
      <c r="J1944" s="5"/>
      <c r="K1944" s="3"/>
      <c r="L1944" s="3" t="str">
        <f t="shared" si="153"/>
        <v/>
      </c>
      <c r="N1944" s="3" t="str">
        <f t="shared" si="152"/>
        <v/>
      </c>
      <c r="O1944" s="6" t="str">
        <f t="shared" si="154"/>
        <v/>
      </c>
      <c r="P1944" s="7">
        <f ca="1">SUMIFS($N$2:$N1944,$B$2:$B1944,"&lt;&gt;"&amp;B1944)+SUM($Q$2:$Q1944)</f>
        <v>135.05500000000001</v>
      </c>
      <c r="R1944" t="b">
        <f>AND(ISNUMBER(FIND($E1944,Tables!$I$2)), ISNUMBER(FIND($D1944,Tables!$J$2)), $E1944&lt;&gt;"")</f>
        <v>0</v>
      </c>
    </row>
    <row r="1945" spans="1:18" x14ac:dyDescent="0.3">
      <c r="A1945">
        <f t="shared" si="151"/>
        <v>1928</v>
      </c>
      <c r="B1945" s="4"/>
      <c r="I1945" s="8"/>
      <c r="J1945" s="5"/>
      <c r="K1945" s="3"/>
      <c r="L1945" s="3" t="str">
        <f t="shared" si="153"/>
        <v/>
      </c>
      <c r="N1945" s="3" t="str">
        <f t="shared" si="152"/>
        <v/>
      </c>
      <c r="O1945" s="6" t="str">
        <f t="shared" si="154"/>
        <v/>
      </c>
      <c r="P1945" s="7">
        <f ca="1">SUMIFS($N$2:$N1945,$B$2:$B1945,"&lt;&gt;"&amp;B1945)+SUM($Q$2:$Q1945)</f>
        <v>135.05500000000001</v>
      </c>
      <c r="R1945" t="b">
        <f>AND(ISNUMBER(FIND($E1945,Tables!$I$2)), ISNUMBER(FIND($D1945,Tables!$J$2)), $E1945&lt;&gt;"")</f>
        <v>0</v>
      </c>
    </row>
    <row r="1946" spans="1:18" x14ac:dyDescent="0.3">
      <c r="A1946">
        <f t="shared" si="151"/>
        <v>1929</v>
      </c>
      <c r="B1946" s="4"/>
      <c r="I1946" s="8"/>
      <c r="J1946" s="5"/>
      <c r="K1946" s="3"/>
      <c r="L1946" s="3" t="str">
        <f t="shared" si="153"/>
        <v/>
      </c>
      <c r="N1946" s="3" t="str">
        <f t="shared" si="152"/>
        <v/>
      </c>
      <c r="O1946" s="6" t="str">
        <f t="shared" si="154"/>
        <v/>
      </c>
      <c r="P1946" s="7">
        <f ca="1">SUMIFS($N$2:$N1946,$B$2:$B1946,"&lt;&gt;"&amp;B1946)+SUM($Q$2:$Q1946)</f>
        <v>135.05500000000001</v>
      </c>
      <c r="R1946" t="b">
        <f>AND(ISNUMBER(FIND($E1946,Tables!$I$2)), ISNUMBER(FIND($D1946,Tables!$J$2)), $E1946&lt;&gt;"")</f>
        <v>0</v>
      </c>
    </row>
    <row r="1947" spans="1:18" x14ac:dyDescent="0.3">
      <c r="A1947">
        <f t="shared" si="151"/>
        <v>1930</v>
      </c>
      <c r="B1947" s="4"/>
      <c r="I1947" s="8"/>
      <c r="J1947" s="5"/>
      <c r="K1947" s="3"/>
      <c r="L1947" s="3" t="str">
        <f t="shared" si="153"/>
        <v/>
      </c>
      <c r="N1947" s="3" t="str">
        <f t="shared" si="152"/>
        <v/>
      </c>
      <c r="O1947" s="6" t="str">
        <f t="shared" si="154"/>
        <v/>
      </c>
      <c r="P1947" s="7">
        <f ca="1">SUMIFS($N$2:$N1947,$B$2:$B1947,"&lt;&gt;"&amp;B1947)+SUM($Q$2:$Q1947)</f>
        <v>135.05500000000001</v>
      </c>
      <c r="R1947" t="b">
        <f>AND(ISNUMBER(FIND($E1947,Tables!$I$2)), ISNUMBER(FIND($D1947,Tables!$J$2)), $E1947&lt;&gt;"")</f>
        <v>0</v>
      </c>
    </row>
    <row r="1948" spans="1:18" x14ac:dyDescent="0.3">
      <c r="A1948">
        <f t="shared" si="151"/>
        <v>1931</v>
      </c>
      <c r="B1948" s="4"/>
      <c r="I1948" s="8"/>
      <c r="J1948" s="5"/>
      <c r="K1948" s="3"/>
      <c r="L1948" s="3" t="str">
        <f t="shared" si="153"/>
        <v/>
      </c>
      <c r="N1948" s="3" t="str">
        <f t="shared" si="152"/>
        <v/>
      </c>
      <c r="O1948" s="6" t="str">
        <f t="shared" si="154"/>
        <v/>
      </c>
      <c r="P1948" s="7">
        <f ca="1">SUMIFS($N$2:$N1948,$B$2:$B1948,"&lt;&gt;"&amp;B1948)+SUM($Q$2:$Q1948)</f>
        <v>135.05500000000001</v>
      </c>
      <c r="R1948" t="b">
        <f>AND(ISNUMBER(FIND($E1948,Tables!$I$2)), ISNUMBER(FIND($D1948,Tables!$J$2)), $E1948&lt;&gt;"")</f>
        <v>0</v>
      </c>
    </row>
    <row r="1949" spans="1:18" x14ac:dyDescent="0.3">
      <c r="A1949">
        <f t="shared" si="151"/>
        <v>1932</v>
      </c>
      <c r="B1949" s="4"/>
      <c r="I1949" s="8"/>
      <c r="J1949" s="5"/>
      <c r="K1949" s="3"/>
      <c r="L1949" s="3" t="str">
        <f t="shared" si="153"/>
        <v/>
      </c>
      <c r="N1949" s="3" t="str">
        <f t="shared" si="152"/>
        <v/>
      </c>
      <c r="O1949" s="6" t="str">
        <f t="shared" si="154"/>
        <v/>
      </c>
      <c r="P1949" s="7">
        <f ca="1">SUMIFS($N$2:$N1949,$B$2:$B1949,"&lt;&gt;"&amp;B1949)+SUM($Q$2:$Q1949)</f>
        <v>135.05500000000001</v>
      </c>
      <c r="R1949" t="b">
        <f>AND(ISNUMBER(FIND($E1949,Tables!$I$2)), ISNUMBER(FIND($D1949,Tables!$J$2)), $E1949&lt;&gt;"")</f>
        <v>0</v>
      </c>
    </row>
    <row r="1950" spans="1:18" x14ac:dyDescent="0.3">
      <c r="A1950">
        <f t="shared" si="151"/>
        <v>1933</v>
      </c>
      <c r="B1950" s="4"/>
      <c r="I1950" s="8"/>
      <c r="J1950" s="5"/>
      <c r="K1950" s="3"/>
      <c r="L1950" s="3" t="str">
        <f t="shared" si="153"/>
        <v/>
      </c>
      <c r="N1950" s="3" t="str">
        <f t="shared" si="152"/>
        <v/>
      </c>
      <c r="O1950" s="6" t="str">
        <f t="shared" si="154"/>
        <v/>
      </c>
      <c r="P1950" s="7">
        <f ca="1">SUMIFS($N$2:$N1950,$B$2:$B1950,"&lt;&gt;"&amp;B1950)+SUM($Q$2:$Q1950)</f>
        <v>135.05500000000001</v>
      </c>
      <c r="R1950" t="b">
        <f>AND(ISNUMBER(FIND($E1950,Tables!$I$2)), ISNUMBER(FIND($D1950,Tables!$J$2)), $E1950&lt;&gt;"")</f>
        <v>0</v>
      </c>
    </row>
    <row r="1951" spans="1:18" x14ac:dyDescent="0.3">
      <c r="A1951">
        <f t="shared" si="151"/>
        <v>1934</v>
      </c>
      <c r="B1951" s="4"/>
      <c r="I1951" s="8"/>
      <c r="J1951" s="5"/>
      <c r="K1951" s="3"/>
      <c r="L1951" s="3" t="str">
        <f t="shared" si="153"/>
        <v/>
      </c>
      <c r="N1951" s="3" t="str">
        <f t="shared" si="152"/>
        <v/>
      </c>
      <c r="O1951" s="6" t="str">
        <f t="shared" si="154"/>
        <v/>
      </c>
      <c r="P1951" s="7">
        <f ca="1">SUMIFS($N$2:$N1951,$B$2:$B1951,"&lt;&gt;"&amp;B1951)+SUM($Q$2:$Q1951)</f>
        <v>135.05500000000001</v>
      </c>
      <c r="R1951" t="b">
        <f>AND(ISNUMBER(FIND($E1951,Tables!$I$2)), ISNUMBER(FIND($D1951,Tables!$J$2)), $E1951&lt;&gt;"")</f>
        <v>0</v>
      </c>
    </row>
    <row r="1952" spans="1:18" x14ac:dyDescent="0.3">
      <c r="A1952">
        <f t="shared" si="151"/>
        <v>1935</v>
      </c>
      <c r="B1952" s="4"/>
      <c r="I1952" s="8"/>
      <c r="J1952" s="5"/>
      <c r="K1952" s="3"/>
      <c r="L1952" s="3" t="str">
        <f t="shared" si="153"/>
        <v/>
      </c>
      <c r="N1952" s="3" t="str">
        <f t="shared" si="152"/>
        <v/>
      </c>
      <c r="O1952" s="6" t="str">
        <f t="shared" si="154"/>
        <v/>
      </c>
      <c r="P1952" s="7">
        <f ca="1">SUMIFS($N$2:$N1952,$B$2:$B1952,"&lt;&gt;"&amp;B1952)+SUM($Q$2:$Q1952)</f>
        <v>135.05500000000001</v>
      </c>
      <c r="R1952" t="b">
        <f>AND(ISNUMBER(FIND($E1952,Tables!$I$2)), ISNUMBER(FIND($D1952,Tables!$J$2)), $E1952&lt;&gt;"")</f>
        <v>0</v>
      </c>
    </row>
    <row r="1953" spans="1:18" x14ac:dyDescent="0.3">
      <c r="A1953">
        <f t="shared" si="151"/>
        <v>1936</v>
      </c>
      <c r="B1953" s="4"/>
      <c r="I1953" s="8"/>
      <c r="J1953" s="5"/>
      <c r="K1953" s="3"/>
      <c r="L1953" s="3" t="str">
        <f t="shared" si="153"/>
        <v/>
      </c>
      <c r="N1953" s="3" t="str">
        <f t="shared" si="152"/>
        <v/>
      </c>
      <c r="O1953" s="6" t="str">
        <f t="shared" si="154"/>
        <v/>
      </c>
      <c r="P1953" s="7">
        <f ca="1">SUMIFS($N$2:$N1953,$B$2:$B1953,"&lt;&gt;"&amp;B1953)+SUM($Q$2:$Q1953)</f>
        <v>135.05500000000001</v>
      </c>
      <c r="R1953" t="b">
        <f>AND(ISNUMBER(FIND($E1953,Tables!$I$2)), ISNUMBER(FIND($D1953,Tables!$J$2)), $E1953&lt;&gt;"")</f>
        <v>0</v>
      </c>
    </row>
    <row r="1954" spans="1:18" x14ac:dyDescent="0.3">
      <c r="A1954">
        <f t="shared" ref="A1954:A2017" si="155">IF(AND(B1954="", D1954&lt;&gt;""), A1953, A1953+1)</f>
        <v>1937</v>
      </c>
      <c r="B1954" s="4"/>
      <c r="I1954" s="8"/>
      <c r="J1954" s="5"/>
      <c r="K1954" s="3"/>
      <c r="L1954" s="3" t="str">
        <f t="shared" si="153"/>
        <v/>
      </c>
      <c r="N1954" s="3" t="str">
        <f t="shared" si="152"/>
        <v/>
      </c>
      <c r="O1954" s="6" t="str">
        <f t="shared" si="154"/>
        <v/>
      </c>
      <c r="P1954" s="7">
        <f ca="1">SUMIFS($N$2:$N1954,$B$2:$B1954,"&lt;&gt;"&amp;B1954)+SUM($Q$2:$Q1954)</f>
        <v>135.05500000000001</v>
      </c>
      <c r="R1954" t="b">
        <f>AND(ISNUMBER(FIND($E1954,Tables!$I$2)), ISNUMBER(FIND($D1954,Tables!$J$2)), $E1954&lt;&gt;"")</f>
        <v>0</v>
      </c>
    </row>
    <row r="1955" spans="1:18" x14ac:dyDescent="0.3">
      <c r="A1955">
        <f t="shared" si="155"/>
        <v>1938</v>
      </c>
      <c r="B1955" s="4"/>
      <c r="I1955" s="8"/>
      <c r="J1955" s="5"/>
      <c r="K1955" s="3"/>
      <c r="L1955" s="3" t="str">
        <f t="shared" si="153"/>
        <v/>
      </c>
      <c r="N1955" s="3" t="str">
        <f t="shared" si="152"/>
        <v/>
      </c>
      <c r="O1955" s="6" t="str">
        <f t="shared" si="154"/>
        <v/>
      </c>
      <c r="P1955" s="7">
        <f ca="1">SUMIFS($N$2:$N1955,$B$2:$B1955,"&lt;&gt;"&amp;B1955)+SUM($Q$2:$Q1955)</f>
        <v>135.05500000000001</v>
      </c>
      <c r="R1955" t="b">
        <f>AND(ISNUMBER(FIND($E1955,Tables!$I$2)), ISNUMBER(FIND($D1955,Tables!$J$2)), $E1955&lt;&gt;"")</f>
        <v>0</v>
      </c>
    </row>
    <row r="1956" spans="1:18" x14ac:dyDescent="0.3">
      <c r="A1956">
        <f t="shared" si="155"/>
        <v>1939</v>
      </c>
      <c r="B1956" s="4"/>
      <c r="I1956" s="8"/>
      <c r="J1956" s="5"/>
      <c r="K1956" s="3"/>
      <c r="L1956" s="3" t="str">
        <f t="shared" si="153"/>
        <v/>
      </c>
      <c r="N1956" s="3" t="str">
        <f t="shared" si="152"/>
        <v/>
      </c>
      <c r="O1956" s="6" t="str">
        <f t="shared" si="154"/>
        <v/>
      </c>
      <c r="P1956" s="7">
        <f ca="1">SUMIFS($N$2:$N1956,$B$2:$B1956,"&lt;&gt;"&amp;B1956)+SUM($Q$2:$Q1956)</f>
        <v>135.05500000000001</v>
      </c>
      <c r="R1956" t="b">
        <f>AND(ISNUMBER(FIND($E1956,Tables!$I$2)), ISNUMBER(FIND($D1956,Tables!$J$2)), $E1956&lt;&gt;"")</f>
        <v>0</v>
      </c>
    </row>
    <row r="1957" spans="1:18" x14ac:dyDescent="0.3">
      <c r="A1957">
        <f t="shared" si="155"/>
        <v>1940</v>
      </c>
      <c r="B1957" s="4"/>
      <c r="I1957" s="8"/>
      <c r="J1957" s="5"/>
      <c r="K1957" s="3"/>
      <c r="L1957" s="3" t="str">
        <f t="shared" si="153"/>
        <v/>
      </c>
      <c r="N1957" s="3" t="str">
        <f t="shared" si="152"/>
        <v/>
      </c>
      <c r="O1957" s="6" t="str">
        <f t="shared" si="154"/>
        <v/>
      </c>
      <c r="P1957" s="7">
        <f ca="1">SUMIFS($N$2:$N1957,$B$2:$B1957,"&lt;&gt;"&amp;B1957)+SUM($Q$2:$Q1957)</f>
        <v>135.05500000000001</v>
      </c>
      <c r="R1957" t="b">
        <f>AND(ISNUMBER(FIND($E1957,Tables!$I$2)), ISNUMBER(FIND($D1957,Tables!$J$2)), $E1957&lt;&gt;"")</f>
        <v>0</v>
      </c>
    </row>
    <row r="1958" spans="1:18" x14ac:dyDescent="0.3">
      <c r="A1958">
        <f t="shared" si="155"/>
        <v>1941</v>
      </c>
      <c r="B1958" s="4"/>
      <c r="I1958" s="8"/>
      <c r="J1958" s="5"/>
      <c r="K1958" s="3"/>
      <c r="L1958" s="3" t="str">
        <f t="shared" si="153"/>
        <v/>
      </c>
      <c r="N1958" s="3" t="str">
        <f t="shared" si="152"/>
        <v/>
      </c>
      <c r="O1958" s="6" t="str">
        <f t="shared" si="154"/>
        <v/>
      </c>
      <c r="P1958" s="7">
        <f ca="1">SUMIFS($N$2:$N1958,$B$2:$B1958,"&lt;&gt;"&amp;B1958)+SUM($Q$2:$Q1958)</f>
        <v>135.05500000000001</v>
      </c>
      <c r="R1958" t="b">
        <f>AND(ISNUMBER(FIND($E1958,Tables!$I$2)), ISNUMBER(FIND($D1958,Tables!$J$2)), $E1958&lt;&gt;"")</f>
        <v>0</v>
      </c>
    </row>
    <row r="1959" spans="1:18" x14ac:dyDescent="0.3">
      <c r="A1959">
        <f t="shared" si="155"/>
        <v>1942</v>
      </c>
      <c r="B1959" s="4"/>
      <c r="I1959" s="8"/>
      <c r="J1959" s="5"/>
      <c r="K1959" s="3"/>
      <c r="L1959" s="3" t="str">
        <f t="shared" si="153"/>
        <v/>
      </c>
      <c r="N1959" s="3" t="str">
        <f t="shared" si="152"/>
        <v/>
      </c>
      <c r="O1959" s="6" t="str">
        <f t="shared" si="154"/>
        <v/>
      </c>
      <c r="P1959" s="7">
        <f ca="1">SUMIFS($N$2:$N1959,$B$2:$B1959,"&lt;&gt;"&amp;B1959)+SUM($Q$2:$Q1959)</f>
        <v>135.05500000000001</v>
      </c>
      <c r="R1959" t="b">
        <f>AND(ISNUMBER(FIND($E1959,Tables!$I$2)), ISNUMBER(FIND($D1959,Tables!$J$2)), $E1959&lt;&gt;"")</f>
        <v>0</v>
      </c>
    </row>
    <row r="1960" spans="1:18" x14ac:dyDescent="0.3">
      <c r="A1960">
        <f t="shared" si="155"/>
        <v>1943</v>
      </c>
      <c r="B1960" s="4"/>
      <c r="I1960" s="8"/>
      <c r="J1960" s="5"/>
      <c r="K1960" s="3"/>
      <c r="L1960" s="3" t="str">
        <f t="shared" si="153"/>
        <v/>
      </c>
      <c r="N1960" s="3" t="str">
        <f t="shared" ref="N1960:N2023" si="156">IF(L1960 = "", "", IF(M1960="", "", IF(OR(M1960="Draw",M1960="NC"), 0, IF(M1960="win", L1960, -1*K1960))))</f>
        <v/>
      </c>
      <c r="O1960" s="6" t="str">
        <f t="shared" si="154"/>
        <v/>
      </c>
      <c r="P1960" s="7">
        <f ca="1">SUMIFS($N$2:$N1960,$B$2:$B1960,"&lt;&gt;"&amp;B1960)+SUM($Q$2:$Q1960)</f>
        <v>135.05500000000001</v>
      </c>
      <c r="R1960" t="b">
        <f>AND(ISNUMBER(FIND($E1960,Tables!$I$2)), ISNUMBER(FIND($D1960,Tables!$J$2)), $E1960&lt;&gt;"")</f>
        <v>0</v>
      </c>
    </row>
    <row r="1961" spans="1:18" x14ac:dyDescent="0.3">
      <c r="A1961">
        <f t="shared" si="155"/>
        <v>1944</v>
      </c>
      <c r="B1961" s="4"/>
      <c r="I1961" s="8"/>
      <c r="J1961" s="5"/>
      <c r="K1961" s="3"/>
      <c r="L1961" s="3" t="str">
        <f t="shared" si="153"/>
        <v/>
      </c>
      <c r="N1961" s="3" t="str">
        <f t="shared" si="156"/>
        <v/>
      </c>
      <c r="O1961" s="6" t="str">
        <f t="shared" si="154"/>
        <v/>
      </c>
      <c r="P1961" s="7">
        <f ca="1">SUMIFS($N$2:$N1961,$B$2:$B1961,"&lt;&gt;"&amp;B1961)+SUM($Q$2:$Q1961)</f>
        <v>135.05500000000001</v>
      </c>
      <c r="R1961" t="b">
        <f>AND(ISNUMBER(FIND($E1961,Tables!$I$2)), ISNUMBER(FIND($D1961,Tables!$J$2)), $E1961&lt;&gt;"")</f>
        <v>0</v>
      </c>
    </row>
    <row r="1962" spans="1:18" x14ac:dyDescent="0.3">
      <c r="A1962">
        <f t="shared" si="155"/>
        <v>1945</v>
      </c>
      <c r="B1962" s="4"/>
      <c r="I1962" s="8"/>
      <c r="J1962" s="5"/>
      <c r="K1962" s="3"/>
      <c r="L1962" s="3" t="str">
        <f t="shared" si="153"/>
        <v/>
      </c>
      <c r="N1962" s="3" t="str">
        <f t="shared" si="156"/>
        <v/>
      </c>
      <c r="O1962" s="6" t="str">
        <f t="shared" si="154"/>
        <v/>
      </c>
      <c r="P1962" s="7">
        <f ca="1">SUMIFS($N$2:$N1962,$B$2:$B1962,"&lt;&gt;"&amp;B1962)+SUM($Q$2:$Q1962)</f>
        <v>135.05500000000001</v>
      </c>
      <c r="R1962" t="b">
        <f>AND(ISNUMBER(FIND($E1962,Tables!$I$2)), ISNUMBER(FIND($D1962,Tables!$J$2)), $E1962&lt;&gt;"")</f>
        <v>0</v>
      </c>
    </row>
    <row r="1963" spans="1:18" x14ac:dyDescent="0.3">
      <c r="A1963">
        <f t="shared" si="155"/>
        <v>1946</v>
      </c>
      <c r="B1963" s="4"/>
      <c r="I1963" s="8"/>
      <c r="J1963" s="5"/>
      <c r="K1963" s="3"/>
      <c r="L1963" s="3" t="str">
        <f t="shared" si="153"/>
        <v/>
      </c>
      <c r="N1963" s="3" t="str">
        <f t="shared" si="156"/>
        <v/>
      </c>
      <c r="O1963" s="6" t="str">
        <f t="shared" si="154"/>
        <v/>
      </c>
      <c r="P1963" s="7">
        <f ca="1">SUMIFS($N$2:$N1963,$B$2:$B1963,"&lt;&gt;"&amp;B1963)+SUM($Q$2:$Q1963)</f>
        <v>135.05500000000001</v>
      </c>
      <c r="R1963" t="b">
        <f>AND(ISNUMBER(FIND($E1963,Tables!$I$2)), ISNUMBER(FIND($D1963,Tables!$J$2)), $E1963&lt;&gt;"")</f>
        <v>0</v>
      </c>
    </row>
    <row r="1964" spans="1:18" x14ac:dyDescent="0.3">
      <c r="A1964">
        <f t="shared" si="155"/>
        <v>1947</v>
      </c>
      <c r="B1964" s="4"/>
      <c r="I1964" s="8"/>
      <c r="J1964" s="5"/>
      <c r="K1964" s="3"/>
      <c r="L1964" s="3" t="str">
        <f t="shared" si="153"/>
        <v/>
      </c>
      <c r="N1964" s="3" t="str">
        <f t="shared" si="156"/>
        <v/>
      </c>
      <c r="O1964" s="6" t="str">
        <f t="shared" si="154"/>
        <v/>
      </c>
      <c r="P1964" s="7">
        <f ca="1">SUMIFS($N$2:$N1964,$B$2:$B1964,"&lt;&gt;"&amp;B1964)+SUM($Q$2:$Q1964)</f>
        <v>135.05500000000001</v>
      </c>
      <c r="R1964" t="b">
        <f>AND(ISNUMBER(FIND($E1964,Tables!$I$2)), ISNUMBER(FIND($D1964,Tables!$J$2)), $E1964&lt;&gt;"")</f>
        <v>0</v>
      </c>
    </row>
    <row r="1965" spans="1:18" x14ac:dyDescent="0.3">
      <c r="A1965">
        <f t="shared" si="155"/>
        <v>1948</v>
      </c>
      <c r="B1965" s="4"/>
      <c r="I1965" s="8"/>
      <c r="J1965" s="5"/>
      <c r="K1965" s="3"/>
      <c r="L1965" s="3" t="str">
        <f t="shared" si="153"/>
        <v/>
      </c>
      <c r="N1965" s="3" t="str">
        <f t="shared" si="156"/>
        <v/>
      </c>
      <c r="O1965" s="6" t="str">
        <f t="shared" si="154"/>
        <v/>
      </c>
      <c r="P1965" s="7">
        <f ca="1">SUMIFS($N$2:$N1965,$B$2:$B1965,"&lt;&gt;"&amp;B1965)+SUM($Q$2:$Q1965)</f>
        <v>135.05500000000001</v>
      </c>
      <c r="R1965" t="b">
        <f>AND(ISNUMBER(FIND($E1965,Tables!$I$2)), ISNUMBER(FIND($D1965,Tables!$J$2)), $E1965&lt;&gt;"")</f>
        <v>0</v>
      </c>
    </row>
    <row r="1966" spans="1:18" x14ac:dyDescent="0.3">
      <c r="A1966">
        <f t="shared" si="155"/>
        <v>1949</v>
      </c>
      <c r="B1966" s="4"/>
      <c r="I1966" s="8"/>
      <c r="J1966" s="5"/>
      <c r="K1966" s="3"/>
      <c r="L1966" s="3" t="str">
        <f t="shared" si="153"/>
        <v/>
      </c>
      <c r="N1966" s="3" t="str">
        <f t="shared" si="156"/>
        <v/>
      </c>
      <c r="O1966" s="6" t="str">
        <f t="shared" si="154"/>
        <v/>
      </c>
      <c r="P1966" s="7">
        <f ca="1">SUMIFS($N$2:$N1966,$B$2:$B1966,"&lt;&gt;"&amp;B1966)+SUM($Q$2:$Q1966)</f>
        <v>135.05500000000001</v>
      </c>
      <c r="R1966" t="b">
        <f>AND(ISNUMBER(FIND($E1966,Tables!$I$2)), ISNUMBER(FIND($D1966,Tables!$J$2)), $E1966&lt;&gt;"")</f>
        <v>0</v>
      </c>
    </row>
    <row r="1967" spans="1:18" x14ac:dyDescent="0.3">
      <c r="A1967">
        <f t="shared" si="155"/>
        <v>1950</v>
      </c>
      <c r="B1967" s="4"/>
      <c r="I1967" s="8"/>
      <c r="J1967" s="5"/>
      <c r="K1967" s="3"/>
      <c r="L1967" s="3" t="str">
        <f t="shared" si="153"/>
        <v/>
      </c>
      <c r="N1967" s="3" t="str">
        <f t="shared" si="156"/>
        <v/>
      </c>
      <c r="O1967" s="6" t="str">
        <f t="shared" si="154"/>
        <v/>
      </c>
      <c r="P1967" s="7">
        <f ca="1">SUMIFS($N$2:$N1967,$B$2:$B1967,"&lt;&gt;"&amp;B1967)+SUM($Q$2:$Q1967)</f>
        <v>135.05500000000001</v>
      </c>
      <c r="R1967" t="b">
        <f>AND(ISNUMBER(FIND($E1967,Tables!$I$2)), ISNUMBER(FIND($D1967,Tables!$J$2)), $E1967&lt;&gt;"")</f>
        <v>0</v>
      </c>
    </row>
    <row r="1968" spans="1:18" x14ac:dyDescent="0.3">
      <c r="A1968">
        <f t="shared" si="155"/>
        <v>1951</v>
      </c>
      <c r="B1968" s="4"/>
      <c r="I1968" s="8"/>
      <c r="J1968" s="5"/>
      <c r="K1968" s="3"/>
      <c r="L1968" s="3" t="str">
        <f t="shared" si="153"/>
        <v/>
      </c>
      <c r="N1968" s="3" t="str">
        <f t="shared" si="156"/>
        <v/>
      </c>
      <c r="O1968" s="6" t="str">
        <f t="shared" si="154"/>
        <v/>
      </c>
      <c r="P1968" s="7">
        <f ca="1">SUMIFS($N$2:$N1968,$B$2:$B1968,"&lt;&gt;"&amp;B1968)+SUM($Q$2:$Q1968)</f>
        <v>135.05500000000001</v>
      </c>
      <c r="R1968" t="b">
        <f>AND(ISNUMBER(FIND($E1968,Tables!$I$2)), ISNUMBER(FIND($D1968,Tables!$J$2)), $E1968&lt;&gt;"")</f>
        <v>0</v>
      </c>
    </row>
    <row r="1969" spans="1:18" x14ac:dyDescent="0.3">
      <c r="A1969">
        <f t="shared" si="155"/>
        <v>1952</v>
      </c>
      <c r="B1969" s="4"/>
      <c r="I1969" s="8"/>
      <c r="J1969" s="5"/>
      <c r="K1969" s="3"/>
      <c r="L1969" s="3" t="str">
        <f t="shared" si="153"/>
        <v/>
      </c>
      <c r="N1969" s="3" t="str">
        <f t="shared" si="156"/>
        <v/>
      </c>
      <c r="O1969" s="6" t="str">
        <f t="shared" si="154"/>
        <v/>
      </c>
      <c r="P1969" s="7">
        <f ca="1">SUMIFS($N$2:$N1969,$B$2:$B1969,"&lt;&gt;"&amp;B1969)+SUM($Q$2:$Q1969)</f>
        <v>135.05500000000001</v>
      </c>
      <c r="R1969" t="b">
        <f>AND(ISNUMBER(FIND($E1969,Tables!$I$2)), ISNUMBER(FIND($D1969,Tables!$J$2)), $E1969&lt;&gt;"")</f>
        <v>0</v>
      </c>
    </row>
    <row r="1970" spans="1:18" x14ac:dyDescent="0.3">
      <c r="A1970">
        <f t="shared" si="155"/>
        <v>1953</v>
      </c>
      <c r="B1970" s="4"/>
      <c r="I1970" s="8"/>
      <c r="J1970" s="5"/>
      <c r="K1970" s="3"/>
      <c r="L1970" s="3" t="str">
        <f t="shared" ref="L1970:L2033" si="157">IFERROR(IF(K1970=0, "", IF(I1970&gt;0, K1970/100*I1970,K1970/I1970*-100)), "")</f>
        <v/>
      </c>
      <c r="N1970" s="3" t="str">
        <f t="shared" si="156"/>
        <v/>
      </c>
      <c r="O1970" s="6" t="str">
        <f t="shared" si="154"/>
        <v/>
      </c>
      <c r="P1970" s="7">
        <f ca="1">SUMIFS($N$2:$N1970,$B$2:$B1970,"&lt;&gt;"&amp;B1970)+SUM($Q$2:$Q1970)</f>
        <v>135.05500000000001</v>
      </c>
      <c r="R1970" t="b">
        <f>AND(ISNUMBER(FIND($E1970,Tables!$I$2)), ISNUMBER(FIND($D1970,Tables!$J$2)), $E1970&lt;&gt;"")</f>
        <v>0</v>
      </c>
    </row>
    <row r="1971" spans="1:18" x14ac:dyDescent="0.3">
      <c r="A1971">
        <f t="shared" si="155"/>
        <v>1954</v>
      </c>
      <c r="B1971" s="4"/>
      <c r="I1971" s="8"/>
      <c r="J1971" s="5"/>
      <c r="K1971" s="3"/>
      <c r="L1971" s="3" t="str">
        <f t="shared" si="157"/>
        <v/>
      </c>
      <c r="N1971" s="3" t="str">
        <f t="shared" si="156"/>
        <v/>
      </c>
      <c r="O1971" s="6" t="str">
        <f t="shared" si="154"/>
        <v/>
      </c>
      <c r="P1971" s="7">
        <f ca="1">SUMIFS($N$2:$N1971,$B$2:$B1971,"&lt;&gt;"&amp;B1971)+SUM($Q$2:$Q1971)</f>
        <v>135.05500000000001</v>
      </c>
      <c r="R1971" t="b">
        <f>AND(ISNUMBER(FIND($E1971,Tables!$I$2)), ISNUMBER(FIND($D1971,Tables!$J$2)), $E1971&lt;&gt;"")</f>
        <v>0</v>
      </c>
    </row>
    <row r="1972" spans="1:18" x14ac:dyDescent="0.3">
      <c r="A1972">
        <f t="shared" si="155"/>
        <v>1955</v>
      </c>
      <c r="B1972" s="4"/>
      <c r="I1972" s="8"/>
      <c r="J1972" s="5"/>
      <c r="K1972" s="3"/>
      <c r="L1972" s="3" t="str">
        <f t="shared" si="157"/>
        <v/>
      </c>
      <c r="N1972" s="3" t="str">
        <f t="shared" si="156"/>
        <v/>
      </c>
      <c r="O1972" s="6" t="str">
        <f t="shared" si="154"/>
        <v/>
      </c>
      <c r="P1972" s="7">
        <f ca="1">SUMIFS($N$2:$N1972,$B$2:$B1972,"&lt;&gt;"&amp;B1972)+SUM($Q$2:$Q1972)</f>
        <v>135.05500000000001</v>
      </c>
      <c r="R1972" t="b">
        <f>AND(ISNUMBER(FIND($E1972,Tables!$I$2)), ISNUMBER(FIND($D1972,Tables!$J$2)), $E1972&lt;&gt;"")</f>
        <v>0</v>
      </c>
    </row>
    <row r="1973" spans="1:18" x14ac:dyDescent="0.3">
      <c r="A1973">
        <f t="shared" si="155"/>
        <v>1956</v>
      </c>
      <c r="B1973" s="4"/>
      <c r="I1973" s="8"/>
      <c r="J1973" s="5"/>
      <c r="K1973" s="3"/>
      <c r="L1973" s="3" t="str">
        <f t="shared" si="157"/>
        <v/>
      </c>
      <c r="N1973" s="3" t="str">
        <f t="shared" si="156"/>
        <v/>
      </c>
      <c r="O1973" s="6" t="str">
        <f t="shared" si="154"/>
        <v/>
      </c>
      <c r="P1973" s="7">
        <f ca="1">SUMIFS($N$2:$N1973,$B$2:$B1973,"&lt;&gt;"&amp;B1973)+SUM($Q$2:$Q1973)</f>
        <v>135.05500000000001</v>
      </c>
      <c r="R1973" t="b">
        <f>AND(ISNUMBER(FIND($E1973,Tables!$I$2)), ISNUMBER(FIND($D1973,Tables!$J$2)), $E1973&lt;&gt;"")</f>
        <v>0</v>
      </c>
    </row>
    <row r="1974" spans="1:18" x14ac:dyDescent="0.3">
      <c r="A1974">
        <f t="shared" si="155"/>
        <v>1957</v>
      </c>
      <c r="B1974" s="4"/>
      <c r="I1974" s="8"/>
      <c r="J1974" s="5"/>
      <c r="K1974" s="3"/>
      <c r="L1974" s="3" t="str">
        <f t="shared" si="157"/>
        <v/>
      </c>
      <c r="N1974" s="3" t="str">
        <f t="shared" si="156"/>
        <v/>
      </c>
      <c r="O1974" s="6" t="str">
        <f t="shared" si="154"/>
        <v/>
      </c>
      <c r="P1974" s="7">
        <f ca="1">SUMIFS($N$2:$N1974,$B$2:$B1974,"&lt;&gt;"&amp;B1974)+SUM($Q$2:$Q1974)</f>
        <v>135.05500000000001</v>
      </c>
      <c r="R1974" t="b">
        <f>AND(ISNUMBER(FIND($E1974,Tables!$I$2)), ISNUMBER(FIND($D1974,Tables!$J$2)), $E1974&lt;&gt;"")</f>
        <v>0</v>
      </c>
    </row>
    <row r="1975" spans="1:18" x14ac:dyDescent="0.3">
      <c r="A1975">
        <f t="shared" si="155"/>
        <v>1958</v>
      </c>
      <c r="B1975" s="4"/>
      <c r="I1975" s="8"/>
      <c r="J1975" s="5"/>
      <c r="K1975" s="3"/>
      <c r="L1975" s="3" t="str">
        <f t="shared" si="157"/>
        <v/>
      </c>
      <c r="N1975" s="3" t="str">
        <f t="shared" si="156"/>
        <v/>
      </c>
      <c r="O1975" s="6" t="str">
        <f t="shared" si="154"/>
        <v/>
      </c>
      <c r="P1975" s="7">
        <f ca="1">SUMIFS($N$2:$N1975,$B$2:$B1975,"&lt;&gt;"&amp;B1975)+SUM($Q$2:$Q1975)</f>
        <v>135.05500000000001</v>
      </c>
      <c r="R1975" t="b">
        <f>AND(ISNUMBER(FIND($E1975,Tables!$I$2)), ISNUMBER(FIND($D1975,Tables!$J$2)), $E1975&lt;&gt;"")</f>
        <v>0</v>
      </c>
    </row>
    <row r="1976" spans="1:18" x14ac:dyDescent="0.3">
      <c r="A1976">
        <f t="shared" si="155"/>
        <v>1959</v>
      </c>
      <c r="B1976" s="4"/>
      <c r="I1976" s="8"/>
      <c r="J1976" s="5"/>
      <c r="K1976" s="3"/>
      <c r="L1976" s="3" t="str">
        <f t="shared" si="157"/>
        <v/>
      </c>
      <c r="N1976" s="3" t="str">
        <f t="shared" si="156"/>
        <v/>
      </c>
      <c r="O1976" s="6" t="str">
        <f t="shared" si="154"/>
        <v/>
      </c>
      <c r="P1976" s="7">
        <f ca="1">SUMIFS($N$2:$N1976,$B$2:$B1976,"&lt;&gt;"&amp;B1976)+SUM($Q$2:$Q1976)</f>
        <v>135.05500000000001</v>
      </c>
      <c r="R1976" t="b">
        <f>AND(ISNUMBER(FIND($E1976,Tables!$I$2)), ISNUMBER(FIND($D1976,Tables!$J$2)), $E1976&lt;&gt;"")</f>
        <v>0</v>
      </c>
    </row>
    <row r="1977" spans="1:18" x14ac:dyDescent="0.3">
      <c r="A1977">
        <f t="shared" si="155"/>
        <v>1960</v>
      </c>
      <c r="B1977" s="4"/>
      <c r="I1977" s="8"/>
      <c r="J1977" s="5"/>
      <c r="K1977" s="3"/>
      <c r="L1977" s="3" t="str">
        <f t="shared" si="157"/>
        <v/>
      </c>
      <c r="N1977" s="3" t="str">
        <f t="shared" si="156"/>
        <v/>
      </c>
      <c r="O1977" s="6" t="str">
        <f t="shared" si="154"/>
        <v/>
      </c>
      <c r="P1977" s="7">
        <f ca="1">SUMIFS($N$2:$N1977,$B$2:$B1977,"&lt;&gt;"&amp;B1977)+SUM($Q$2:$Q1977)</f>
        <v>135.05500000000001</v>
      </c>
      <c r="R1977" t="b">
        <f>AND(ISNUMBER(FIND($E1977,Tables!$I$2)), ISNUMBER(FIND($D1977,Tables!$J$2)), $E1977&lt;&gt;"")</f>
        <v>0</v>
      </c>
    </row>
    <row r="1978" spans="1:18" x14ac:dyDescent="0.3">
      <c r="A1978">
        <f t="shared" si="155"/>
        <v>1961</v>
      </c>
      <c r="B1978" s="4"/>
      <c r="I1978" s="8"/>
      <c r="J1978" s="5"/>
      <c r="K1978" s="3"/>
      <c r="L1978" s="3" t="str">
        <f t="shared" si="157"/>
        <v/>
      </c>
      <c r="N1978" s="3" t="str">
        <f t="shared" si="156"/>
        <v/>
      </c>
      <c r="O1978" s="6" t="str">
        <f t="shared" si="154"/>
        <v/>
      </c>
      <c r="P1978" s="7">
        <f ca="1">SUMIFS($N$2:$N1978,$B$2:$B1978,"&lt;&gt;"&amp;B1978)+SUM($Q$2:$Q1978)</f>
        <v>135.05500000000001</v>
      </c>
      <c r="R1978" t="b">
        <f>AND(ISNUMBER(FIND($E1978,Tables!$I$2)), ISNUMBER(FIND($D1978,Tables!$J$2)), $E1978&lt;&gt;"")</f>
        <v>0</v>
      </c>
    </row>
    <row r="1979" spans="1:18" x14ac:dyDescent="0.3">
      <c r="A1979">
        <f t="shared" si="155"/>
        <v>1962</v>
      </c>
      <c r="B1979" s="4"/>
      <c r="I1979" s="8"/>
      <c r="J1979" s="5"/>
      <c r="K1979" s="3"/>
      <c r="L1979" s="3" t="str">
        <f t="shared" si="157"/>
        <v/>
      </c>
      <c r="N1979" s="3" t="str">
        <f t="shared" si="156"/>
        <v/>
      </c>
      <c r="O1979" s="6" t="str">
        <f t="shared" si="154"/>
        <v/>
      </c>
      <c r="P1979" s="7">
        <f ca="1">SUMIFS($N$2:$N1979,$B$2:$B1979,"&lt;&gt;"&amp;B1979)+SUM($Q$2:$Q1979)</f>
        <v>135.05500000000001</v>
      </c>
      <c r="R1979" t="b">
        <f>AND(ISNUMBER(FIND($E1979,Tables!$I$2)), ISNUMBER(FIND($D1979,Tables!$J$2)), $E1979&lt;&gt;"")</f>
        <v>0</v>
      </c>
    </row>
    <row r="1980" spans="1:18" x14ac:dyDescent="0.3">
      <c r="A1980">
        <f t="shared" si="155"/>
        <v>1963</v>
      </c>
      <c r="B1980" s="4"/>
      <c r="I1980" s="8"/>
      <c r="J1980" s="5"/>
      <c r="K1980" s="3"/>
      <c r="L1980" s="3" t="str">
        <f t="shared" si="157"/>
        <v/>
      </c>
      <c r="N1980" s="3" t="str">
        <f t="shared" si="156"/>
        <v/>
      </c>
      <c r="O1980" s="6" t="str">
        <f t="shared" si="154"/>
        <v/>
      </c>
      <c r="P1980" s="7">
        <f ca="1">SUMIFS($N$2:$N1980,$B$2:$B1980,"&lt;&gt;"&amp;B1980)+SUM($Q$2:$Q1980)</f>
        <v>135.05500000000001</v>
      </c>
      <c r="R1980" t="b">
        <f>AND(ISNUMBER(FIND($E1980,Tables!$I$2)), ISNUMBER(FIND($D1980,Tables!$J$2)), $E1980&lt;&gt;"")</f>
        <v>0</v>
      </c>
    </row>
    <row r="1981" spans="1:18" x14ac:dyDescent="0.3">
      <c r="A1981">
        <f t="shared" si="155"/>
        <v>1964</v>
      </c>
      <c r="B1981" s="4"/>
      <c r="I1981" s="8"/>
      <c r="J1981" s="5"/>
      <c r="K1981" s="3"/>
      <c r="L1981" s="3" t="str">
        <f t="shared" si="157"/>
        <v/>
      </c>
      <c r="N1981" s="3" t="str">
        <f t="shared" si="156"/>
        <v/>
      </c>
      <c r="O1981" s="6" t="str">
        <f t="shared" si="154"/>
        <v/>
      </c>
      <c r="P1981" s="7">
        <f ca="1">SUMIFS($N$2:$N1981,$B$2:$B1981,"&lt;&gt;"&amp;B1981)+SUM($Q$2:$Q1981)</f>
        <v>135.05500000000001</v>
      </c>
      <c r="R1981" t="b">
        <f>AND(ISNUMBER(FIND($E1981,Tables!$I$2)), ISNUMBER(FIND($D1981,Tables!$J$2)), $E1981&lt;&gt;"")</f>
        <v>0</v>
      </c>
    </row>
    <row r="1982" spans="1:18" x14ac:dyDescent="0.3">
      <c r="A1982">
        <f t="shared" si="155"/>
        <v>1965</v>
      </c>
      <c r="B1982" s="4"/>
      <c r="I1982" s="8"/>
      <c r="J1982" s="5"/>
      <c r="K1982" s="3"/>
      <c r="L1982" s="3" t="str">
        <f t="shared" si="157"/>
        <v/>
      </c>
      <c r="N1982" s="3" t="str">
        <f t="shared" si="156"/>
        <v/>
      </c>
      <c r="O1982" s="6" t="str">
        <f t="shared" si="154"/>
        <v/>
      </c>
      <c r="P1982" s="7">
        <f ca="1">SUMIFS($N$2:$N1982,$B$2:$B1982,"&lt;&gt;"&amp;B1982)+SUM($Q$2:$Q1982)</f>
        <v>135.05500000000001</v>
      </c>
      <c r="R1982" t="b">
        <f>AND(ISNUMBER(FIND($E1982,Tables!$I$2)), ISNUMBER(FIND($D1982,Tables!$J$2)), $E1982&lt;&gt;"")</f>
        <v>0</v>
      </c>
    </row>
    <row r="1983" spans="1:18" x14ac:dyDescent="0.3">
      <c r="A1983">
        <f t="shared" si="155"/>
        <v>1966</v>
      </c>
      <c r="B1983" s="4"/>
      <c r="I1983" s="8"/>
      <c r="J1983" s="5"/>
      <c r="K1983" s="3"/>
      <c r="L1983" s="3" t="str">
        <f t="shared" si="157"/>
        <v/>
      </c>
      <c r="N1983" s="3" t="str">
        <f t="shared" si="156"/>
        <v/>
      </c>
      <c r="O1983" s="6" t="str">
        <f t="shared" si="154"/>
        <v/>
      </c>
      <c r="P1983" s="7">
        <f ca="1">SUMIFS($N$2:$N1983,$B$2:$B1983,"&lt;&gt;"&amp;B1983)+SUM($Q$2:$Q1983)</f>
        <v>135.05500000000001</v>
      </c>
      <c r="R1983" t="b">
        <f>AND(ISNUMBER(FIND($E1983,Tables!$I$2)), ISNUMBER(FIND($D1983,Tables!$J$2)), $E1983&lt;&gt;"")</f>
        <v>0</v>
      </c>
    </row>
    <row r="1984" spans="1:18" x14ac:dyDescent="0.3">
      <c r="A1984">
        <f t="shared" si="155"/>
        <v>1967</v>
      </c>
      <c r="B1984" s="4"/>
      <c r="I1984" s="8"/>
      <c r="J1984" s="5"/>
      <c r="K1984" s="3"/>
      <c r="L1984" s="3" t="str">
        <f t="shared" si="157"/>
        <v/>
      </c>
      <c r="N1984" s="3" t="str">
        <f t="shared" si="156"/>
        <v/>
      </c>
      <c r="O1984" s="6" t="str">
        <f t="shared" si="154"/>
        <v/>
      </c>
      <c r="P1984" s="7">
        <f ca="1">SUMIFS($N$2:$N1984,$B$2:$B1984,"&lt;&gt;"&amp;B1984)+SUM($Q$2:$Q1984)</f>
        <v>135.05500000000001</v>
      </c>
      <c r="R1984" t="b">
        <f>AND(ISNUMBER(FIND($E1984,Tables!$I$2)), ISNUMBER(FIND($D1984,Tables!$J$2)), $E1984&lt;&gt;"")</f>
        <v>0</v>
      </c>
    </row>
    <row r="1985" spans="1:18" x14ac:dyDescent="0.3">
      <c r="A1985">
        <f t="shared" si="155"/>
        <v>1968</v>
      </c>
      <c r="B1985" s="4"/>
      <c r="I1985" s="8"/>
      <c r="J1985" s="5"/>
      <c r="K1985" s="3"/>
      <c r="L1985" s="3" t="str">
        <f t="shared" si="157"/>
        <v/>
      </c>
      <c r="N1985" s="3" t="str">
        <f t="shared" si="156"/>
        <v/>
      </c>
      <c r="O1985" s="6" t="str">
        <f t="shared" si="154"/>
        <v/>
      </c>
      <c r="P1985" s="7">
        <f ca="1">SUMIFS($N$2:$N1985,$B$2:$B1985,"&lt;&gt;"&amp;B1985)+SUM($Q$2:$Q1985)</f>
        <v>135.05500000000001</v>
      </c>
      <c r="R1985" t="b">
        <f>AND(ISNUMBER(FIND($E1985,Tables!$I$2)), ISNUMBER(FIND($D1985,Tables!$J$2)), $E1985&lt;&gt;"")</f>
        <v>0</v>
      </c>
    </row>
    <row r="1986" spans="1:18" x14ac:dyDescent="0.3">
      <c r="A1986">
        <f t="shared" si="155"/>
        <v>1969</v>
      </c>
      <c r="B1986" s="4"/>
      <c r="I1986" s="8"/>
      <c r="J1986" s="5"/>
      <c r="K1986" s="3"/>
      <c r="L1986" s="3" t="str">
        <f t="shared" si="157"/>
        <v/>
      </c>
      <c r="N1986" s="3" t="str">
        <f t="shared" si="156"/>
        <v/>
      </c>
      <c r="O1986" s="6" t="str">
        <f t="shared" ref="O1986:O2049" si="158">IFERROR(K1986/VLOOKUP(_xlfn.MINIFS(A:A,B:B,B1986,C:C,C1986),A:P,16),"")</f>
        <v/>
      </c>
      <c r="P1986" s="7">
        <f ca="1">SUMIFS($N$2:$N1986,$B$2:$B1986,"&lt;&gt;"&amp;B1986)+SUM($Q$2:$Q1986)</f>
        <v>135.05500000000001</v>
      </c>
      <c r="R1986" t="b">
        <f>AND(ISNUMBER(FIND($E1986,Tables!$I$2)), ISNUMBER(FIND($D1986,Tables!$J$2)), $E1986&lt;&gt;"")</f>
        <v>0</v>
      </c>
    </row>
    <row r="1987" spans="1:18" x14ac:dyDescent="0.3">
      <c r="A1987">
        <f t="shared" si="155"/>
        <v>1970</v>
      </c>
      <c r="B1987" s="4"/>
      <c r="I1987" s="8"/>
      <c r="J1987" s="5"/>
      <c r="K1987" s="3"/>
      <c r="L1987" s="3" t="str">
        <f t="shared" si="157"/>
        <v/>
      </c>
      <c r="N1987" s="3" t="str">
        <f t="shared" si="156"/>
        <v/>
      </c>
      <c r="O1987" s="6" t="str">
        <f t="shared" si="158"/>
        <v/>
      </c>
      <c r="P1987" s="7">
        <f ca="1">SUMIFS($N$2:$N1987,$B$2:$B1987,"&lt;&gt;"&amp;B1987)+SUM($Q$2:$Q1987)</f>
        <v>135.05500000000001</v>
      </c>
      <c r="R1987" t="b">
        <f>AND(ISNUMBER(FIND($E1987,Tables!$I$2)), ISNUMBER(FIND($D1987,Tables!$J$2)), $E1987&lt;&gt;"")</f>
        <v>0</v>
      </c>
    </row>
    <row r="1988" spans="1:18" x14ac:dyDescent="0.3">
      <c r="A1988">
        <f t="shared" si="155"/>
        <v>1971</v>
      </c>
      <c r="B1988" s="4"/>
      <c r="I1988" s="8"/>
      <c r="J1988" s="5"/>
      <c r="K1988" s="3"/>
      <c r="L1988" s="3" t="str">
        <f t="shared" si="157"/>
        <v/>
      </c>
      <c r="N1988" s="3" t="str">
        <f t="shared" si="156"/>
        <v/>
      </c>
      <c r="O1988" s="6" t="str">
        <f t="shared" si="158"/>
        <v/>
      </c>
      <c r="P1988" s="7">
        <f ca="1">SUMIFS($N$2:$N1988,$B$2:$B1988,"&lt;&gt;"&amp;B1988)+SUM($Q$2:$Q1988)</f>
        <v>135.05500000000001</v>
      </c>
      <c r="R1988" t="b">
        <f>AND(ISNUMBER(FIND($E1988,Tables!$I$2)), ISNUMBER(FIND($D1988,Tables!$J$2)), $E1988&lt;&gt;"")</f>
        <v>0</v>
      </c>
    </row>
    <row r="1989" spans="1:18" x14ac:dyDescent="0.3">
      <c r="A1989">
        <f t="shared" si="155"/>
        <v>1972</v>
      </c>
      <c r="B1989" s="4"/>
      <c r="I1989" s="8"/>
      <c r="J1989" s="5"/>
      <c r="K1989" s="3"/>
      <c r="L1989" s="3" t="str">
        <f t="shared" si="157"/>
        <v/>
      </c>
      <c r="N1989" s="3" t="str">
        <f t="shared" si="156"/>
        <v/>
      </c>
      <c r="O1989" s="6" t="str">
        <f t="shared" si="158"/>
        <v/>
      </c>
      <c r="P1989" s="7">
        <f ca="1">SUMIFS($N$2:$N1989,$B$2:$B1989,"&lt;&gt;"&amp;B1989)+SUM($Q$2:$Q1989)</f>
        <v>135.05500000000001</v>
      </c>
      <c r="R1989" t="b">
        <f>AND(ISNUMBER(FIND($E1989,Tables!$I$2)), ISNUMBER(FIND($D1989,Tables!$J$2)), $E1989&lt;&gt;"")</f>
        <v>0</v>
      </c>
    </row>
    <row r="1990" spans="1:18" x14ac:dyDescent="0.3">
      <c r="A1990">
        <f t="shared" si="155"/>
        <v>1973</v>
      </c>
      <c r="B1990" s="4"/>
      <c r="I1990" s="8"/>
      <c r="J1990" s="5"/>
      <c r="K1990" s="3"/>
      <c r="L1990" s="3" t="str">
        <f t="shared" si="157"/>
        <v/>
      </c>
      <c r="N1990" s="3" t="str">
        <f t="shared" si="156"/>
        <v/>
      </c>
      <c r="O1990" s="6" t="str">
        <f t="shared" si="158"/>
        <v/>
      </c>
      <c r="P1990" s="7">
        <f ca="1">SUMIFS($N$2:$N1990,$B$2:$B1990,"&lt;&gt;"&amp;B1990)+SUM($Q$2:$Q1990)</f>
        <v>135.05500000000001</v>
      </c>
      <c r="R1990" t="b">
        <f>AND(ISNUMBER(FIND($E1990,Tables!$I$2)), ISNUMBER(FIND($D1990,Tables!$J$2)), $E1990&lt;&gt;"")</f>
        <v>0</v>
      </c>
    </row>
    <row r="1991" spans="1:18" x14ac:dyDescent="0.3">
      <c r="A1991">
        <f t="shared" si="155"/>
        <v>1974</v>
      </c>
      <c r="B1991" s="4"/>
      <c r="I1991" s="8"/>
      <c r="J1991" s="5"/>
      <c r="K1991" s="3"/>
      <c r="L1991" s="3" t="str">
        <f t="shared" si="157"/>
        <v/>
      </c>
      <c r="N1991" s="3" t="str">
        <f t="shared" si="156"/>
        <v/>
      </c>
      <c r="O1991" s="6" t="str">
        <f t="shared" si="158"/>
        <v/>
      </c>
      <c r="P1991" s="7">
        <f ca="1">SUMIFS($N$2:$N1991,$B$2:$B1991,"&lt;&gt;"&amp;B1991)+SUM($Q$2:$Q1991)</f>
        <v>135.05500000000001</v>
      </c>
      <c r="R1991" t="b">
        <f>AND(ISNUMBER(FIND($E1991,Tables!$I$2)), ISNUMBER(FIND($D1991,Tables!$J$2)), $E1991&lt;&gt;"")</f>
        <v>0</v>
      </c>
    </row>
    <row r="1992" spans="1:18" x14ac:dyDescent="0.3">
      <c r="A1992">
        <f t="shared" si="155"/>
        <v>1975</v>
      </c>
      <c r="B1992" s="4"/>
      <c r="I1992" s="8"/>
      <c r="J1992" s="5"/>
      <c r="K1992" s="3"/>
      <c r="L1992" s="3" t="str">
        <f t="shared" si="157"/>
        <v/>
      </c>
      <c r="N1992" s="3" t="str">
        <f t="shared" si="156"/>
        <v/>
      </c>
      <c r="O1992" s="6" t="str">
        <f t="shared" si="158"/>
        <v/>
      </c>
      <c r="P1992" s="7">
        <f ca="1">SUMIFS($N$2:$N1992,$B$2:$B1992,"&lt;&gt;"&amp;B1992)+SUM($Q$2:$Q1992)</f>
        <v>135.05500000000001</v>
      </c>
      <c r="R1992" t="b">
        <f>AND(ISNUMBER(FIND($E1992,Tables!$I$2)), ISNUMBER(FIND($D1992,Tables!$J$2)), $E1992&lt;&gt;"")</f>
        <v>0</v>
      </c>
    </row>
    <row r="1993" spans="1:18" x14ac:dyDescent="0.3">
      <c r="A1993">
        <f t="shared" si="155"/>
        <v>1976</v>
      </c>
      <c r="B1993" s="4"/>
      <c r="I1993" s="8"/>
      <c r="J1993" s="5"/>
      <c r="K1993" s="3"/>
      <c r="L1993" s="3" t="str">
        <f t="shared" si="157"/>
        <v/>
      </c>
      <c r="N1993" s="3" t="str">
        <f t="shared" si="156"/>
        <v/>
      </c>
      <c r="O1993" s="6" t="str">
        <f t="shared" si="158"/>
        <v/>
      </c>
      <c r="P1993" s="7">
        <f ca="1">SUMIFS($N$2:$N1993,$B$2:$B1993,"&lt;&gt;"&amp;B1993)+SUM($Q$2:$Q1993)</f>
        <v>135.05500000000001</v>
      </c>
      <c r="R1993" t="b">
        <f>AND(ISNUMBER(FIND($E1993,Tables!$I$2)), ISNUMBER(FIND($D1993,Tables!$J$2)), $E1993&lt;&gt;"")</f>
        <v>0</v>
      </c>
    </row>
    <row r="1994" spans="1:18" x14ac:dyDescent="0.3">
      <c r="A1994">
        <f t="shared" si="155"/>
        <v>1977</v>
      </c>
      <c r="B1994" s="4"/>
      <c r="I1994" s="8"/>
      <c r="J1994" s="5"/>
      <c r="K1994" s="3"/>
      <c r="L1994" s="3" t="str">
        <f t="shared" si="157"/>
        <v/>
      </c>
      <c r="N1994" s="3" t="str">
        <f t="shared" si="156"/>
        <v/>
      </c>
      <c r="O1994" s="6" t="str">
        <f t="shared" si="158"/>
        <v/>
      </c>
      <c r="P1994" s="7">
        <f ca="1">SUMIFS($N$2:$N1994,$B$2:$B1994,"&lt;&gt;"&amp;B1994)+SUM($Q$2:$Q1994)</f>
        <v>135.05500000000001</v>
      </c>
      <c r="R1994" t="b">
        <f>AND(ISNUMBER(FIND($E1994,Tables!$I$2)), ISNUMBER(FIND($D1994,Tables!$J$2)), $E1994&lt;&gt;"")</f>
        <v>0</v>
      </c>
    </row>
    <row r="1995" spans="1:18" x14ac:dyDescent="0.3">
      <c r="A1995">
        <f t="shared" si="155"/>
        <v>1978</v>
      </c>
      <c r="B1995" s="4"/>
      <c r="I1995" s="8"/>
      <c r="J1995" s="5"/>
      <c r="K1995" s="3"/>
      <c r="L1995" s="3" t="str">
        <f t="shared" si="157"/>
        <v/>
      </c>
      <c r="N1995" s="3" t="str">
        <f t="shared" si="156"/>
        <v/>
      </c>
      <c r="O1995" s="6" t="str">
        <f t="shared" si="158"/>
        <v/>
      </c>
      <c r="P1995" s="7">
        <f ca="1">SUMIFS($N$2:$N1995,$B$2:$B1995,"&lt;&gt;"&amp;B1995)+SUM($Q$2:$Q1995)</f>
        <v>135.05500000000001</v>
      </c>
      <c r="R1995" t="b">
        <f>AND(ISNUMBER(FIND($E1995,Tables!$I$2)), ISNUMBER(FIND($D1995,Tables!$J$2)), $E1995&lt;&gt;"")</f>
        <v>0</v>
      </c>
    </row>
    <row r="1996" spans="1:18" x14ac:dyDescent="0.3">
      <c r="A1996">
        <f t="shared" si="155"/>
        <v>1979</v>
      </c>
      <c r="B1996" s="4"/>
      <c r="I1996" s="8"/>
      <c r="J1996" s="5"/>
      <c r="K1996" s="3"/>
      <c r="L1996" s="3" t="str">
        <f t="shared" si="157"/>
        <v/>
      </c>
      <c r="N1996" s="3" t="str">
        <f t="shared" si="156"/>
        <v/>
      </c>
      <c r="O1996" s="6" t="str">
        <f t="shared" si="158"/>
        <v/>
      </c>
      <c r="P1996" s="7">
        <f ca="1">SUMIFS($N$2:$N1996,$B$2:$B1996,"&lt;&gt;"&amp;B1996)+SUM($Q$2:$Q1996)</f>
        <v>135.05500000000001</v>
      </c>
      <c r="R1996" t="b">
        <f>AND(ISNUMBER(FIND($E1996,Tables!$I$2)), ISNUMBER(FIND($D1996,Tables!$J$2)), $E1996&lt;&gt;"")</f>
        <v>0</v>
      </c>
    </row>
    <row r="1997" spans="1:18" x14ac:dyDescent="0.3">
      <c r="A1997">
        <f t="shared" si="155"/>
        <v>1980</v>
      </c>
      <c r="B1997" s="4"/>
      <c r="I1997" s="8"/>
      <c r="J1997" s="5"/>
      <c r="K1997" s="3"/>
      <c r="L1997" s="3" t="str">
        <f t="shared" si="157"/>
        <v/>
      </c>
      <c r="N1997" s="3" t="str">
        <f t="shared" si="156"/>
        <v/>
      </c>
      <c r="O1997" s="6" t="str">
        <f t="shared" si="158"/>
        <v/>
      </c>
      <c r="P1997" s="7">
        <f ca="1">SUMIFS($N$2:$N1997,$B$2:$B1997,"&lt;&gt;"&amp;B1997)+SUM($Q$2:$Q1997)</f>
        <v>135.05500000000001</v>
      </c>
      <c r="R1997" t="b">
        <f>AND(ISNUMBER(FIND($E1997,Tables!$I$2)), ISNUMBER(FIND($D1997,Tables!$J$2)), $E1997&lt;&gt;"")</f>
        <v>0</v>
      </c>
    </row>
    <row r="1998" spans="1:18" x14ac:dyDescent="0.3">
      <c r="A1998">
        <f t="shared" si="155"/>
        <v>1981</v>
      </c>
      <c r="B1998" s="4"/>
      <c r="I1998" s="8"/>
      <c r="J1998" s="5"/>
      <c r="K1998" s="3"/>
      <c r="L1998" s="3" t="str">
        <f t="shared" si="157"/>
        <v/>
      </c>
      <c r="N1998" s="3" t="str">
        <f t="shared" si="156"/>
        <v/>
      </c>
      <c r="O1998" s="6" t="str">
        <f t="shared" si="158"/>
        <v/>
      </c>
      <c r="P1998" s="7">
        <f ca="1">SUMIFS($N$2:$N1998,$B$2:$B1998,"&lt;&gt;"&amp;B1998)+SUM($Q$2:$Q1998)</f>
        <v>135.05500000000001</v>
      </c>
      <c r="R1998" t="b">
        <f>AND(ISNUMBER(FIND($E1998,Tables!$I$2)), ISNUMBER(FIND($D1998,Tables!$J$2)), $E1998&lt;&gt;"")</f>
        <v>0</v>
      </c>
    </row>
    <row r="1999" spans="1:18" x14ac:dyDescent="0.3">
      <c r="A1999">
        <f t="shared" si="155"/>
        <v>1982</v>
      </c>
      <c r="B1999" s="4"/>
      <c r="I1999" s="8"/>
      <c r="J1999" s="5"/>
      <c r="K1999" s="3"/>
      <c r="L1999" s="3" t="str">
        <f t="shared" si="157"/>
        <v/>
      </c>
      <c r="N1999" s="3" t="str">
        <f t="shared" si="156"/>
        <v/>
      </c>
      <c r="O1999" s="6" t="str">
        <f t="shared" si="158"/>
        <v/>
      </c>
      <c r="P1999" s="7">
        <f ca="1">SUMIFS($N$2:$N1999,$B$2:$B1999,"&lt;&gt;"&amp;B1999)+SUM($Q$2:$Q1999)</f>
        <v>135.05500000000001</v>
      </c>
      <c r="R1999" t="b">
        <f>AND(ISNUMBER(FIND($E1999,Tables!$I$2)), ISNUMBER(FIND($D1999,Tables!$J$2)), $E1999&lt;&gt;"")</f>
        <v>0</v>
      </c>
    </row>
    <row r="2000" spans="1:18" x14ac:dyDescent="0.3">
      <c r="A2000">
        <f t="shared" si="155"/>
        <v>1983</v>
      </c>
      <c r="B2000" s="4"/>
      <c r="I2000" s="8"/>
      <c r="J2000" s="5"/>
      <c r="K2000" s="3"/>
      <c r="L2000" s="3" t="str">
        <f t="shared" si="157"/>
        <v/>
      </c>
      <c r="N2000" s="3" t="str">
        <f t="shared" si="156"/>
        <v/>
      </c>
      <c r="O2000" s="6" t="str">
        <f t="shared" si="158"/>
        <v/>
      </c>
      <c r="P2000" s="7">
        <f ca="1">SUMIFS($N$2:$N2000,$B$2:$B2000,"&lt;&gt;"&amp;B2000)+SUM($Q$2:$Q2000)</f>
        <v>135.05500000000001</v>
      </c>
      <c r="R2000" t="b">
        <f>AND(ISNUMBER(FIND($E2000,Tables!$I$2)), ISNUMBER(FIND($D2000,Tables!$J$2)), $E2000&lt;&gt;"")</f>
        <v>0</v>
      </c>
    </row>
    <row r="2001" spans="1:18" x14ac:dyDescent="0.3">
      <c r="A2001">
        <f t="shared" si="155"/>
        <v>1984</v>
      </c>
      <c r="B2001" s="4"/>
      <c r="I2001" s="8"/>
      <c r="J2001" s="5"/>
      <c r="K2001" s="3"/>
      <c r="L2001" s="3" t="str">
        <f t="shared" si="157"/>
        <v/>
      </c>
      <c r="N2001" s="3" t="str">
        <f t="shared" si="156"/>
        <v/>
      </c>
      <c r="O2001" s="6" t="str">
        <f t="shared" si="158"/>
        <v/>
      </c>
      <c r="P2001" s="7">
        <f ca="1">SUMIFS($N$2:$N2001,$B$2:$B2001,"&lt;&gt;"&amp;B2001)+SUM($Q$2:$Q2001)</f>
        <v>135.05500000000001</v>
      </c>
      <c r="R2001" t="b">
        <f>AND(ISNUMBER(FIND($E2001,Tables!$I$2)), ISNUMBER(FIND($D2001,Tables!$J$2)), $E2001&lt;&gt;"")</f>
        <v>0</v>
      </c>
    </row>
    <row r="2002" spans="1:18" x14ac:dyDescent="0.3">
      <c r="A2002">
        <f t="shared" si="155"/>
        <v>1985</v>
      </c>
      <c r="B2002" s="4"/>
      <c r="I2002" s="8"/>
      <c r="J2002" s="5"/>
      <c r="K2002" s="3"/>
      <c r="L2002" s="3" t="str">
        <f t="shared" si="157"/>
        <v/>
      </c>
      <c r="N2002" s="3" t="str">
        <f t="shared" si="156"/>
        <v/>
      </c>
      <c r="O2002" s="6" t="str">
        <f t="shared" si="158"/>
        <v/>
      </c>
      <c r="P2002" s="7">
        <f ca="1">SUMIFS($N$2:$N2002,$B$2:$B2002,"&lt;&gt;"&amp;B2002)+SUM($Q$2:$Q2002)</f>
        <v>135.05500000000001</v>
      </c>
      <c r="R2002" t="b">
        <f>AND(ISNUMBER(FIND($E2002,Tables!$I$2)), ISNUMBER(FIND($D2002,Tables!$J$2)), $E2002&lt;&gt;"")</f>
        <v>0</v>
      </c>
    </row>
    <row r="2003" spans="1:18" x14ac:dyDescent="0.3">
      <c r="A2003">
        <f t="shared" si="155"/>
        <v>1986</v>
      </c>
      <c r="B2003" s="4"/>
      <c r="I2003" s="8"/>
      <c r="J2003" s="5"/>
      <c r="K2003" s="3"/>
      <c r="L2003" s="3" t="str">
        <f t="shared" si="157"/>
        <v/>
      </c>
      <c r="N2003" s="3" t="str">
        <f t="shared" si="156"/>
        <v/>
      </c>
      <c r="O2003" s="6" t="str">
        <f t="shared" si="158"/>
        <v/>
      </c>
      <c r="P2003" s="7">
        <f ca="1">SUMIFS($N$2:$N2003,$B$2:$B2003,"&lt;&gt;"&amp;B2003)+SUM($Q$2:$Q2003)</f>
        <v>135.05500000000001</v>
      </c>
      <c r="R2003" t="b">
        <f>AND(ISNUMBER(FIND($E2003,Tables!$I$2)), ISNUMBER(FIND($D2003,Tables!$J$2)), $E2003&lt;&gt;"")</f>
        <v>0</v>
      </c>
    </row>
    <row r="2004" spans="1:18" x14ac:dyDescent="0.3">
      <c r="A2004">
        <f t="shared" si="155"/>
        <v>1987</v>
      </c>
      <c r="B2004" s="4"/>
      <c r="I2004" s="8"/>
      <c r="J2004" s="5"/>
      <c r="K2004" s="3"/>
      <c r="L2004" s="3" t="str">
        <f t="shared" si="157"/>
        <v/>
      </c>
      <c r="N2004" s="3" t="str">
        <f t="shared" si="156"/>
        <v/>
      </c>
      <c r="O2004" s="6" t="str">
        <f t="shared" si="158"/>
        <v/>
      </c>
      <c r="P2004" s="7">
        <f ca="1">SUMIFS($N$2:$N2004,$B$2:$B2004,"&lt;&gt;"&amp;B2004)+SUM($Q$2:$Q2004)</f>
        <v>135.05500000000001</v>
      </c>
      <c r="R2004" t="b">
        <f>AND(ISNUMBER(FIND($E2004,Tables!$I$2)), ISNUMBER(FIND($D2004,Tables!$J$2)), $E2004&lt;&gt;"")</f>
        <v>0</v>
      </c>
    </row>
    <row r="2005" spans="1:18" x14ac:dyDescent="0.3">
      <c r="A2005">
        <f t="shared" si="155"/>
        <v>1988</v>
      </c>
      <c r="B2005" s="4"/>
      <c r="I2005" s="8"/>
      <c r="J2005" s="5"/>
      <c r="K2005" s="3"/>
      <c r="L2005" s="3" t="str">
        <f t="shared" si="157"/>
        <v/>
      </c>
      <c r="N2005" s="3" t="str">
        <f t="shared" si="156"/>
        <v/>
      </c>
      <c r="O2005" s="6" t="str">
        <f t="shared" si="158"/>
        <v/>
      </c>
      <c r="P2005" s="7">
        <f ca="1">SUMIFS($N$2:$N2005,$B$2:$B2005,"&lt;&gt;"&amp;B2005)+SUM($Q$2:$Q2005)</f>
        <v>135.05500000000001</v>
      </c>
      <c r="R2005" t="b">
        <f>AND(ISNUMBER(FIND($E2005,Tables!$I$2)), ISNUMBER(FIND($D2005,Tables!$J$2)), $E2005&lt;&gt;"")</f>
        <v>0</v>
      </c>
    </row>
    <row r="2006" spans="1:18" x14ac:dyDescent="0.3">
      <c r="A2006">
        <f t="shared" si="155"/>
        <v>1989</v>
      </c>
      <c r="B2006" s="4"/>
      <c r="I2006" s="8"/>
      <c r="J2006" s="5"/>
      <c r="K2006" s="3"/>
      <c r="L2006" s="3" t="str">
        <f t="shared" si="157"/>
        <v/>
      </c>
      <c r="N2006" s="3" t="str">
        <f t="shared" si="156"/>
        <v/>
      </c>
      <c r="O2006" s="6" t="str">
        <f t="shared" si="158"/>
        <v/>
      </c>
      <c r="P2006" s="7">
        <f ca="1">SUMIFS($N$2:$N2006,$B$2:$B2006,"&lt;&gt;"&amp;B2006)+SUM($Q$2:$Q2006)</f>
        <v>135.05500000000001</v>
      </c>
      <c r="R2006" t="b">
        <f>AND(ISNUMBER(FIND($E2006,Tables!$I$2)), ISNUMBER(FIND($D2006,Tables!$J$2)), $E2006&lt;&gt;"")</f>
        <v>0</v>
      </c>
    </row>
    <row r="2007" spans="1:18" x14ac:dyDescent="0.3">
      <c r="A2007">
        <f t="shared" si="155"/>
        <v>1990</v>
      </c>
      <c r="B2007" s="4"/>
      <c r="I2007" s="8"/>
      <c r="J2007" s="5"/>
      <c r="K2007" s="3"/>
      <c r="L2007" s="3" t="str">
        <f t="shared" si="157"/>
        <v/>
      </c>
      <c r="N2007" s="3" t="str">
        <f t="shared" si="156"/>
        <v/>
      </c>
      <c r="O2007" s="6" t="str">
        <f t="shared" si="158"/>
        <v/>
      </c>
      <c r="P2007" s="7">
        <f ca="1">SUMIFS($N$2:$N2007,$B$2:$B2007,"&lt;&gt;"&amp;B2007)+SUM($Q$2:$Q2007)</f>
        <v>135.05500000000001</v>
      </c>
      <c r="R2007" t="b">
        <f>AND(ISNUMBER(FIND($E2007,Tables!$I$2)), ISNUMBER(FIND($D2007,Tables!$J$2)), $E2007&lt;&gt;"")</f>
        <v>0</v>
      </c>
    </row>
    <row r="2008" spans="1:18" x14ac:dyDescent="0.3">
      <c r="A2008">
        <f t="shared" si="155"/>
        <v>1991</v>
      </c>
      <c r="B2008" s="4"/>
      <c r="I2008" s="8"/>
      <c r="J2008" s="5"/>
      <c r="K2008" s="3"/>
      <c r="L2008" s="3" t="str">
        <f t="shared" si="157"/>
        <v/>
      </c>
      <c r="N2008" s="3" t="str">
        <f t="shared" si="156"/>
        <v/>
      </c>
      <c r="O2008" s="6" t="str">
        <f t="shared" si="158"/>
        <v/>
      </c>
      <c r="P2008" s="7">
        <f ca="1">SUMIFS($N$2:$N2008,$B$2:$B2008,"&lt;&gt;"&amp;B2008)+SUM($Q$2:$Q2008)</f>
        <v>135.05500000000001</v>
      </c>
      <c r="R2008" t="b">
        <f>AND(ISNUMBER(FIND($E2008,Tables!$I$2)), ISNUMBER(FIND($D2008,Tables!$J$2)), $E2008&lt;&gt;"")</f>
        <v>0</v>
      </c>
    </row>
    <row r="2009" spans="1:18" x14ac:dyDescent="0.3">
      <c r="A2009">
        <f t="shared" si="155"/>
        <v>1992</v>
      </c>
      <c r="B2009" s="4"/>
      <c r="I2009" s="8"/>
      <c r="J2009" s="5"/>
      <c r="K2009" s="3"/>
      <c r="L2009" s="3" t="str">
        <f t="shared" si="157"/>
        <v/>
      </c>
      <c r="N2009" s="3" t="str">
        <f t="shared" si="156"/>
        <v/>
      </c>
      <c r="O2009" s="6" t="str">
        <f t="shared" si="158"/>
        <v/>
      </c>
      <c r="P2009" s="7">
        <f ca="1">SUMIFS($N$2:$N2009,$B$2:$B2009,"&lt;&gt;"&amp;B2009)+SUM($Q$2:$Q2009)</f>
        <v>135.05500000000001</v>
      </c>
      <c r="R2009" t="b">
        <f>AND(ISNUMBER(FIND($E2009,Tables!$I$2)), ISNUMBER(FIND($D2009,Tables!$J$2)), $E2009&lt;&gt;"")</f>
        <v>0</v>
      </c>
    </row>
    <row r="2010" spans="1:18" x14ac:dyDescent="0.3">
      <c r="A2010">
        <f t="shared" si="155"/>
        <v>1993</v>
      </c>
      <c r="B2010" s="4"/>
      <c r="I2010" s="8"/>
      <c r="J2010" s="5"/>
      <c r="K2010" s="3"/>
      <c r="L2010" s="3" t="str">
        <f t="shared" si="157"/>
        <v/>
      </c>
      <c r="N2010" s="3" t="str">
        <f t="shared" si="156"/>
        <v/>
      </c>
      <c r="O2010" s="6" t="str">
        <f t="shared" si="158"/>
        <v/>
      </c>
      <c r="P2010" s="7">
        <f ca="1">SUMIFS($N$2:$N2010,$B$2:$B2010,"&lt;&gt;"&amp;B2010)+SUM($Q$2:$Q2010)</f>
        <v>135.05500000000001</v>
      </c>
      <c r="R2010" t="b">
        <f>AND(ISNUMBER(FIND($E2010,Tables!$I$2)), ISNUMBER(FIND($D2010,Tables!$J$2)), $E2010&lt;&gt;"")</f>
        <v>0</v>
      </c>
    </row>
    <row r="2011" spans="1:18" x14ac:dyDescent="0.3">
      <c r="A2011">
        <f t="shared" si="155"/>
        <v>1994</v>
      </c>
      <c r="B2011" s="4"/>
      <c r="I2011" s="8"/>
      <c r="J2011" s="5"/>
      <c r="K2011" s="3"/>
      <c r="L2011" s="3" t="str">
        <f t="shared" si="157"/>
        <v/>
      </c>
      <c r="N2011" s="3" t="str">
        <f t="shared" si="156"/>
        <v/>
      </c>
      <c r="O2011" s="6" t="str">
        <f t="shared" si="158"/>
        <v/>
      </c>
      <c r="P2011" s="7">
        <f ca="1">SUMIFS($N$2:$N2011,$B$2:$B2011,"&lt;&gt;"&amp;B2011)+SUM($Q$2:$Q2011)</f>
        <v>135.05500000000001</v>
      </c>
      <c r="R2011" t="b">
        <f>AND(ISNUMBER(FIND($E2011,Tables!$I$2)), ISNUMBER(FIND($D2011,Tables!$J$2)), $E2011&lt;&gt;"")</f>
        <v>0</v>
      </c>
    </row>
    <row r="2012" spans="1:18" x14ac:dyDescent="0.3">
      <c r="A2012">
        <f t="shared" si="155"/>
        <v>1995</v>
      </c>
      <c r="B2012" s="4"/>
      <c r="I2012" s="8"/>
      <c r="J2012" s="5"/>
      <c r="K2012" s="3"/>
      <c r="L2012" s="3" t="str">
        <f t="shared" si="157"/>
        <v/>
      </c>
      <c r="N2012" s="3" t="str">
        <f t="shared" si="156"/>
        <v/>
      </c>
      <c r="O2012" s="6" t="str">
        <f t="shared" si="158"/>
        <v/>
      </c>
      <c r="P2012" s="7">
        <f ca="1">SUMIFS($N$2:$N2012,$B$2:$B2012,"&lt;&gt;"&amp;B2012)+SUM($Q$2:$Q2012)</f>
        <v>135.05500000000001</v>
      </c>
      <c r="R2012" t="b">
        <f>AND(ISNUMBER(FIND($E2012,Tables!$I$2)), ISNUMBER(FIND($D2012,Tables!$J$2)), $E2012&lt;&gt;"")</f>
        <v>0</v>
      </c>
    </row>
    <row r="2013" spans="1:18" x14ac:dyDescent="0.3">
      <c r="A2013">
        <f t="shared" si="155"/>
        <v>1996</v>
      </c>
      <c r="B2013" s="4"/>
      <c r="I2013" s="8"/>
      <c r="J2013" s="5"/>
      <c r="K2013" s="3"/>
      <c r="L2013" s="3" t="str">
        <f t="shared" si="157"/>
        <v/>
      </c>
      <c r="N2013" s="3" t="str">
        <f t="shared" si="156"/>
        <v/>
      </c>
      <c r="O2013" s="6" t="str">
        <f t="shared" si="158"/>
        <v/>
      </c>
      <c r="P2013" s="7">
        <f ca="1">SUMIFS($N$2:$N2013,$B$2:$B2013,"&lt;&gt;"&amp;B2013)+SUM($Q$2:$Q2013)</f>
        <v>135.05500000000001</v>
      </c>
      <c r="R2013" t="b">
        <f>AND(ISNUMBER(FIND($E2013,Tables!$I$2)), ISNUMBER(FIND($D2013,Tables!$J$2)), $E2013&lt;&gt;"")</f>
        <v>0</v>
      </c>
    </row>
    <row r="2014" spans="1:18" x14ac:dyDescent="0.3">
      <c r="A2014">
        <f t="shared" si="155"/>
        <v>1997</v>
      </c>
      <c r="B2014" s="4"/>
      <c r="I2014" s="8"/>
      <c r="J2014" s="5"/>
      <c r="K2014" s="3"/>
      <c r="L2014" s="3" t="str">
        <f t="shared" si="157"/>
        <v/>
      </c>
      <c r="N2014" s="3" t="str">
        <f t="shared" si="156"/>
        <v/>
      </c>
      <c r="O2014" s="6" t="str">
        <f t="shared" si="158"/>
        <v/>
      </c>
      <c r="P2014" s="7">
        <f ca="1">SUMIFS($N$2:$N2014,$B$2:$B2014,"&lt;&gt;"&amp;B2014)+SUM($Q$2:$Q2014)</f>
        <v>135.05500000000001</v>
      </c>
      <c r="R2014" t="b">
        <f>AND(ISNUMBER(FIND($E2014,Tables!$I$2)), ISNUMBER(FIND($D2014,Tables!$J$2)), $E2014&lt;&gt;"")</f>
        <v>0</v>
      </c>
    </row>
    <row r="2015" spans="1:18" x14ac:dyDescent="0.3">
      <c r="A2015">
        <f t="shared" si="155"/>
        <v>1998</v>
      </c>
      <c r="B2015" s="4"/>
      <c r="I2015" s="8"/>
      <c r="J2015" s="5"/>
      <c r="K2015" s="3"/>
      <c r="L2015" s="3" t="str">
        <f t="shared" si="157"/>
        <v/>
      </c>
      <c r="N2015" s="3" t="str">
        <f t="shared" si="156"/>
        <v/>
      </c>
      <c r="O2015" s="6" t="str">
        <f t="shared" si="158"/>
        <v/>
      </c>
      <c r="P2015" s="7">
        <f ca="1">SUMIFS($N$2:$N2015,$B$2:$B2015,"&lt;&gt;"&amp;B2015)+SUM($Q$2:$Q2015)</f>
        <v>135.05500000000001</v>
      </c>
      <c r="R2015" t="b">
        <f>AND(ISNUMBER(FIND($E2015,Tables!$I$2)), ISNUMBER(FIND($D2015,Tables!$J$2)), $E2015&lt;&gt;"")</f>
        <v>0</v>
      </c>
    </row>
    <row r="2016" spans="1:18" x14ac:dyDescent="0.3">
      <c r="A2016">
        <f t="shared" si="155"/>
        <v>1999</v>
      </c>
      <c r="B2016" s="4"/>
      <c r="I2016" s="8"/>
      <c r="J2016" s="5"/>
      <c r="K2016" s="3"/>
      <c r="L2016" s="3" t="str">
        <f t="shared" si="157"/>
        <v/>
      </c>
      <c r="N2016" s="3" t="str">
        <f t="shared" si="156"/>
        <v/>
      </c>
      <c r="O2016" s="6" t="str">
        <f t="shared" si="158"/>
        <v/>
      </c>
      <c r="P2016" s="7">
        <f ca="1">SUMIFS($N$2:$N2016,$B$2:$B2016,"&lt;&gt;"&amp;B2016)+SUM($Q$2:$Q2016)</f>
        <v>135.05500000000001</v>
      </c>
      <c r="R2016" t="b">
        <f>AND(ISNUMBER(FIND($E2016,Tables!$I$2)), ISNUMBER(FIND($D2016,Tables!$J$2)), $E2016&lt;&gt;"")</f>
        <v>0</v>
      </c>
    </row>
    <row r="2017" spans="1:18" x14ac:dyDescent="0.3">
      <c r="A2017">
        <f t="shared" si="155"/>
        <v>2000</v>
      </c>
      <c r="B2017" s="4"/>
      <c r="I2017" s="8"/>
      <c r="J2017" s="5"/>
      <c r="K2017" s="3"/>
      <c r="L2017" s="3" t="str">
        <f t="shared" si="157"/>
        <v/>
      </c>
      <c r="N2017" s="3" t="str">
        <f t="shared" si="156"/>
        <v/>
      </c>
      <c r="O2017" s="6" t="str">
        <f t="shared" si="158"/>
        <v/>
      </c>
      <c r="P2017" s="7">
        <f ca="1">SUMIFS($N$2:$N2017,$B$2:$B2017,"&lt;&gt;"&amp;B2017)+SUM($Q$2:$Q2017)</f>
        <v>135.05500000000001</v>
      </c>
      <c r="R2017" t="b">
        <f>AND(ISNUMBER(FIND($E2017,Tables!$I$2)), ISNUMBER(FIND($D2017,Tables!$J$2)), $E2017&lt;&gt;"")</f>
        <v>0</v>
      </c>
    </row>
    <row r="2018" spans="1:18" x14ac:dyDescent="0.3">
      <c r="A2018">
        <f t="shared" ref="A2018:A2081" si="159">IF(AND(B2018="", D2018&lt;&gt;""), A2017, A2017+1)</f>
        <v>2001</v>
      </c>
      <c r="B2018" s="4"/>
      <c r="I2018" s="8"/>
      <c r="J2018" s="5"/>
      <c r="K2018" s="3"/>
      <c r="L2018" s="3" t="str">
        <f t="shared" si="157"/>
        <v/>
      </c>
      <c r="N2018" s="3" t="str">
        <f t="shared" si="156"/>
        <v/>
      </c>
      <c r="O2018" s="6" t="str">
        <f t="shared" si="158"/>
        <v/>
      </c>
      <c r="P2018" s="7">
        <f ca="1">SUMIFS($N$2:$N2018,$B$2:$B2018,"&lt;&gt;"&amp;B2018)+SUM($Q$2:$Q2018)</f>
        <v>135.05500000000001</v>
      </c>
      <c r="R2018" t="b">
        <f>AND(ISNUMBER(FIND($E2018,Tables!$I$2)), ISNUMBER(FIND($D2018,Tables!$J$2)), $E2018&lt;&gt;"")</f>
        <v>0</v>
      </c>
    </row>
    <row r="2019" spans="1:18" x14ac:dyDescent="0.3">
      <c r="A2019">
        <f t="shared" si="159"/>
        <v>2002</v>
      </c>
      <c r="B2019" s="4"/>
      <c r="I2019" s="8"/>
      <c r="J2019" s="5"/>
      <c r="K2019" s="3"/>
      <c r="L2019" s="3" t="str">
        <f t="shared" si="157"/>
        <v/>
      </c>
      <c r="N2019" s="3" t="str">
        <f t="shared" si="156"/>
        <v/>
      </c>
      <c r="O2019" s="6" t="str">
        <f t="shared" si="158"/>
        <v/>
      </c>
      <c r="P2019" s="7">
        <f ca="1">SUMIFS($N$2:$N2019,$B$2:$B2019,"&lt;&gt;"&amp;B2019)+SUM($Q$2:$Q2019)</f>
        <v>135.05500000000001</v>
      </c>
      <c r="R2019" t="b">
        <f>AND(ISNUMBER(FIND($E2019,Tables!$I$2)), ISNUMBER(FIND($D2019,Tables!$J$2)), $E2019&lt;&gt;"")</f>
        <v>0</v>
      </c>
    </row>
    <row r="2020" spans="1:18" x14ac:dyDescent="0.3">
      <c r="A2020">
        <f t="shared" si="159"/>
        <v>2003</v>
      </c>
      <c r="B2020" s="4"/>
      <c r="I2020" s="8"/>
      <c r="J2020" s="5"/>
      <c r="K2020" s="3"/>
      <c r="L2020" s="3" t="str">
        <f t="shared" si="157"/>
        <v/>
      </c>
      <c r="N2020" s="3" t="str">
        <f t="shared" si="156"/>
        <v/>
      </c>
      <c r="O2020" s="6" t="str">
        <f t="shared" si="158"/>
        <v/>
      </c>
      <c r="P2020" s="7">
        <f ca="1">SUMIFS($N$2:$N2020,$B$2:$B2020,"&lt;&gt;"&amp;B2020)+SUM($Q$2:$Q2020)</f>
        <v>135.05500000000001</v>
      </c>
      <c r="R2020" t="b">
        <f>AND(ISNUMBER(FIND($E2020,Tables!$I$2)), ISNUMBER(FIND($D2020,Tables!$J$2)), $E2020&lt;&gt;"")</f>
        <v>0</v>
      </c>
    </row>
    <row r="2021" spans="1:18" x14ac:dyDescent="0.3">
      <c r="A2021">
        <f t="shared" si="159"/>
        <v>2004</v>
      </c>
      <c r="B2021" s="4"/>
      <c r="I2021" s="8"/>
      <c r="J2021" s="5"/>
      <c r="K2021" s="3"/>
      <c r="L2021" s="3" t="str">
        <f t="shared" si="157"/>
        <v/>
      </c>
      <c r="N2021" s="3" t="str">
        <f t="shared" si="156"/>
        <v/>
      </c>
      <c r="O2021" s="6" t="str">
        <f t="shared" si="158"/>
        <v/>
      </c>
      <c r="P2021" s="7">
        <f ca="1">SUMIFS($N$2:$N2021,$B$2:$B2021,"&lt;&gt;"&amp;B2021)+SUM($Q$2:$Q2021)</f>
        <v>135.05500000000001</v>
      </c>
      <c r="R2021" t="b">
        <f>AND(ISNUMBER(FIND($E2021,Tables!$I$2)), ISNUMBER(FIND($D2021,Tables!$J$2)), $E2021&lt;&gt;"")</f>
        <v>0</v>
      </c>
    </row>
    <row r="2022" spans="1:18" x14ac:dyDescent="0.3">
      <c r="A2022">
        <f t="shared" si="159"/>
        <v>2005</v>
      </c>
      <c r="B2022" s="4"/>
      <c r="I2022" s="8"/>
      <c r="J2022" s="5"/>
      <c r="K2022" s="3"/>
      <c r="L2022" s="3" t="str">
        <f t="shared" si="157"/>
        <v/>
      </c>
      <c r="N2022" s="3" t="str">
        <f t="shared" si="156"/>
        <v/>
      </c>
      <c r="O2022" s="6" t="str">
        <f t="shared" si="158"/>
        <v/>
      </c>
      <c r="P2022" s="7">
        <f ca="1">SUMIFS($N$2:$N2022,$B$2:$B2022,"&lt;&gt;"&amp;B2022)+SUM($Q$2:$Q2022)</f>
        <v>135.05500000000001</v>
      </c>
      <c r="R2022" t="b">
        <f>AND(ISNUMBER(FIND($E2022,Tables!$I$2)), ISNUMBER(FIND($D2022,Tables!$J$2)), $E2022&lt;&gt;"")</f>
        <v>0</v>
      </c>
    </row>
    <row r="2023" spans="1:18" x14ac:dyDescent="0.3">
      <c r="A2023">
        <f t="shared" si="159"/>
        <v>2006</v>
      </c>
      <c r="B2023" s="4"/>
      <c r="I2023" s="8"/>
      <c r="J2023" s="5"/>
      <c r="K2023" s="3"/>
      <c r="L2023" s="3" t="str">
        <f t="shared" si="157"/>
        <v/>
      </c>
      <c r="N2023" s="3" t="str">
        <f t="shared" si="156"/>
        <v/>
      </c>
      <c r="O2023" s="6" t="str">
        <f t="shared" si="158"/>
        <v/>
      </c>
      <c r="P2023" s="7">
        <f ca="1">SUMIFS($N$2:$N2023,$B$2:$B2023,"&lt;&gt;"&amp;B2023)+SUM($Q$2:$Q2023)</f>
        <v>135.05500000000001</v>
      </c>
      <c r="R2023" t="b">
        <f>AND(ISNUMBER(FIND($E2023,Tables!$I$2)), ISNUMBER(FIND($D2023,Tables!$J$2)), $E2023&lt;&gt;"")</f>
        <v>0</v>
      </c>
    </row>
    <row r="2024" spans="1:18" x14ac:dyDescent="0.3">
      <c r="A2024">
        <f t="shared" si="159"/>
        <v>2007</v>
      </c>
      <c r="B2024" s="4"/>
      <c r="I2024" s="8"/>
      <c r="J2024" s="5"/>
      <c r="K2024" s="3"/>
      <c r="L2024" s="3" t="str">
        <f t="shared" si="157"/>
        <v/>
      </c>
      <c r="N2024" s="3" t="str">
        <f t="shared" ref="N2024:N2087" si="160">IF(L2024 = "", "", IF(M2024="", "", IF(OR(M2024="Draw",M2024="NC"), 0, IF(M2024="win", L2024, -1*K2024))))</f>
        <v/>
      </c>
      <c r="O2024" s="6" t="str">
        <f t="shared" si="158"/>
        <v/>
      </c>
      <c r="P2024" s="7">
        <f ca="1">SUMIFS($N$2:$N2024,$B$2:$B2024,"&lt;&gt;"&amp;B2024)+SUM($Q$2:$Q2024)</f>
        <v>135.05500000000001</v>
      </c>
      <c r="R2024" t="b">
        <f>AND(ISNUMBER(FIND($E2024,Tables!$I$2)), ISNUMBER(FIND($D2024,Tables!$J$2)), $E2024&lt;&gt;"")</f>
        <v>0</v>
      </c>
    </row>
    <row r="2025" spans="1:18" x14ac:dyDescent="0.3">
      <c r="A2025">
        <f t="shared" si="159"/>
        <v>2008</v>
      </c>
      <c r="B2025" s="4"/>
      <c r="I2025" s="8"/>
      <c r="J2025" s="5"/>
      <c r="K2025" s="3"/>
      <c r="L2025" s="3" t="str">
        <f t="shared" si="157"/>
        <v/>
      </c>
      <c r="N2025" s="3" t="str">
        <f t="shared" si="160"/>
        <v/>
      </c>
      <c r="O2025" s="6" t="str">
        <f t="shared" si="158"/>
        <v/>
      </c>
      <c r="P2025" s="7">
        <f ca="1">SUMIFS($N$2:$N2025,$B$2:$B2025,"&lt;&gt;"&amp;B2025)+SUM($Q$2:$Q2025)</f>
        <v>135.05500000000001</v>
      </c>
      <c r="R2025" t="b">
        <f>AND(ISNUMBER(FIND($E2025,Tables!$I$2)), ISNUMBER(FIND($D2025,Tables!$J$2)), $E2025&lt;&gt;"")</f>
        <v>0</v>
      </c>
    </row>
    <row r="2026" spans="1:18" x14ac:dyDescent="0.3">
      <c r="A2026">
        <f t="shared" si="159"/>
        <v>2009</v>
      </c>
      <c r="B2026" s="4"/>
      <c r="I2026" s="8"/>
      <c r="J2026" s="5"/>
      <c r="K2026" s="3"/>
      <c r="L2026" s="3" t="str">
        <f t="shared" si="157"/>
        <v/>
      </c>
      <c r="N2026" s="3" t="str">
        <f t="shared" si="160"/>
        <v/>
      </c>
      <c r="O2026" s="6" t="str">
        <f t="shared" si="158"/>
        <v/>
      </c>
      <c r="P2026" s="7">
        <f ca="1">SUMIFS($N$2:$N2026,$B$2:$B2026,"&lt;&gt;"&amp;B2026)+SUM($Q$2:$Q2026)</f>
        <v>135.05500000000001</v>
      </c>
      <c r="R2026" t="b">
        <f>AND(ISNUMBER(FIND($E2026,Tables!$I$2)), ISNUMBER(FIND($D2026,Tables!$J$2)), $E2026&lt;&gt;"")</f>
        <v>0</v>
      </c>
    </row>
    <row r="2027" spans="1:18" x14ac:dyDescent="0.3">
      <c r="A2027">
        <f t="shared" si="159"/>
        <v>2010</v>
      </c>
      <c r="B2027" s="4"/>
      <c r="I2027" s="8"/>
      <c r="J2027" s="5"/>
      <c r="K2027" s="3"/>
      <c r="L2027" s="3" t="str">
        <f t="shared" si="157"/>
        <v/>
      </c>
      <c r="N2027" s="3" t="str">
        <f t="shared" si="160"/>
        <v/>
      </c>
      <c r="O2027" s="6" t="str">
        <f t="shared" si="158"/>
        <v/>
      </c>
      <c r="P2027" s="7">
        <f ca="1">SUMIFS($N$2:$N2027,$B$2:$B2027,"&lt;&gt;"&amp;B2027)+SUM($Q$2:$Q2027)</f>
        <v>135.05500000000001</v>
      </c>
      <c r="R2027" t="b">
        <f>AND(ISNUMBER(FIND($E2027,Tables!$I$2)), ISNUMBER(FIND($D2027,Tables!$J$2)), $E2027&lt;&gt;"")</f>
        <v>0</v>
      </c>
    </row>
    <row r="2028" spans="1:18" x14ac:dyDescent="0.3">
      <c r="A2028">
        <f t="shared" si="159"/>
        <v>2011</v>
      </c>
      <c r="B2028" s="4"/>
      <c r="I2028" s="8"/>
      <c r="J2028" s="5"/>
      <c r="K2028" s="3"/>
      <c r="L2028" s="3" t="str">
        <f t="shared" si="157"/>
        <v/>
      </c>
      <c r="N2028" s="3" t="str">
        <f t="shared" si="160"/>
        <v/>
      </c>
      <c r="O2028" s="6" t="str">
        <f t="shared" si="158"/>
        <v/>
      </c>
      <c r="P2028" s="7">
        <f ca="1">SUMIFS($N$2:$N2028,$B$2:$B2028,"&lt;&gt;"&amp;B2028)+SUM($Q$2:$Q2028)</f>
        <v>135.05500000000001</v>
      </c>
      <c r="R2028" t="b">
        <f>AND(ISNUMBER(FIND($E2028,Tables!$I$2)), ISNUMBER(FIND($D2028,Tables!$J$2)), $E2028&lt;&gt;"")</f>
        <v>0</v>
      </c>
    </row>
    <row r="2029" spans="1:18" x14ac:dyDescent="0.3">
      <c r="A2029">
        <f t="shared" si="159"/>
        <v>2012</v>
      </c>
      <c r="B2029" s="4"/>
      <c r="I2029" s="8"/>
      <c r="J2029" s="5"/>
      <c r="K2029" s="3"/>
      <c r="L2029" s="3" t="str">
        <f t="shared" si="157"/>
        <v/>
      </c>
      <c r="N2029" s="3" t="str">
        <f t="shared" si="160"/>
        <v/>
      </c>
      <c r="O2029" s="6" t="str">
        <f t="shared" si="158"/>
        <v/>
      </c>
      <c r="P2029" s="7">
        <f ca="1">SUMIFS($N$2:$N2029,$B$2:$B2029,"&lt;&gt;"&amp;B2029)+SUM($Q$2:$Q2029)</f>
        <v>135.05500000000001</v>
      </c>
      <c r="R2029" t="b">
        <f>AND(ISNUMBER(FIND($E2029,Tables!$I$2)), ISNUMBER(FIND($D2029,Tables!$J$2)), $E2029&lt;&gt;"")</f>
        <v>0</v>
      </c>
    </row>
    <row r="2030" spans="1:18" x14ac:dyDescent="0.3">
      <c r="A2030">
        <f t="shared" si="159"/>
        <v>2013</v>
      </c>
      <c r="B2030" s="4"/>
      <c r="I2030" s="8"/>
      <c r="J2030" s="5"/>
      <c r="K2030" s="3"/>
      <c r="L2030" s="3" t="str">
        <f t="shared" si="157"/>
        <v/>
      </c>
      <c r="N2030" s="3" t="str">
        <f t="shared" si="160"/>
        <v/>
      </c>
      <c r="O2030" s="6" t="str">
        <f t="shared" si="158"/>
        <v/>
      </c>
      <c r="P2030" s="7">
        <f ca="1">SUMIFS($N$2:$N2030,$B$2:$B2030,"&lt;&gt;"&amp;B2030)+SUM($Q$2:$Q2030)</f>
        <v>135.05500000000001</v>
      </c>
      <c r="R2030" t="b">
        <f>AND(ISNUMBER(FIND($E2030,Tables!$I$2)), ISNUMBER(FIND($D2030,Tables!$J$2)), $E2030&lt;&gt;"")</f>
        <v>0</v>
      </c>
    </row>
    <row r="2031" spans="1:18" x14ac:dyDescent="0.3">
      <c r="A2031">
        <f t="shared" si="159"/>
        <v>2014</v>
      </c>
      <c r="B2031" s="4"/>
      <c r="I2031" s="8"/>
      <c r="J2031" s="5"/>
      <c r="K2031" s="3"/>
      <c r="L2031" s="3" t="str">
        <f t="shared" si="157"/>
        <v/>
      </c>
      <c r="N2031" s="3" t="str">
        <f t="shared" si="160"/>
        <v/>
      </c>
      <c r="O2031" s="6" t="str">
        <f t="shared" si="158"/>
        <v/>
      </c>
      <c r="P2031" s="7">
        <f ca="1">SUMIFS($N$2:$N2031,$B$2:$B2031,"&lt;&gt;"&amp;B2031)+SUM($Q$2:$Q2031)</f>
        <v>135.05500000000001</v>
      </c>
      <c r="R2031" t="b">
        <f>AND(ISNUMBER(FIND($E2031,Tables!$I$2)), ISNUMBER(FIND($D2031,Tables!$J$2)), $E2031&lt;&gt;"")</f>
        <v>0</v>
      </c>
    </row>
    <row r="2032" spans="1:18" x14ac:dyDescent="0.3">
      <c r="A2032">
        <f t="shared" si="159"/>
        <v>2015</v>
      </c>
      <c r="B2032" s="4"/>
      <c r="I2032" s="8"/>
      <c r="J2032" s="5"/>
      <c r="K2032" s="3"/>
      <c r="L2032" s="3" t="str">
        <f t="shared" si="157"/>
        <v/>
      </c>
      <c r="N2032" s="3" t="str">
        <f t="shared" si="160"/>
        <v/>
      </c>
      <c r="O2032" s="6" t="str">
        <f t="shared" si="158"/>
        <v/>
      </c>
      <c r="P2032" s="7">
        <f ca="1">SUMIFS($N$2:$N2032,$B$2:$B2032,"&lt;&gt;"&amp;B2032)+SUM($Q$2:$Q2032)</f>
        <v>135.05500000000001</v>
      </c>
      <c r="R2032" t="b">
        <f>AND(ISNUMBER(FIND($E2032,Tables!$I$2)), ISNUMBER(FIND($D2032,Tables!$J$2)), $E2032&lt;&gt;"")</f>
        <v>0</v>
      </c>
    </row>
    <row r="2033" spans="1:18" x14ac:dyDescent="0.3">
      <c r="A2033">
        <f t="shared" si="159"/>
        <v>2016</v>
      </c>
      <c r="B2033" s="4"/>
      <c r="I2033" s="8"/>
      <c r="J2033" s="5"/>
      <c r="K2033" s="3"/>
      <c r="L2033" s="3" t="str">
        <f t="shared" si="157"/>
        <v/>
      </c>
      <c r="N2033" s="3" t="str">
        <f t="shared" si="160"/>
        <v/>
      </c>
      <c r="O2033" s="6" t="str">
        <f t="shared" si="158"/>
        <v/>
      </c>
      <c r="P2033" s="7">
        <f ca="1">SUMIFS($N$2:$N2033,$B$2:$B2033,"&lt;&gt;"&amp;B2033)+SUM($Q$2:$Q2033)</f>
        <v>135.05500000000001</v>
      </c>
      <c r="R2033" t="b">
        <f>AND(ISNUMBER(FIND($E2033,Tables!$I$2)), ISNUMBER(FIND($D2033,Tables!$J$2)), $E2033&lt;&gt;"")</f>
        <v>0</v>
      </c>
    </row>
    <row r="2034" spans="1:18" x14ac:dyDescent="0.3">
      <c r="A2034">
        <f t="shared" si="159"/>
        <v>2017</v>
      </c>
      <c r="B2034" s="4"/>
      <c r="I2034" s="8"/>
      <c r="J2034" s="5"/>
      <c r="K2034" s="3"/>
      <c r="L2034" s="3" t="str">
        <f t="shared" ref="L2034:L2097" si="161">IFERROR(IF(K2034=0, "", IF(I2034&gt;0, K2034/100*I2034,K2034/I2034*-100)), "")</f>
        <v/>
      </c>
      <c r="N2034" s="3" t="str">
        <f t="shared" si="160"/>
        <v/>
      </c>
      <c r="O2034" s="6" t="str">
        <f t="shared" si="158"/>
        <v/>
      </c>
      <c r="P2034" s="7">
        <f ca="1">SUMIFS($N$2:$N2034,$B$2:$B2034,"&lt;&gt;"&amp;B2034)+SUM($Q$2:$Q2034)</f>
        <v>135.05500000000001</v>
      </c>
      <c r="R2034" t="b">
        <f>AND(ISNUMBER(FIND($E2034,Tables!$I$2)), ISNUMBER(FIND($D2034,Tables!$J$2)), $E2034&lt;&gt;"")</f>
        <v>0</v>
      </c>
    </row>
    <row r="2035" spans="1:18" x14ac:dyDescent="0.3">
      <c r="A2035">
        <f t="shared" si="159"/>
        <v>2018</v>
      </c>
      <c r="B2035" s="4"/>
      <c r="I2035" s="8"/>
      <c r="J2035" s="5"/>
      <c r="K2035" s="3"/>
      <c r="L2035" s="3" t="str">
        <f t="shared" si="161"/>
        <v/>
      </c>
      <c r="N2035" s="3" t="str">
        <f t="shared" si="160"/>
        <v/>
      </c>
      <c r="O2035" s="6" t="str">
        <f t="shared" si="158"/>
        <v/>
      </c>
      <c r="P2035" s="7">
        <f ca="1">SUMIFS($N$2:$N2035,$B$2:$B2035,"&lt;&gt;"&amp;B2035)+SUM($Q$2:$Q2035)</f>
        <v>135.05500000000001</v>
      </c>
      <c r="R2035" t="b">
        <f>AND(ISNUMBER(FIND($E2035,Tables!$I$2)), ISNUMBER(FIND($D2035,Tables!$J$2)), $E2035&lt;&gt;"")</f>
        <v>0</v>
      </c>
    </row>
    <row r="2036" spans="1:18" x14ac:dyDescent="0.3">
      <c r="A2036">
        <f t="shared" si="159"/>
        <v>2019</v>
      </c>
      <c r="B2036" s="4"/>
      <c r="I2036" s="8"/>
      <c r="J2036" s="5"/>
      <c r="K2036" s="3"/>
      <c r="L2036" s="3" t="str">
        <f t="shared" si="161"/>
        <v/>
      </c>
      <c r="N2036" s="3" t="str">
        <f t="shared" si="160"/>
        <v/>
      </c>
      <c r="O2036" s="6" t="str">
        <f t="shared" si="158"/>
        <v/>
      </c>
      <c r="P2036" s="7">
        <f ca="1">SUMIFS($N$2:$N2036,$B$2:$B2036,"&lt;&gt;"&amp;B2036)+SUM($Q$2:$Q2036)</f>
        <v>135.05500000000001</v>
      </c>
      <c r="R2036" t="b">
        <f>AND(ISNUMBER(FIND($E2036,Tables!$I$2)), ISNUMBER(FIND($D2036,Tables!$J$2)), $E2036&lt;&gt;"")</f>
        <v>0</v>
      </c>
    </row>
    <row r="2037" spans="1:18" x14ac:dyDescent="0.3">
      <c r="A2037">
        <f t="shared" si="159"/>
        <v>2020</v>
      </c>
      <c r="B2037" s="4"/>
      <c r="I2037" s="8"/>
      <c r="J2037" s="5"/>
      <c r="K2037" s="3"/>
      <c r="L2037" s="3" t="str">
        <f t="shared" si="161"/>
        <v/>
      </c>
      <c r="N2037" s="3" t="str">
        <f t="shared" si="160"/>
        <v/>
      </c>
      <c r="O2037" s="6" t="str">
        <f t="shared" si="158"/>
        <v/>
      </c>
      <c r="P2037" s="7">
        <f ca="1">SUMIFS($N$2:$N2037,$B$2:$B2037,"&lt;&gt;"&amp;B2037)+SUM($Q$2:$Q2037)</f>
        <v>135.05500000000001</v>
      </c>
      <c r="R2037" t="b">
        <f>AND(ISNUMBER(FIND($E2037,Tables!$I$2)), ISNUMBER(FIND($D2037,Tables!$J$2)), $E2037&lt;&gt;"")</f>
        <v>0</v>
      </c>
    </row>
    <row r="2038" spans="1:18" x14ac:dyDescent="0.3">
      <c r="A2038">
        <f t="shared" si="159"/>
        <v>2021</v>
      </c>
      <c r="B2038" s="4"/>
      <c r="I2038" s="8"/>
      <c r="J2038" s="5"/>
      <c r="K2038" s="3"/>
      <c r="L2038" s="3" t="str">
        <f t="shared" si="161"/>
        <v/>
      </c>
      <c r="N2038" s="3" t="str">
        <f t="shared" si="160"/>
        <v/>
      </c>
      <c r="O2038" s="6" t="str">
        <f t="shared" si="158"/>
        <v/>
      </c>
      <c r="P2038" s="7">
        <f ca="1">SUMIFS($N$2:$N2038,$B$2:$B2038,"&lt;&gt;"&amp;B2038)+SUM($Q$2:$Q2038)</f>
        <v>135.05500000000001</v>
      </c>
      <c r="R2038" t="b">
        <f>AND(ISNUMBER(FIND($E2038,Tables!$I$2)), ISNUMBER(FIND($D2038,Tables!$J$2)), $E2038&lt;&gt;"")</f>
        <v>0</v>
      </c>
    </row>
    <row r="2039" spans="1:18" x14ac:dyDescent="0.3">
      <c r="A2039">
        <f t="shared" si="159"/>
        <v>2022</v>
      </c>
      <c r="B2039" s="4"/>
      <c r="I2039" s="8"/>
      <c r="J2039" s="5"/>
      <c r="K2039" s="3"/>
      <c r="L2039" s="3" t="str">
        <f t="shared" si="161"/>
        <v/>
      </c>
      <c r="N2039" s="3" t="str">
        <f t="shared" si="160"/>
        <v/>
      </c>
      <c r="O2039" s="6" t="str">
        <f t="shared" si="158"/>
        <v/>
      </c>
      <c r="P2039" s="7">
        <f ca="1">SUMIFS($N$2:$N2039,$B$2:$B2039,"&lt;&gt;"&amp;B2039)+SUM($Q$2:$Q2039)</f>
        <v>135.05500000000001</v>
      </c>
      <c r="R2039" t="b">
        <f>AND(ISNUMBER(FIND($E2039,Tables!$I$2)), ISNUMBER(FIND($D2039,Tables!$J$2)), $E2039&lt;&gt;"")</f>
        <v>0</v>
      </c>
    </row>
    <row r="2040" spans="1:18" x14ac:dyDescent="0.3">
      <c r="A2040">
        <f t="shared" si="159"/>
        <v>2023</v>
      </c>
      <c r="B2040" s="4"/>
      <c r="I2040" s="8"/>
      <c r="J2040" s="5"/>
      <c r="K2040" s="3"/>
      <c r="L2040" s="3" t="str">
        <f t="shared" si="161"/>
        <v/>
      </c>
      <c r="N2040" s="3" t="str">
        <f t="shared" si="160"/>
        <v/>
      </c>
      <c r="O2040" s="6" t="str">
        <f t="shared" si="158"/>
        <v/>
      </c>
      <c r="P2040" s="7">
        <f ca="1">SUMIFS($N$2:$N2040,$B$2:$B2040,"&lt;&gt;"&amp;B2040)+SUM($Q$2:$Q2040)</f>
        <v>135.05500000000001</v>
      </c>
      <c r="R2040" t="b">
        <f>AND(ISNUMBER(FIND($E2040,Tables!$I$2)), ISNUMBER(FIND($D2040,Tables!$J$2)), $E2040&lt;&gt;"")</f>
        <v>0</v>
      </c>
    </row>
    <row r="2041" spans="1:18" x14ac:dyDescent="0.3">
      <c r="A2041">
        <f t="shared" si="159"/>
        <v>2024</v>
      </c>
      <c r="B2041" s="4"/>
      <c r="I2041" s="8"/>
      <c r="J2041" s="5"/>
      <c r="K2041" s="3"/>
      <c r="L2041" s="3" t="str">
        <f t="shared" si="161"/>
        <v/>
      </c>
      <c r="N2041" s="3" t="str">
        <f t="shared" si="160"/>
        <v/>
      </c>
      <c r="O2041" s="6" t="str">
        <f t="shared" si="158"/>
        <v/>
      </c>
      <c r="P2041" s="7">
        <f ca="1">SUMIFS($N$2:$N2041,$B$2:$B2041,"&lt;&gt;"&amp;B2041)+SUM($Q$2:$Q2041)</f>
        <v>135.05500000000001</v>
      </c>
      <c r="R2041" t="b">
        <f>AND(ISNUMBER(FIND($E2041,Tables!$I$2)), ISNUMBER(FIND($D2041,Tables!$J$2)), $E2041&lt;&gt;"")</f>
        <v>0</v>
      </c>
    </row>
    <row r="2042" spans="1:18" x14ac:dyDescent="0.3">
      <c r="A2042">
        <f t="shared" si="159"/>
        <v>2025</v>
      </c>
      <c r="B2042" s="4"/>
      <c r="I2042" s="8"/>
      <c r="J2042" s="5"/>
      <c r="K2042" s="3"/>
      <c r="L2042" s="3" t="str">
        <f t="shared" si="161"/>
        <v/>
      </c>
      <c r="N2042" s="3" t="str">
        <f t="shared" si="160"/>
        <v/>
      </c>
      <c r="O2042" s="6" t="str">
        <f t="shared" si="158"/>
        <v/>
      </c>
      <c r="P2042" s="7">
        <f ca="1">SUMIFS($N$2:$N2042,$B$2:$B2042,"&lt;&gt;"&amp;B2042)+SUM($Q$2:$Q2042)</f>
        <v>135.05500000000001</v>
      </c>
      <c r="R2042" t="b">
        <f>AND(ISNUMBER(FIND($E2042,Tables!$I$2)), ISNUMBER(FIND($D2042,Tables!$J$2)), $E2042&lt;&gt;"")</f>
        <v>0</v>
      </c>
    </row>
    <row r="2043" spans="1:18" x14ac:dyDescent="0.3">
      <c r="A2043">
        <f t="shared" si="159"/>
        <v>2026</v>
      </c>
      <c r="B2043" s="4"/>
      <c r="I2043" s="8"/>
      <c r="J2043" s="5"/>
      <c r="K2043" s="3"/>
      <c r="L2043" s="3" t="str">
        <f t="shared" si="161"/>
        <v/>
      </c>
      <c r="N2043" s="3" t="str">
        <f t="shared" si="160"/>
        <v/>
      </c>
      <c r="O2043" s="6" t="str">
        <f t="shared" si="158"/>
        <v/>
      </c>
      <c r="P2043" s="7">
        <f ca="1">SUMIFS($N$2:$N2043,$B$2:$B2043,"&lt;&gt;"&amp;B2043)+SUM($Q$2:$Q2043)</f>
        <v>135.05500000000001</v>
      </c>
      <c r="R2043" t="b">
        <f>AND(ISNUMBER(FIND($E2043,Tables!$I$2)), ISNUMBER(FIND($D2043,Tables!$J$2)), $E2043&lt;&gt;"")</f>
        <v>0</v>
      </c>
    </row>
    <row r="2044" spans="1:18" x14ac:dyDescent="0.3">
      <c r="A2044">
        <f t="shared" si="159"/>
        <v>2027</v>
      </c>
      <c r="B2044" s="4"/>
      <c r="I2044" s="8"/>
      <c r="J2044" s="5"/>
      <c r="K2044" s="3"/>
      <c r="L2044" s="3" t="str">
        <f t="shared" si="161"/>
        <v/>
      </c>
      <c r="N2044" s="3" t="str">
        <f t="shared" si="160"/>
        <v/>
      </c>
      <c r="O2044" s="6" t="str">
        <f t="shared" si="158"/>
        <v/>
      </c>
      <c r="P2044" s="7">
        <f ca="1">SUMIFS($N$2:$N2044,$B$2:$B2044,"&lt;&gt;"&amp;B2044)+SUM($Q$2:$Q2044)</f>
        <v>135.05500000000001</v>
      </c>
      <c r="R2044" t="b">
        <f>AND(ISNUMBER(FIND($E2044,Tables!$I$2)), ISNUMBER(FIND($D2044,Tables!$J$2)), $E2044&lt;&gt;"")</f>
        <v>0</v>
      </c>
    </row>
    <row r="2045" spans="1:18" x14ac:dyDescent="0.3">
      <c r="A2045">
        <f t="shared" si="159"/>
        <v>2028</v>
      </c>
      <c r="B2045" s="4"/>
      <c r="I2045" s="8"/>
      <c r="J2045" s="5"/>
      <c r="K2045" s="3"/>
      <c r="L2045" s="3" t="str">
        <f t="shared" si="161"/>
        <v/>
      </c>
      <c r="N2045" s="3" t="str">
        <f t="shared" si="160"/>
        <v/>
      </c>
      <c r="O2045" s="6" t="str">
        <f t="shared" si="158"/>
        <v/>
      </c>
      <c r="P2045" s="7">
        <f ca="1">SUMIFS($N$2:$N2045,$B$2:$B2045,"&lt;&gt;"&amp;B2045)+SUM($Q$2:$Q2045)</f>
        <v>135.05500000000001</v>
      </c>
      <c r="R2045" t="b">
        <f>AND(ISNUMBER(FIND($E2045,Tables!$I$2)), ISNUMBER(FIND($D2045,Tables!$J$2)), $E2045&lt;&gt;"")</f>
        <v>0</v>
      </c>
    </row>
    <row r="2046" spans="1:18" x14ac:dyDescent="0.3">
      <c r="A2046">
        <f t="shared" si="159"/>
        <v>2029</v>
      </c>
      <c r="B2046" s="4"/>
      <c r="I2046" s="8"/>
      <c r="J2046" s="5"/>
      <c r="K2046" s="3"/>
      <c r="L2046" s="3" t="str">
        <f t="shared" si="161"/>
        <v/>
      </c>
      <c r="N2046" s="3" t="str">
        <f t="shared" si="160"/>
        <v/>
      </c>
      <c r="O2046" s="6" t="str">
        <f t="shared" si="158"/>
        <v/>
      </c>
      <c r="P2046" s="7">
        <f ca="1">SUMIFS($N$2:$N2046,$B$2:$B2046,"&lt;&gt;"&amp;B2046)+SUM($Q$2:$Q2046)</f>
        <v>135.05500000000001</v>
      </c>
      <c r="R2046" t="b">
        <f>AND(ISNUMBER(FIND($E2046,Tables!$I$2)), ISNUMBER(FIND($D2046,Tables!$J$2)), $E2046&lt;&gt;"")</f>
        <v>0</v>
      </c>
    </row>
    <row r="2047" spans="1:18" x14ac:dyDescent="0.3">
      <c r="A2047">
        <f t="shared" si="159"/>
        <v>2030</v>
      </c>
      <c r="B2047" s="4"/>
      <c r="I2047" s="8"/>
      <c r="J2047" s="5"/>
      <c r="K2047" s="3"/>
      <c r="L2047" s="3" t="str">
        <f t="shared" si="161"/>
        <v/>
      </c>
      <c r="N2047" s="3" t="str">
        <f t="shared" si="160"/>
        <v/>
      </c>
      <c r="O2047" s="6" t="str">
        <f t="shared" si="158"/>
        <v/>
      </c>
      <c r="P2047" s="7">
        <f ca="1">SUMIFS($N$2:$N2047,$B$2:$B2047,"&lt;&gt;"&amp;B2047)+SUM($Q$2:$Q2047)</f>
        <v>135.05500000000001</v>
      </c>
      <c r="R2047" t="b">
        <f>AND(ISNUMBER(FIND($E2047,Tables!$I$2)), ISNUMBER(FIND($D2047,Tables!$J$2)), $E2047&lt;&gt;"")</f>
        <v>0</v>
      </c>
    </row>
    <row r="2048" spans="1:18" x14ac:dyDescent="0.3">
      <c r="A2048">
        <f t="shared" si="159"/>
        <v>2031</v>
      </c>
      <c r="B2048" s="4"/>
      <c r="I2048" s="8"/>
      <c r="J2048" s="5"/>
      <c r="K2048" s="3"/>
      <c r="L2048" s="3" t="str">
        <f t="shared" si="161"/>
        <v/>
      </c>
      <c r="N2048" s="3" t="str">
        <f t="shared" si="160"/>
        <v/>
      </c>
      <c r="O2048" s="6" t="str">
        <f t="shared" si="158"/>
        <v/>
      </c>
      <c r="P2048" s="7">
        <f ca="1">SUMIFS($N$2:$N2048,$B$2:$B2048,"&lt;&gt;"&amp;B2048)+SUM($Q$2:$Q2048)</f>
        <v>135.05500000000001</v>
      </c>
      <c r="R2048" t="b">
        <f>AND(ISNUMBER(FIND($E2048,Tables!$I$2)), ISNUMBER(FIND($D2048,Tables!$J$2)), $E2048&lt;&gt;"")</f>
        <v>0</v>
      </c>
    </row>
    <row r="2049" spans="1:18" x14ac:dyDescent="0.3">
      <c r="A2049">
        <f t="shared" si="159"/>
        <v>2032</v>
      </c>
      <c r="B2049" s="4"/>
      <c r="I2049" s="8"/>
      <c r="J2049" s="5"/>
      <c r="K2049" s="3"/>
      <c r="L2049" s="3" t="str">
        <f t="shared" si="161"/>
        <v/>
      </c>
      <c r="N2049" s="3" t="str">
        <f t="shared" si="160"/>
        <v/>
      </c>
      <c r="O2049" s="6" t="str">
        <f t="shared" si="158"/>
        <v/>
      </c>
      <c r="P2049" s="7">
        <f ca="1">SUMIFS($N$2:$N2049,$B$2:$B2049,"&lt;&gt;"&amp;B2049)+SUM($Q$2:$Q2049)</f>
        <v>135.05500000000001</v>
      </c>
      <c r="R2049" t="b">
        <f>AND(ISNUMBER(FIND($E2049,Tables!$I$2)), ISNUMBER(FIND($D2049,Tables!$J$2)), $E2049&lt;&gt;"")</f>
        <v>0</v>
      </c>
    </row>
    <row r="2050" spans="1:18" x14ac:dyDescent="0.3">
      <c r="A2050">
        <f t="shared" si="159"/>
        <v>2033</v>
      </c>
      <c r="B2050" s="4"/>
      <c r="I2050" s="8"/>
      <c r="J2050" s="5"/>
      <c r="K2050" s="3"/>
      <c r="L2050" s="3" t="str">
        <f t="shared" si="161"/>
        <v/>
      </c>
      <c r="N2050" s="3" t="str">
        <f t="shared" si="160"/>
        <v/>
      </c>
      <c r="O2050" s="6" t="str">
        <f t="shared" ref="O2050:O2113" si="162">IFERROR(K2050/VLOOKUP(_xlfn.MINIFS(A:A,B:B,B2050,C:C,C2050),A:P,16),"")</f>
        <v/>
      </c>
      <c r="P2050" s="7">
        <f ca="1">SUMIFS($N$2:$N2050,$B$2:$B2050,"&lt;&gt;"&amp;B2050)+SUM($Q$2:$Q2050)</f>
        <v>135.05500000000001</v>
      </c>
      <c r="R2050" t="b">
        <f>AND(ISNUMBER(FIND($E2050,Tables!$I$2)), ISNUMBER(FIND($D2050,Tables!$J$2)), $E2050&lt;&gt;"")</f>
        <v>0</v>
      </c>
    </row>
    <row r="2051" spans="1:18" x14ac:dyDescent="0.3">
      <c r="A2051">
        <f t="shared" si="159"/>
        <v>2034</v>
      </c>
      <c r="B2051" s="4"/>
      <c r="I2051" s="8"/>
      <c r="J2051" s="5"/>
      <c r="K2051" s="3"/>
      <c r="L2051" s="3" t="str">
        <f t="shared" si="161"/>
        <v/>
      </c>
      <c r="N2051" s="3" t="str">
        <f t="shared" si="160"/>
        <v/>
      </c>
      <c r="O2051" s="6" t="str">
        <f t="shared" si="162"/>
        <v/>
      </c>
      <c r="P2051" s="7">
        <f ca="1">SUMIFS($N$2:$N2051,$B$2:$B2051,"&lt;&gt;"&amp;B2051)+SUM($Q$2:$Q2051)</f>
        <v>135.05500000000001</v>
      </c>
      <c r="R2051" t="b">
        <f>AND(ISNUMBER(FIND($E2051,Tables!$I$2)), ISNUMBER(FIND($D2051,Tables!$J$2)), $E2051&lt;&gt;"")</f>
        <v>0</v>
      </c>
    </row>
    <row r="2052" spans="1:18" x14ac:dyDescent="0.3">
      <c r="A2052">
        <f t="shared" si="159"/>
        <v>2035</v>
      </c>
      <c r="B2052" s="4"/>
      <c r="I2052" s="8"/>
      <c r="J2052" s="5"/>
      <c r="K2052" s="3"/>
      <c r="L2052" s="3" t="str">
        <f t="shared" si="161"/>
        <v/>
      </c>
      <c r="N2052" s="3" t="str">
        <f t="shared" si="160"/>
        <v/>
      </c>
      <c r="O2052" s="6" t="str">
        <f t="shared" si="162"/>
        <v/>
      </c>
      <c r="P2052" s="7">
        <f ca="1">SUMIFS($N$2:$N2052,$B$2:$B2052,"&lt;&gt;"&amp;B2052)+SUM($Q$2:$Q2052)</f>
        <v>135.05500000000001</v>
      </c>
      <c r="R2052" t="b">
        <f>AND(ISNUMBER(FIND($E2052,Tables!$I$2)), ISNUMBER(FIND($D2052,Tables!$J$2)), $E2052&lt;&gt;"")</f>
        <v>0</v>
      </c>
    </row>
    <row r="2053" spans="1:18" x14ac:dyDescent="0.3">
      <c r="A2053">
        <f t="shared" si="159"/>
        <v>2036</v>
      </c>
      <c r="B2053" s="4"/>
      <c r="I2053" s="8"/>
      <c r="J2053" s="5"/>
      <c r="K2053" s="3"/>
      <c r="L2053" s="3" t="str">
        <f t="shared" si="161"/>
        <v/>
      </c>
      <c r="N2053" s="3" t="str">
        <f t="shared" si="160"/>
        <v/>
      </c>
      <c r="O2053" s="6" t="str">
        <f t="shared" si="162"/>
        <v/>
      </c>
      <c r="P2053" s="7">
        <f ca="1">SUMIFS($N$2:$N2053,$B$2:$B2053,"&lt;&gt;"&amp;B2053)+SUM($Q$2:$Q2053)</f>
        <v>135.05500000000001</v>
      </c>
      <c r="R2053" t="b">
        <f>AND(ISNUMBER(FIND($E2053,Tables!$I$2)), ISNUMBER(FIND($D2053,Tables!$J$2)), $E2053&lt;&gt;"")</f>
        <v>0</v>
      </c>
    </row>
    <row r="2054" spans="1:18" x14ac:dyDescent="0.3">
      <c r="A2054">
        <f t="shared" si="159"/>
        <v>2037</v>
      </c>
      <c r="B2054" s="4"/>
      <c r="I2054" s="8"/>
      <c r="J2054" s="5"/>
      <c r="K2054" s="3"/>
      <c r="L2054" s="3" t="str">
        <f t="shared" si="161"/>
        <v/>
      </c>
      <c r="N2054" s="3" t="str">
        <f t="shared" si="160"/>
        <v/>
      </c>
      <c r="O2054" s="6" t="str">
        <f t="shared" si="162"/>
        <v/>
      </c>
      <c r="P2054" s="7">
        <f ca="1">SUMIFS($N$2:$N2054,$B$2:$B2054,"&lt;&gt;"&amp;B2054)+SUM($Q$2:$Q2054)</f>
        <v>135.05500000000001</v>
      </c>
      <c r="R2054" t="b">
        <f>AND(ISNUMBER(FIND($E2054,Tables!$I$2)), ISNUMBER(FIND($D2054,Tables!$J$2)), $E2054&lt;&gt;"")</f>
        <v>0</v>
      </c>
    </row>
    <row r="2055" spans="1:18" x14ac:dyDescent="0.3">
      <c r="A2055">
        <f t="shared" si="159"/>
        <v>2038</v>
      </c>
      <c r="B2055" s="4"/>
      <c r="I2055" s="8"/>
      <c r="J2055" s="5"/>
      <c r="K2055" s="3"/>
      <c r="L2055" s="3" t="str">
        <f t="shared" si="161"/>
        <v/>
      </c>
      <c r="N2055" s="3" t="str">
        <f t="shared" si="160"/>
        <v/>
      </c>
      <c r="O2055" s="6" t="str">
        <f t="shared" si="162"/>
        <v/>
      </c>
      <c r="P2055" s="7">
        <f ca="1">SUMIFS($N$2:$N2055,$B$2:$B2055,"&lt;&gt;"&amp;B2055)+SUM($Q$2:$Q2055)</f>
        <v>135.05500000000001</v>
      </c>
      <c r="R2055" t="b">
        <f>AND(ISNUMBER(FIND($E2055,Tables!$I$2)), ISNUMBER(FIND($D2055,Tables!$J$2)), $E2055&lt;&gt;"")</f>
        <v>0</v>
      </c>
    </row>
    <row r="2056" spans="1:18" x14ac:dyDescent="0.3">
      <c r="A2056">
        <f t="shared" si="159"/>
        <v>2039</v>
      </c>
      <c r="B2056" s="4"/>
      <c r="I2056" s="8"/>
      <c r="J2056" s="5"/>
      <c r="K2056" s="3"/>
      <c r="L2056" s="3" t="str">
        <f t="shared" si="161"/>
        <v/>
      </c>
      <c r="N2056" s="3" t="str">
        <f t="shared" si="160"/>
        <v/>
      </c>
      <c r="O2056" s="6" t="str">
        <f t="shared" si="162"/>
        <v/>
      </c>
      <c r="P2056" s="7">
        <f ca="1">SUMIFS($N$2:$N2056,$B$2:$B2056,"&lt;&gt;"&amp;B2056)+SUM($Q$2:$Q2056)</f>
        <v>135.05500000000001</v>
      </c>
      <c r="R2056" t="b">
        <f>AND(ISNUMBER(FIND($E2056,Tables!$I$2)), ISNUMBER(FIND($D2056,Tables!$J$2)), $E2056&lt;&gt;"")</f>
        <v>0</v>
      </c>
    </row>
    <row r="2057" spans="1:18" x14ac:dyDescent="0.3">
      <c r="A2057">
        <f t="shared" si="159"/>
        <v>2040</v>
      </c>
      <c r="B2057" s="4"/>
      <c r="I2057" s="8"/>
      <c r="J2057" s="5"/>
      <c r="K2057" s="3"/>
      <c r="L2057" s="3" t="str">
        <f t="shared" si="161"/>
        <v/>
      </c>
      <c r="N2057" s="3" t="str">
        <f t="shared" si="160"/>
        <v/>
      </c>
      <c r="O2057" s="6" t="str">
        <f t="shared" si="162"/>
        <v/>
      </c>
      <c r="P2057" s="7">
        <f ca="1">SUMIFS($N$2:$N2057,$B$2:$B2057,"&lt;&gt;"&amp;B2057)+SUM($Q$2:$Q2057)</f>
        <v>135.05500000000001</v>
      </c>
      <c r="R2057" t="b">
        <f>AND(ISNUMBER(FIND($E2057,Tables!$I$2)), ISNUMBER(FIND($D2057,Tables!$J$2)), $E2057&lt;&gt;"")</f>
        <v>0</v>
      </c>
    </row>
    <row r="2058" spans="1:18" x14ac:dyDescent="0.3">
      <c r="A2058">
        <f t="shared" si="159"/>
        <v>2041</v>
      </c>
      <c r="B2058" s="4"/>
      <c r="I2058" s="8"/>
      <c r="J2058" s="5"/>
      <c r="K2058" s="3"/>
      <c r="L2058" s="3" t="str">
        <f t="shared" si="161"/>
        <v/>
      </c>
      <c r="N2058" s="3" t="str">
        <f t="shared" si="160"/>
        <v/>
      </c>
      <c r="O2058" s="6" t="str">
        <f t="shared" si="162"/>
        <v/>
      </c>
      <c r="P2058" s="7">
        <f ca="1">SUMIFS($N$2:$N2058,$B$2:$B2058,"&lt;&gt;"&amp;B2058)+SUM($Q$2:$Q2058)</f>
        <v>135.05500000000001</v>
      </c>
      <c r="R2058" t="b">
        <f>AND(ISNUMBER(FIND($E2058,Tables!$I$2)), ISNUMBER(FIND($D2058,Tables!$J$2)), $E2058&lt;&gt;"")</f>
        <v>0</v>
      </c>
    </row>
    <row r="2059" spans="1:18" x14ac:dyDescent="0.3">
      <c r="A2059">
        <f t="shared" si="159"/>
        <v>2042</v>
      </c>
      <c r="B2059" s="4"/>
      <c r="I2059" s="8"/>
      <c r="J2059" s="5"/>
      <c r="K2059" s="3"/>
      <c r="L2059" s="3" t="str">
        <f t="shared" si="161"/>
        <v/>
      </c>
      <c r="N2059" s="3" t="str">
        <f t="shared" si="160"/>
        <v/>
      </c>
      <c r="O2059" s="6" t="str">
        <f t="shared" si="162"/>
        <v/>
      </c>
      <c r="P2059" s="7">
        <f ca="1">SUMIFS($N$2:$N2059,$B$2:$B2059,"&lt;&gt;"&amp;B2059)+SUM($Q$2:$Q2059)</f>
        <v>135.05500000000001</v>
      </c>
      <c r="R2059" t="b">
        <f>AND(ISNUMBER(FIND($E2059,Tables!$I$2)), ISNUMBER(FIND($D2059,Tables!$J$2)), $E2059&lt;&gt;"")</f>
        <v>0</v>
      </c>
    </row>
    <row r="2060" spans="1:18" x14ac:dyDescent="0.3">
      <c r="A2060">
        <f t="shared" si="159"/>
        <v>2043</v>
      </c>
      <c r="B2060" s="4"/>
      <c r="I2060" s="8"/>
      <c r="J2060" s="5"/>
      <c r="K2060" s="3"/>
      <c r="L2060" s="3" t="str">
        <f t="shared" si="161"/>
        <v/>
      </c>
      <c r="N2060" s="3" t="str">
        <f t="shared" si="160"/>
        <v/>
      </c>
      <c r="O2060" s="6" t="str">
        <f t="shared" si="162"/>
        <v/>
      </c>
      <c r="P2060" s="7">
        <f ca="1">SUMIFS($N$2:$N2060,$B$2:$B2060,"&lt;&gt;"&amp;B2060)+SUM($Q$2:$Q2060)</f>
        <v>135.05500000000001</v>
      </c>
      <c r="R2060" t="b">
        <f>AND(ISNUMBER(FIND($E2060,Tables!$I$2)), ISNUMBER(FIND($D2060,Tables!$J$2)), $E2060&lt;&gt;"")</f>
        <v>0</v>
      </c>
    </row>
    <row r="2061" spans="1:18" x14ac:dyDescent="0.3">
      <c r="A2061">
        <f t="shared" si="159"/>
        <v>2044</v>
      </c>
      <c r="B2061" s="4"/>
      <c r="I2061" s="8"/>
      <c r="J2061" s="5"/>
      <c r="K2061" s="3"/>
      <c r="L2061" s="3" t="str">
        <f t="shared" si="161"/>
        <v/>
      </c>
      <c r="N2061" s="3" t="str">
        <f t="shared" si="160"/>
        <v/>
      </c>
      <c r="O2061" s="6" t="str">
        <f t="shared" si="162"/>
        <v/>
      </c>
      <c r="P2061" s="7">
        <f ca="1">SUMIFS($N$2:$N2061,$B$2:$B2061,"&lt;&gt;"&amp;B2061)+SUM($Q$2:$Q2061)</f>
        <v>135.05500000000001</v>
      </c>
      <c r="R2061" t="b">
        <f>AND(ISNUMBER(FIND($E2061,Tables!$I$2)), ISNUMBER(FIND($D2061,Tables!$J$2)), $E2061&lt;&gt;"")</f>
        <v>0</v>
      </c>
    </row>
    <row r="2062" spans="1:18" x14ac:dyDescent="0.3">
      <c r="A2062">
        <f t="shared" si="159"/>
        <v>2045</v>
      </c>
      <c r="B2062" s="4"/>
      <c r="I2062" s="8"/>
      <c r="J2062" s="5"/>
      <c r="K2062" s="3"/>
      <c r="L2062" s="3" t="str">
        <f t="shared" si="161"/>
        <v/>
      </c>
      <c r="N2062" s="3" t="str">
        <f t="shared" si="160"/>
        <v/>
      </c>
      <c r="O2062" s="6" t="str">
        <f t="shared" si="162"/>
        <v/>
      </c>
      <c r="P2062" s="7">
        <f ca="1">SUMIFS($N$2:$N2062,$B$2:$B2062,"&lt;&gt;"&amp;B2062)+SUM($Q$2:$Q2062)</f>
        <v>135.05500000000001</v>
      </c>
      <c r="R2062" t="b">
        <f>AND(ISNUMBER(FIND($E2062,Tables!$I$2)), ISNUMBER(FIND($D2062,Tables!$J$2)), $E2062&lt;&gt;"")</f>
        <v>0</v>
      </c>
    </row>
    <row r="2063" spans="1:18" x14ac:dyDescent="0.3">
      <c r="A2063">
        <f t="shared" si="159"/>
        <v>2046</v>
      </c>
      <c r="B2063" s="4"/>
      <c r="I2063" s="8"/>
      <c r="J2063" s="5"/>
      <c r="K2063" s="3"/>
      <c r="L2063" s="3" t="str">
        <f t="shared" si="161"/>
        <v/>
      </c>
      <c r="N2063" s="3" t="str">
        <f t="shared" si="160"/>
        <v/>
      </c>
      <c r="O2063" s="6" t="str">
        <f t="shared" si="162"/>
        <v/>
      </c>
      <c r="P2063" s="7">
        <f ca="1">SUMIFS($N$2:$N2063,$B$2:$B2063,"&lt;&gt;"&amp;B2063)+SUM($Q$2:$Q2063)</f>
        <v>135.05500000000001</v>
      </c>
      <c r="R2063" t="b">
        <f>AND(ISNUMBER(FIND($E2063,Tables!$I$2)), ISNUMBER(FIND($D2063,Tables!$J$2)), $E2063&lt;&gt;"")</f>
        <v>0</v>
      </c>
    </row>
    <row r="2064" spans="1:18" x14ac:dyDescent="0.3">
      <c r="A2064">
        <f t="shared" si="159"/>
        <v>2047</v>
      </c>
      <c r="B2064" s="4"/>
      <c r="I2064" s="8"/>
      <c r="J2064" s="5"/>
      <c r="K2064" s="3"/>
      <c r="L2064" s="3" t="str">
        <f t="shared" si="161"/>
        <v/>
      </c>
      <c r="N2064" s="3" t="str">
        <f t="shared" si="160"/>
        <v/>
      </c>
      <c r="O2064" s="6" t="str">
        <f t="shared" si="162"/>
        <v/>
      </c>
      <c r="P2064" s="7">
        <f ca="1">SUMIFS($N$2:$N2064,$B$2:$B2064,"&lt;&gt;"&amp;B2064)+SUM($Q$2:$Q2064)</f>
        <v>135.05500000000001</v>
      </c>
      <c r="R2064" t="b">
        <f>AND(ISNUMBER(FIND($E2064,Tables!$I$2)), ISNUMBER(FIND($D2064,Tables!$J$2)), $E2064&lt;&gt;"")</f>
        <v>0</v>
      </c>
    </row>
    <row r="2065" spans="1:18" x14ac:dyDescent="0.3">
      <c r="A2065">
        <f t="shared" si="159"/>
        <v>2048</v>
      </c>
      <c r="B2065" s="4"/>
      <c r="I2065" s="8"/>
      <c r="J2065" s="5"/>
      <c r="K2065" s="3"/>
      <c r="L2065" s="3" t="str">
        <f t="shared" si="161"/>
        <v/>
      </c>
      <c r="N2065" s="3" t="str">
        <f t="shared" si="160"/>
        <v/>
      </c>
      <c r="O2065" s="6" t="str">
        <f t="shared" si="162"/>
        <v/>
      </c>
      <c r="P2065" s="7">
        <f ca="1">SUMIFS($N$2:$N2065,$B$2:$B2065,"&lt;&gt;"&amp;B2065)+SUM($Q$2:$Q2065)</f>
        <v>135.05500000000001</v>
      </c>
      <c r="R2065" t="b">
        <f>AND(ISNUMBER(FIND($E2065,Tables!$I$2)), ISNUMBER(FIND($D2065,Tables!$J$2)), $E2065&lt;&gt;"")</f>
        <v>0</v>
      </c>
    </row>
    <row r="2066" spans="1:18" x14ac:dyDescent="0.3">
      <c r="A2066">
        <f t="shared" si="159"/>
        <v>2049</v>
      </c>
      <c r="B2066" s="4"/>
      <c r="I2066" s="8"/>
      <c r="J2066" s="5"/>
      <c r="K2066" s="3"/>
      <c r="L2066" s="3" t="str">
        <f t="shared" si="161"/>
        <v/>
      </c>
      <c r="N2066" s="3" t="str">
        <f t="shared" si="160"/>
        <v/>
      </c>
      <c r="O2066" s="6" t="str">
        <f t="shared" si="162"/>
        <v/>
      </c>
      <c r="P2066" s="7">
        <f ca="1">SUMIFS($N$2:$N2066,$B$2:$B2066,"&lt;&gt;"&amp;B2066)+SUM($Q$2:$Q2066)</f>
        <v>135.05500000000001</v>
      </c>
      <c r="R2066" t="b">
        <f>AND(ISNUMBER(FIND($E2066,Tables!$I$2)), ISNUMBER(FIND($D2066,Tables!$J$2)), $E2066&lt;&gt;"")</f>
        <v>0</v>
      </c>
    </row>
    <row r="2067" spans="1:18" x14ac:dyDescent="0.3">
      <c r="A2067">
        <f t="shared" si="159"/>
        <v>2050</v>
      </c>
      <c r="B2067" s="4"/>
      <c r="I2067" s="8"/>
      <c r="J2067" s="5"/>
      <c r="K2067" s="3"/>
      <c r="L2067" s="3" t="str">
        <f t="shared" si="161"/>
        <v/>
      </c>
      <c r="N2067" s="3" t="str">
        <f t="shared" si="160"/>
        <v/>
      </c>
      <c r="O2067" s="6" t="str">
        <f t="shared" si="162"/>
        <v/>
      </c>
      <c r="P2067" s="7">
        <f ca="1">SUMIFS($N$2:$N2067,$B$2:$B2067,"&lt;&gt;"&amp;B2067)+SUM($Q$2:$Q2067)</f>
        <v>135.05500000000001</v>
      </c>
      <c r="R2067" t="b">
        <f>AND(ISNUMBER(FIND($E2067,Tables!$I$2)), ISNUMBER(FIND($D2067,Tables!$J$2)), $E2067&lt;&gt;"")</f>
        <v>0</v>
      </c>
    </row>
    <row r="2068" spans="1:18" x14ac:dyDescent="0.3">
      <c r="A2068">
        <f t="shared" si="159"/>
        <v>2051</v>
      </c>
      <c r="B2068" s="4"/>
      <c r="I2068" s="8"/>
      <c r="J2068" s="5"/>
      <c r="K2068" s="3"/>
      <c r="L2068" s="3" t="str">
        <f t="shared" si="161"/>
        <v/>
      </c>
      <c r="N2068" s="3" t="str">
        <f t="shared" si="160"/>
        <v/>
      </c>
      <c r="O2068" s="6" t="str">
        <f t="shared" si="162"/>
        <v/>
      </c>
      <c r="P2068" s="7">
        <f ca="1">SUMIFS($N$2:$N2068,$B$2:$B2068,"&lt;&gt;"&amp;B2068)+SUM($Q$2:$Q2068)</f>
        <v>135.05500000000001</v>
      </c>
      <c r="R2068" t="b">
        <f>AND(ISNUMBER(FIND($E2068,Tables!$I$2)), ISNUMBER(FIND($D2068,Tables!$J$2)), $E2068&lt;&gt;"")</f>
        <v>0</v>
      </c>
    </row>
    <row r="2069" spans="1:18" x14ac:dyDescent="0.3">
      <c r="A2069">
        <f t="shared" si="159"/>
        <v>2052</v>
      </c>
      <c r="B2069" s="4"/>
      <c r="I2069" s="8"/>
      <c r="J2069" s="5"/>
      <c r="K2069" s="3"/>
      <c r="L2069" s="3" t="str">
        <f t="shared" si="161"/>
        <v/>
      </c>
      <c r="N2069" s="3" t="str">
        <f t="shared" si="160"/>
        <v/>
      </c>
      <c r="O2069" s="6" t="str">
        <f t="shared" si="162"/>
        <v/>
      </c>
      <c r="P2069" s="7">
        <f ca="1">SUMIFS($N$2:$N2069,$B$2:$B2069,"&lt;&gt;"&amp;B2069)+SUM($Q$2:$Q2069)</f>
        <v>135.05500000000001</v>
      </c>
      <c r="R2069" t="b">
        <f>AND(ISNUMBER(FIND($E2069,Tables!$I$2)), ISNUMBER(FIND($D2069,Tables!$J$2)), $E2069&lt;&gt;"")</f>
        <v>0</v>
      </c>
    </row>
    <row r="2070" spans="1:18" x14ac:dyDescent="0.3">
      <c r="A2070">
        <f t="shared" si="159"/>
        <v>2053</v>
      </c>
      <c r="B2070" s="4"/>
      <c r="I2070" s="8"/>
      <c r="J2070" s="5"/>
      <c r="K2070" s="3"/>
      <c r="L2070" s="3" t="str">
        <f t="shared" si="161"/>
        <v/>
      </c>
      <c r="N2070" s="3" t="str">
        <f t="shared" si="160"/>
        <v/>
      </c>
      <c r="O2070" s="6" t="str">
        <f t="shared" si="162"/>
        <v/>
      </c>
      <c r="P2070" s="7">
        <f ca="1">SUMIFS($N$2:$N2070,$B$2:$B2070,"&lt;&gt;"&amp;B2070)+SUM($Q$2:$Q2070)</f>
        <v>135.05500000000001</v>
      </c>
      <c r="R2070" t="b">
        <f>AND(ISNUMBER(FIND($E2070,Tables!$I$2)), ISNUMBER(FIND($D2070,Tables!$J$2)), $E2070&lt;&gt;"")</f>
        <v>0</v>
      </c>
    </row>
    <row r="2071" spans="1:18" x14ac:dyDescent="0.3">
      <c r="A2071">
        <f t="shared" si="159"/>
        <v>2054</v>
      </c>
      <c r="B2071" s="4"/>
      <c r="I2071" s="8"/>
      <c r="J2071" s="5"/>
      <c r="K2071" s="3"/>
      <c r="L2071" s="3" t="str">
        <f t="shared" si="161"/>
        <v/>
      </c>
      <c r="N2071" s="3" t="str">
        <f t="shared" si="160"/>
        <v/>
      </c>
      <c r="O2071" s="6" t="str">
        <f t="shared" si="162"/>
        <v/>
      </c>
      <c r="P2071" s="7">
        <f ca="1">SUMIFS($N$2:$N2071,$B$2:$B2071,"&lt;&gt;"&amp;B2071)+SUM($Q$2:$Q2071)</f>
        <v>135.05500000000001</v>
      </c>
      <c r="R2071" t="b">
        <f>AND(ISNUMBER(FIND($E2071,Tables!$I$2)), ISNUMBER(FIND($D2071,Tables!$J$2)), $E2071&lt;&gt;"")</f>
        <v>0</v>
      </c>
    </row>
    <row r="2072" spans="1:18" x14ac:dyDescent="0.3">
      <c r="A2072">
        <f t="shared" si="159"/>
        <v>2055</v>
      </c>
      <c r="B2072" s="4"/>
      <c r="I2072" s="8"/>
      <c r="J2072" s="5"/>
      <c r="K2072" s="3"/>
      <c r="L2072" s="3" t="str">
        <f t="shared" si="161"/>
        <v/>
      </c>
      <c r="N2072" s="3" t="str">
        <f t="shared" si="160"/>
        <v/>
      </c>
      <c r="O2072" s="6" t="str">
        <f t="shared" si="162"/>
        <v/>
      </c>
      <c r="P2072" s="7">
        <f ca="1">SUMIFS($N$2:$N2072,$B$2:$B2072,"&lt;&gt;"&amp;B2072)+SUM($Q$2:$Q2072)</f>
        <v>135.05500000000001</v>
      </c>
      <c r="R2072" t="b">
        <f>AND(ISNUMBER(FIND($E2072,Tables!$I$2)), ISNUMBER(FIND($D2072,Tables!$J$2)), $E2072&lt;&gt;"")</f>
        <v>0</v>
      </c>
    </row>
    <row r="2073" spans="1:18" x14ac:dyDescent="0.3">
      <c r="A2073">
        <f t="shared" si="159"/>
        <v>2056</v>
      </c>
      <c r="B2073" s="4"/>
      <c r="I2073" s="8"/>
      <c r="J2073" s="5"/>
      <c r="K2073" s="3"/>
      <c r="L2073" s="3" t="str">
        <f t="shared" si="161"/>
        <v/>
      </c>
      <c r="N2073" s="3" t="str">
        <f t="shared" si="160"/>
        <v/>
      </c>
      <c r="O2073" s="6" t="str">
        <f t="shared" si="162"/>
        <v/>
      </c>
      <c r="P2073" s="7">
        <f ca="1">SUMIFS($N$2:$N2073,$B$2:$B2073,"&lt;&gt;"&amp;B2073)+SUM($Q$2:$Q2073)</f>
        <v>135.05500000000001</v>
      </c>
      <c r="R2073" t="b">
        <f>AND(ISNUMBER(FIND($E2073,Tables!$I$2)), ISNUMBER(FIND($D2073,Tables!$J$2)), $E2073&lt;&gt;"")</f>
        <v>0</v>
      </c>
    </row>
    <row r="2074" spans="1:18" x14ac:dyDescent="0.3">
      <c r="A2074">
        <f t="shared" si="159"/>
        <v>2057</v>
      </c>
      <c r="B2074" s="4"/>
      <c r="I2074" s="8"/>
      <c r="J2074" s="5"/>
      <c r="K2074" s="3"/>
      <c r="L2074" s="3" t="str">
        <f t="shared" si="161"/>
        <v/>
      </c>
      <c r="N2074" s="3" t="str">
        <f t="shared" si="160"/>
        <v/>
      </c>
      <c r="O2074" s="6" t="str">
        <f t="shared" si="162"/>
        <v/>
      </c>
      <c r="P2074" s="7">
        <f ca="1">SUMIFS($N$2:$N2074,$B$2:$B2074,"&lt;&gt;"&amp;B2074)+SUM($Q$2:$Q2074)</f>
        <v>135.05500000000001</v>
      </c>
      <c r="R2074" t="b">
        <f>AND(ISNUMBER(FIND($E2074,Tables!$I$2)), ISNUMBER(FIND($D2074,Tables!$J$2)), $E2074&lt;&gt;"")</f>
        <v>0</v>
      </c>
    </row>
    <row r="2075" spans="1:18" x14ac:dyDescent="0.3">
      <c r="A2075">
        <f t="shared" si="159"/>
        <v>2058</v>
      </c>
      <c r="B2075" s="4"/>
      <c r="I2075" s="8"/>
      <c r="J2075" s="5"/>
      <c r="K2075" s="3"/>
      <c r="L2075" s="3" t="str">
        <f t="shared" si="161"/>
        <v/>
      </c>
      <c r="N2075" s="3" t="str">
        <f t="shared" si="160"/>
        <v/>
      </c>
      <c r="O2075" s="6" t="str">
        <f t="shared" si="162"/>
        <v/>
      </c>
      <c r="P2075" s="7">
        <f ca="1">SUMIFS($N$2:$N2075,$B$2:$B2075,"&lt;&gt;"&amp;B2075)+SUM($Q$2:$Q2075)</f>
        <v>135.05500000000001</v>
      </c>
      <c r="R2075" t="b">
        <f>AND(ISNUMBER(FIND($E2075,Tables!$I$2)), ISNUMBER(FIND($D2075,Tables!$J$2)), $E2075&lt;&gt;"")</f>
        <v>0</v>
      </c>
    </row>
    <row r="2076" spans="1:18" x14ac:dyDescent="0.3">
      <c r="A2076">
        <f t="shared" si="159"/>
        <v>2059</v>
      </c>
      <c r="B2076" s="4"/>
      <c r="I2076" s="8"/>
      <c r="J2076" s="5"/>
      <c r="K2076" s="3"/>
      <c r="L2076" s="3" t="str">
        <f t="shared" si="161"/>
        <v/>
      </c>
      <c r="N2076" s="3" t="str">
        <f t="shared" si="160"/>
        <v/>
      </c>
      <c r="O2076" s="6" t="str">
        <f t="shared" si="162"/>
        <v/>
      </c>
      <c r="P2076" s="7">
        <f ca="1">SUMIFS($N$2:$N2076,$B$2:$B2076,"&lt;&gt;"&amp;B2076)+SUM($Q$2:$Q2076)</f>
        <v>135.05500000000001</v>
      </c>
      <c r="R2076" t="b">
        <f>AND(ISNUMBER(FIND($E2076,Tables!$I$2)), ISNUMBER(FIND($D2076,Tables!$J$2)), $E2076&lt;&gt;"")</f>
        <v>0</v>
      </c>
    </row>
    <row r="2077" spans="1:18" x14ac:dyDescent="0.3">
      <c r="A2077">
        <f t="shared" si="159"/>
        <v>2060</v>
      </c>
      <c r="B2077" s="4"/>
      <c r="I2077" s="8"/>
      <c r="J2077" s="5"/>
      <c r="K2077" s="3"/>
      <c r="L2077" s="3" t="str">
        <f t="shared" si="161"/>
        <v/>
      </c>
      <c r="N2077" s="3" t="str">
        <f t="shared" si="160"/>
        <v/>
      </c>
      <c r="O2077" s="6" t="str">
        <f t="shared" si="162"/>
        <v/>
      </c>
      <c r="P2077" s="7">
        <f ca="1">SUMIFS($N$2:$N2077,$B$2:$B2077,"&lt;&gt;"&amp;B2077)+SUM($Q$2:$Q2077)</f>
        <v>135.05500000000001</v>
      </c>
      <c r="R2077" t="b">
        <f>AND(ISNUMBER(FIND($E2077,Tables!$I$2)), ISNUMBER(FIND($D2077,Tables!$J$2)), $E2077&lt;&gt;"")</f>
        <v>0</v>
      </c>
    </row>
    <row r="2078" spans="1:18" x14ac:dyDescent="0.3">
      <c r="A2078">
        <f t="shared" si="159"/>
        <v>2061</v>
      </c>
      <c r="B2078" s="4"/>
      <c r="I2078" s="8"/>
      <c r="J2078" s="5"/>
      <c r="K2078" s="3"/>
      <c r="L2078" s="3" t="str">
        <f t="shared" si="161"/>
        <v/>
      </c>
      <c r="N2078" s="3" t="str">
        <f t="shared" si="160"/>
        <v/>
      </c>
      <c r="O2078" s="6" t="str">
        <f t="shared" si="162"/>
        <v/>
      </c>
      <c r="P2078" s="7">
        <f ca="1">SUMIFS($N$2:$N2078,$B$2:$B2078,"&lt;&gt;"&amp;B2078)+SUM($Q$2:$Q2078)</f>
        <v>135.05500000000001</v>
      </c>
      <c r="R2078" t="b">
        <f>AND(ISNUMBER(FIND($E2078,Tables!$I$2)), ISNUMBER(FIND($D2078,Tables!$J$2)), $E2078&lt;&gt;"")</f>
        <v>0</v>
      </c>
    </row>
    <row r="2079" spans="1:18" x14ac:dyDescent="0.3">
      <c r="A2079">
        <f t="shared" si="159"/>
        <v>2062</v>
      </c>
      <c r="B2079" s="4"/>
      <c r="I2079" s="8"/>
      <c r="J2079" s="5"/>
      <c r="K2079" s="3"/>
      <c r="L2079" s="3" t="str">
        <f t="shared" si="161"/>
        <v/>
      </c>
      <c r="N2079" s="3" t="str">
        <f t="shared" si="160"/>
        <v/>
      </c>
      <c r="O2079" s="6" t="str">
        <f t="shared" si="162"/>
        <v/>
      </c>
      <c r="P2079" s="7">
        <f ca="1">SUMIFS($N$2:$N2079,$B$2:$B2079,"&lt;&gt;"&amp;B2079)+SUM($Q$2:$Q2079)</f>
        <v>135.05500000000001</v>
      </c>
      <c r="R2079" t="b">
        <f>AND(ISNUMBER(FIND($E2079,Tables!$I$2)), ISNUMBER(FIND($D2079,Tables!$J$2)), $E2079&lt;&gt;"")</f>
        <v>0</v>
      </c>
    </row>
    <row r="2080" spans="1:18" x14ac:dyDescent="0.3">
      <c r="A2080">
        <f t="shared" si="159"/>
        <v>2063</v>
      </c>
      <c r="B2080" s="4"/>
      <c r="I2080" s="8"/>
      <c r="J2080" s="5"/>
      <c r="K2080" s="3"/>
      <c r="L2080" s="3" t="str">
        <f t="shared" si="161"/>
        <v/>
      </c>
      <c r="N2080" s="3" t="str">
        <f t="shared" si="160"/>
        <v/>
      </c>
      <c r="O2080" s="6" t="str">
        <f t="shared" si="162"/>
        <v/>
      </c>
      <c r="P2080" s="7">
        <f ca="1">SUMIFS($N$2:$N2080,$B$2:$B2080,"&lt;&gt;"&amp;B2080)+SUM($Q$2:$Q2080)</f>
        <v>135.05500000000001</v>
      </c>
      <c r="R2080" t="b">
        <f>AND(ISNUMBER(FIND($E2080,Tables!$I$2)), ISNUMBER(FIND($D2080,Tables!$J$2)), $E2080&lt;&gt;"")</f>
        <v>0</v>
      </c>
    </row>
    <row r="2081" spans="1:18" x14ac:dyDescent="0.3">
      <c r="A2081">
        <f t="shared" si="159"/>
        <v>2064</v>
      </c>
      <c r="B2081" s="4"/>
      <c r="I2081" s="8"/>
      <c r="J2081" s="5"/>
      <c r="K2081" s="3"/>
      <c r="L2081" s="3" t="str">
        <f t="shared" si="161"/>
        <v/>
      </c>
      <c r="N2081" s="3" t="str">
        <f t="shared" si="160"/>
        <v/>
      </c>
      <c r="O2081" s="6" t="str">
        <f t="shared" si="162"/>
        <v/>
      </c>
      <c r="P2081" s="7">
        <f ca="1">SUMIFS($N$2:$N2081,$B$2:$B2081,"&lt;&gt;"&amp;B2081)+SUM($Q$2:$Q2081)</f>
        <v>135.05500000000001</v>
      </c>
      <c r="R2081" t="b">
        <f>AND(ISNUMBER(FIND($E2081,Tables!$I$2)), ISNUMBER(FIND($D2081,Tables!$J$2)), $E2081&lt;&gt;"")</f>
        <v>0</v>
      </c>
    </row>
    <row r="2082" spans="1:18" x14ac:dyDescent="0.3">
      <c r="A2082">
        <f t="shared" ref="A2082:A2145" si="163">IF(AND(B2082="", D2082&lt;&gt;""), A2081, A2081+1)</f>
        <v>2065</v>
      </c>
      <c r="B2082" s="4"/>
      <c r="I2082" s="8"/>
      <c r="J2082" s="5"/>
      <c r="K2082" s="3"/>
      <c r="L2082" s="3" t="str">
        <f t="shared" si="161"/>
        <v/>
      </c>
      <c r="N2082" s="3" t="str">
        <f t="shared" si="160"/>
        <v/>
      </c>
      <c r="O2082" s="6" t="str">
        <f t="shared" si="162"/>
        <v/>
      </c>
      <c r="P2082" s="7">
        <f ca="1">SUMIFS($N$2:$N2082,$B$2:$B2082,"&lt;&gt;"&amp;B2082)+SUM($Q$2:$Q2082)</f>
        <v>135.05500000000001</v>
      </c>
      <c r="R2082" t="b">
        <f>AND(ISNUMBER(FIND($E2082,Tables!$I$2)), ISNUMBER(FIND($D2082,Tables!$J$2)), $E2082&lt;&gt;"")</f>
        <v>0</v>
      </c>
    </row>
    <row r="2083" spans="1:18" x14ac:dyDescent="0.3">
      <c r="A2083">
        <f t="shared" si="163"/>
        <v>2066</v>
      </c>
      <c r="B2083" s="4"/>
      <c r="I2083" s="8"/>
      <c r="J2083" s="5"/>
      <c r="K2083" s="3"/>
      <c r="L2083" s="3" t="str">
        <f t="shared" si="161"/>
        <v/>
      </c>
      <c r="N2083" s="3" t="str">
        <f t="shared" si="160"/>
        <v/>
      </c>
      <c r="O2083" s="6" t="str">
        <f t="shared" si="162"/>
        <v/>
      </c>
      <c r="P2083" s="7">
        <f ca="1">SUMIFS($N$2:$N2083,$B$2:$B2083,"&lt;&gt;"&amp;B2083)+SUM($Q$2:$Q2083)</f>
        <v>135.05500000000001</v>
      </c>
      <c r="R2083" t="b">
        <f>AND(ISNUMBER(FIND($E2083,Tables!$I$2)), ISNUMBER(FIND($D2083,Tables!$J$2)), $E2083&lt;&gt;"")</f>
        <v>0</v>
      </c>
    </row>
    <row r="2084" spans="1:18" x14ac:dyDescent="0.3">
      <c r="A2084">
        <f t="shared" si="163"/>
        <v>2067</v>
      </c>
      <c r="B2084" s="4"/>
      <c r="I2084" s="8"/>
      <c r="J2084" s="5"/>
      <c r="K2084" s="3"/>
      <c r="L2084" s="3" t="str">
        <f t="shared" si="161"/>
        <v/>
      </c>
      <c r="N2084" s="3" t="str">
        <f t="shared" si="160"/>
        <v/>
      </c>
      <c r="O2084" s="6" t="str">
        <f t="shared" si="162"/>
        <v/>
      </c>
      <c r="P2084" s="7">
        <f ca="1">SUMIFS($N$2:$N2084,$B$2:$B2084,"&lt;&gt;"&amp;B2084)+SUM($Q$2:$Q2084)</f>
        <v>135.05500000000001</v>
      </c>
      <c r="R2084" t="b">
        <f>AND(ISNUMBER(FIND($E2084,Tables!$I$2)), ISNUMBER(FIND($D2084,Tables!$J$2)), $E2084&lt;&gt;"")</f>
        <v>0</v>
      </c>
    </row>
    <row r="2085" spans="1:18" x14ac:dyDescent="0.3">
      <c r="A2085">
        <f t="shared" si="163"/>
        <v>2068</v>
      </c>
      <c r="B2085" s="4"/>
      <c r="I2085" s="8"/>
      <c r="J2085" s="5"/>
      <c r="K2085" s="3"/>
      <c r="L2085" s="3" t="str">
        <f t="shared" si="161"/>
        <v/>
      </c>
      <c r="N2085" s="3" t="str">
        <f t="shared" si="160"/>
        <v/>
      </c>
      <c r="O2085" s="6" t="str">
        <f t="shared" si="162"/>
        <v/>
      </c>
      <c r="P2085" s="7">
        <f ca="1">SUMIFS($N$2:$N2085,$B$2:$B2085,"&lt;&gt;"&amp;B2085)+SUM($Q$2:$Q2085)</f>
        <v>135.05500000000001</v>
      </c>
      <c r="R2085" t="b">
        <f>AND(ISNUMBER(FIND($E2085,Tables!$I$2)), ISNUMBER(FIND($D2085,Tables!$J$2)), $E2085&lt;&gt;"")</f>
        <v>0</v>
      </c>
    </row>
    <row r="2086" spans="1:18" x14ac:dyDescent="0.3">
      <c r="A2086">
        <f t="shared" si="163"/>
        <v>2069</v>
      </c>
      <c r="B2086" s="4"/>
      <c r="I2086" s="8"/>
      <c r="J2086" s="5"/>
      <c r="K2086" s="3"/>
      <c r="L2086" s="3" t="str">
        <f t="shared" si="161"/>
        <v/>
      </c>
      <c r="N2086" s="3" t="str">
        <f t="shared" si="160"/>
        <v/>
      </c>
      <c r="O2086" s="6" t="str">
        <f t="shared" si="162"/>
        <v/>
      </c>
      <c r="P2086" s="7">
        <f ca="1">SUMIFS($N$2:$N2086,$B$2:$B2086,"&lt;&gt;"&amp;B2086)+SUM($Q$2:$Q2086)</f>
        <v>135.05500000000001</v>
      </c>
      <c r="R2086" t="b">
        <f>AND(ISNUMBER(FIND($E2086,Tables!$I$2)), ISNUMBER(FIND($D2086,Tables!$J$2)), $E2086&lt;&gt;"")</f>
        <v>0</v>
      </c>
    </row>
    <row r="2087" spans="1:18" x14ac:dyDescent="0.3">
      <c r="A2087">
        <f t="shared" si="163"/>
        <v>2070</v>
      </c>
      <c r="B2087" s="4"/>
      <c r="I2087" s="8"/>
      <c r="J2087" s="5"/>
      <c r="K2087" s="3"/>
      <c r="L2087" s="3" t="str">
        <f t="shared" si="161"/>
        <v/>
      </c>
      <c r="N2087" s="3" t="str">
        <f t="shared" si="160"/>
        <v/>
      </c>
      <c r="O2087" s="6" t="str">
        <f t="shared" si="162"/>
        <v/>
      </c>
      <c r="P2087" s="7">
        <f ca="1">SUMIFS($N$2:$N2087,$B$2:$B2087,"&lt;&gt;"&amp;B2087)+SUM($Q$2:$Q2087)</f>
        <v>135.05500000000001</v>
      </c>
      <c r="R2087" t="b">
        <f>AND(ISNUMBER(FIND($E2087,Tables!$I$2)), ISNUMBER(FIND($D2087,Tables!$J$2)), $E2087&lt;&gt;"")</f>
        <v>0</v>
      </c>
    </row>
    <row r="2088" spans="1:18" x14ac:dyDescent="0.3">
      <c r="A2088">
        <f t="shared" si="163"/>
        <v>2071</v>
      </c>
      <c r="B2088" s="4"/>
      <c r="I2088" s="8"/>
      <c r="J2088" s="5"/>
      <c r="K2088" s="3"/>
      <c r="L2088" s="3" t="str">
        <f t="shared" si="161"/>
        <v/>
      </c>
      <c r="N2088" s="3" t="str">
        <f t="shared" ref="N2088:N2151" si="164">IF(L2088 = "", "", IF(M2088="", "", IF(OR(M2088="Draw",M2088="NC"), 0, IF(M2088="win", L2088, -1*K2088))))</f>
        <v/>
      </c>
      <c r="O2088" s="6" t="str">
        <f t="shared" si="162"/>
        <v/>
      </c>
      <c r="P2088" s="7">
        <f ca="1">SUMIFS($N$2:$N2088,$B$2:$B2088,"&lt;&gt;"&amp;B2088)+SUM($Q$2:$Q2088)</f>
        <v>135.05500000000001</v>
      </c>
      <c r="R2088" t="b">
        <f>AND(ISNUMBER(FIND($E2088,Tables!$I$2)), ISNUMBER(FIND($D2088,Tables!$J$2)), $E2088&lt;&gt;"")</f>
        <v>0</v>
      </c>
    </row>
    <row r="2089" spans="1:18" x14ac:dyDescent="0.3">
      <c r="A2089">
        <f t="shared" si="163"/>
        <v>2072</v>
      </c>
      <c r="B2089" s="4"/>
      <c r="I2089" s="8"/>
      <c r="J2089" s="5"/>
      <c r="K2089" s="3"/>
      <c r="L2089" s="3" t="str">
        <f t="shared" si="161"/>
        <v/>
      </c>
      <c r="N2089" s="3" t="str">
        <f t="shared" si="164"/>
        <v/>
      </c>
      <c r="O2089" s="6" t="str">
        <f t="shared" si="162"/>
        <v/>
      </c>
      <c r="P2089" s="7">
        <f ca="1">SUMIFS($N$2:$N2089,$B$2:$B2089,"&lt;&gt;"&amp;B2089)+SUM($Q$2:$Q2089)</f>
        <v>135.05500000000001</v>
      </c>
      <c r="R2089" t="b">
        <f>AND(ISNUMBER(FIND($E2089,Tables!$I$2)), ISNUMBER(FIND($D2089,Tables!$J$2)), $E2089&lt;&gt;"")</f>
        <v>0</v>
      </c>
    </row>
    <row r="2090" spans="1:18" x14ac:dyDescent="0.3">
      <c r="A2090">
        <f t="shared" si="163"/>
        <v>2073</v>
      </c>
      <c r="B2090" s="4"/>
      <c r="I2090" s="8"/>
      <c r="J2090" s="5"/>
      <c r="K2090" s="3"/>
      <c r="L2090" s="3" t="str">
        <f t="shared" si="161"/>
        <v/>
      </c>
      <c r="N2090" s="3" t="str">
        <f t="shared" si="164"/>
        <v/>
      </c>
      <c r="O2090" s="6" t="str">
        <f t="shared" si="162"/>
        <v/>
      </c>
      <c r="P2090" s="7">
        <f ca="1">SUMIFS($N$2:$N2090,$B$2:$B2090,"&lt;&gt;"&amp;B2090)+SUM($Q$2:$Q2090)</f>
        <v>135.05500000000001</v>
      </c>
      <c r="R2090" t="b">
        <f>AND(ISNUMBER(FIND($E2090,Tables!$I$2)), ISNUMBER(FIND($D2090,Tables!$J$2)), $E2090&lt;&gt;"")</f>
        <v>0</v>
      </c>
    </row>
    <row r="2091" spans="1:18" x14ac:dyDescent="0.3">
      <c r="A2091">
        <f t="shared" si="163"/>
        <v>2074</v>
      </c>
      <c r="B2091" s="4"/>
      <c r="I2091" s="8"/>
      <c r="J2091" s="5"/>
      <c r="K2091" s="3"/>
      <c r="L2091" s="3" t="str">
        <f t="shared" si="161"/>
        <v/>
      </c>
      <c r="N2091" s="3" t="str">
        <f t="shared" si="164"/>
        <v/>
      </c>
      <c r="O2091" s="6" t="str">
        <f t="shared" si="162"/>
        <v/>
      </c>
      <c r="P2091" s="7">
        <f ca="1">SUMIFS($N$2:$N2091,$B$2:$B2091,"&lt;&gt;"&amp;B2091)+SUM($Q$2:$Q2091)</f>
        <v>135.05500000000001</v>
      </c>
      <c r="R2091" t="b">
        <f>AND(ISNUMBER(FIND($E2091,Tables!$I$2)), ISNUMBER(FIND($D2091,Tables!$J$2)), $E2091&lt;&gt;"")</f>
        <v>0</v>
      </c>
    </row>
    <row r="2092" spans="1:18" x14ac:dyDescent="0.3">
      <c r="A2092">
        <f t="shared" si="163"/>
        <v>2075</v>
      </c>
      <c r="B2092" s="4"/>
      <c r="I2092" s="8"/>
      <c r="J2092" s="5"/>
      <c r="K2092" s="3"/>
      <c r="L2092" s="3" t="str">
        <f t="shared" si="161"/>
        <v/>
      </c>
      <c r="N2092" s="3" t="str">
        <f t="shared" si="164"/>
        <v/>
      </c>
      <c r="O2092" s="6" t="str">
        <f t="shared" si="162"/>
        <v/>
      </c>
      <c r="P2092" s="7">
        <f ca="1">SUMIFS($N$2:$N2092,$B$2:$B2092,"&lt;&gt;"&amp;B2092)+SUM($Q$2:$Q2092)</f>
        <v>135.05500000000001</v>
      </c>
      <c r="R2092" t="b">
        <f>AND(ISNUMBER(FIND($E2092,Tables!$I$2)), ISNUMBER(FIND($D2092,Tables!$J$2)), $E2092&lt;&gt;"")</f>
        <v>0</v>
      </c>
    </row>
    <row r="2093" spans="1:18" x14ac:dyDescent="0.3">
      <c r="A2093">
        <f t="shared" si="163"/>
        <v>2076</v>
      </c>
      <c r="B2093" s="4"/>
      <c r="I2093" s="8"/>
      <c r="J2093" s="5"/>
      <c r="K2093" s="3"/>
      <c r="L2093" s="3" t="str">
        <f t="shared" si="161"/>
        <v/>
      </c>
      <c r="N2093" s="3" t="str">
        <f t="shared" si="164"/>
        <v/>
      </c>
      <c r="O2093" s="6" t="str">
        <f t="shared" si="162"/>
        <v/>
      </c>
      <c r="P2093" s="7">
        <f ca="1">SUMIFS($N$2:$N2093,$B$2:$B2093,"&lt;&gt;"&amp;B2093)+SUM($Q$2:$Q2093)</f>
        <v>135.05500000000001</v>
      </c>
      <c r="R2093" t="b">
        <f>AND(ISNUMBER(FIND($E2093,Tables!$I$2)), ISNUMBER(FIND($D2093,Tables!$J$2)), $E2093&lt;&gt;"")</f>
        <v>0</v>
      </c>
    </row>
    <row r="2094" spans="1:18" x14ac:dyDescent="0.3">
      <c r="A2094">
        <f t="shared" si="163"/>
        <v>2077</v>
      </c>
      <c r="B2094" s="4"/>
      <c r="I2094" s="8"/>
      <c r="J2094" s="5"/>
      <c r="K2094" s="3"/>
      <c r="L2094" s="3" t="str">
        <f t="shared" si="161"/>
        <v/>
      </c>
      <c r="N2094" s="3" t="str">
        <f t="shared" si="164"/>
        <v/>
      </c>
      <c r="O2094" s="6" t="str">
        <f t="shared" si="162"/>
        <v/>
      </c>
      <c r="P2094" s="7">
        <f ca="1">SUMIFS($N$2:$N2094,$B$2:$B2094,"&lt;&gt;"&amp;B2094)+SUM($Q$2:$Q2094)</f>
        <v>135.05500000000001</v>
      </c>
      <c r="R2094" t="b">
        <f>AND(ISNUMBER(FIND($E2094,Tables!$I$2)), ISNUMBER(FIND($D2094,Tables!$J$2)), $E2094&lt;&gt;"")</f>
        <v>0</v>
      </c>
    </row>
    <row r="2095" spans="1:18" x14ac:dyDescent="0.3">
      <c r="A2095">
        <f t="shared" si="163"/>
        <v>2078</v>
      </c>
      <c r="B2095" s="4"/>
      <c r="I2095" s="8"/>
      <c r="J2095" s="5"/>
      <c r="K2095" s="3"/>
      <c r="L2095" s="3" t="str">
        <f t="shared" si="161"/>
        <v/>
      </c>
      <c r="N2095" s="3" t="str">
        <f t="shared" si="164"/>
        <v/>
      </c>
      <c r="O2095" s="6" t="str">
        <f t="shared" si="162"/>
        <v/>
      </c>
      <c r="P2095" s="7">
        <f ca="1">SUMIFS($N$2:$N2095,$B$2:$B2095,"&lt;&gt;"&amp;B2095)+SUM($Q$2:$Q2095)</f>
        <v>135.05500000000001</v>
      </c>
      <c r="R2095" t="b">
        <f>AND(ISNUMBER(FIND($E2095,Tables!$I$2)), ISNUMBER(FIND($D2095,Tables!$J$2)), $E2095&lt;&gt;"")</f>
        <v>0</v>
      </c>
    </row>
    <row r="2096" spans="1:18" x14ac:dyDescent="0.3">
      <c r="A2096">
        <f t="shared" si="163"/>
        <v>2079</v>
      </c>
      <c r="B2096" s="4"/>
      <c r="I2096" s="8"/>
      <c r="J2096" s="5"/>
      <c r="K2096" s="3"/>
      <c r="L2096" s="3" t="str">
        <f t="shared" si="161"/>
        <v/>
      </c>
      <c r="N2096" s="3" t="str">
        <f t="shared" si="164"/>
        <v/>
      </c>
      <c r="O2096" s="6" t="str">
        <f t="shared" si="162"/>
        <v/>
      </c>
      <c r="P2096" s="7">
        <f ca="1">SUMIFS($N$2:$N2096,$B$2:$B2096,"&lt;&gt;"&amp;B2096)+SUM($Q$2:$Q2096)</f>
        <v>135.05500000000001</v>
      </c>
      <c r="R2096" t="b">
        <f>AND(ISNUMBER(FIND($E2096,Tables!$I$2)), ISNUMBER(FIND($D2096,Tables!$J$2)), $E2096&lt;&gt;"")</f>
        <v>0</v>
      </c>
    </row>
    <row r="2097" spans="1:18" x14ac:dyDescent="0.3">
      <c r="A2097">
        <f t="shared" si="163"/>
        <v>2080</v>
      </c>
      <c r="B2097" s="4"/>
      <c r="I2097" s="8"/>
      <c r="J2097" s="5"/>
      <c r="K2097" s="3"/>
      <c r="L2097" s="3" t="str">
        <f t="shared" si="161"/>
        <v/>
      </c>
      <c r="N2097" s="3" t="str">
        <f t="shared" si="164"/>
        <v/>
      </c>
      <c r="O2097" s="6" t="str">
        <f t="shared" si="162"/>
        <v/>
      </c>
      <c r="P2097" s="7">
        <f ca="1">SUMIFS($N$2:$N2097,$B$2:$B2097,"&lt;&gt;"&amp;B2097)+SUM($Q$2:$Q2097)</f>
        <v>135.05500000000001</v>
      </c>
      <c r="R2097" t="b">
        <f>AND(ISNUMBER(FIND($E2097,Tables!$I$2)), ISNUMBER(FIND($D2097,Tables!$J$2)), $E2097&lt;&gt;"")</f>
        <v>0</v>
      </c>
    </row>
    <row r="2098" spans="1:18" x14ac:dyDescent="0.3">
      <c r="A2098">
        <f t="shared" si="163"/>
        <v>2081</v>
      </c>
      <c r="B2098" s="4"/>
      <c r="I2098" s="8"/>
      <c r="J2098" s="5"/>
      <c r="K2098" s="3"/>
      <c r="L2098" s="3" t="str">
        <f t="shared" ref="L2098:L2161" si="165">IFERROR(IF(K2098=0, "", IF(I2098&gt;0, K2098/100*I2098,K2098/I2098*-100)), "")</f>
        <v/>
      </c>
      <c r="N2098" s="3" t="str">
        <f t="shared" si="164"/>
        <v/>
      </c>
      <c r="O2098" s="6" t="str">
        <f t="shared" si="162"/>
        <v/>
      </c>
      <c r="P2098" s="7">
        <f ca="1">SUMIFS($N$2:$N2098,$B$2:$B2098,"&lt;&gt;"&amp;B2098)+SUM($Q$2:$Q2098)</f>
        <v>135.05500000000001</v>
      </c>
      <c r="R2098" t="b">
        <f>AND(ISNUMBER(FIND($E2098,Tables!$I$2)), ISNUMBER(FIND($D2098,Tables!$J$2)), $E2098&lt;&gt;"")</f>
        <v>0</v>
      </c>
    </row>
    <row r="2099" spans="1:18" x14ac:dyDescent="0.3">
      <c r="A2099">
        <f t="shared" si="163"/>
        <v>2082</v>
      </c>
      <c r="B2099" s="4"/>
      <c r="I2099" s="8"/>
      <c r="J2099" s="5"/>
      <c r="K2099" s="3"/>
      <c r="L2099" s="3" t="str">
        <f t="shared" si="165"/>
        <v/>
      </c>
      <c r="N2099" s="3" t="str">
        <f t="shared" si="164"/>
        <v/>
      </c>
      <c r="O2099" s="6" t="str">
        <f t="shared" si="162"/>
        <v/>
      </c>
      <c r="P2099" s="7">
        <f ca="1">SUMIFS($N$2:$N2099,$B$2:$B2099,"&lt;&gt;"&amp;B2099)+SUM($Q$2:$Q2099)</f>
        <v>135.05500000000001</v>
      </c>
      <c r="R2099" t="b">
        <f>AND(ISNUMBER(FIND($E2099,Tables!$I$2)), ISNUMBER(FIND($D2099,Tables!$J$2)), $E2099&lt;&gt;"")</f>
        <v>0</v>
      </c>
    </row>
    <row r="2100" spans="1:18" x14ac:dyDescent="0.3">
      <c r="A2100">
        <f t="shared" si="163"/>
        <v>2083</v>
      </c>
      <c r="B2100" s="4"/>
      <c r="I2100" s="8"/>
      <c r="J2100" s="5"/>
      <c r="K2100" s="3"/>
      <c r="L2100" s="3" t="str">
        <f t="shared" si="165"/>
        <v/>
      </c>
      <c r="N2100" s="3" t="str">
        <f t="shared" si="164"/>
        <v/>
      </c>
      <c r="O2100" s="6" t="str">
        <f t="shared" si="162"/>
        <v/>
      </c>
      <c r="P2100" s="7">
        <f ca="1">SUMIFS($N$2:$N2100,$B$2:$B2100,"&lt;&gt;"&amp;B2100)+SUM($Q$2:$Q2100)</f>
        <v>135.05500000000001</v>
      </c>
      <c r="R2100" t="b">
        <f>AND(ISNUMBER(FIND($E2100,Tables!$I$2)), ISNUMBER(FIND($D2100,Tables!$J$2)), $E2100&lt;&gt;"")</f>
        <v>0</v>
      </c>
    </row>
    <row r="2101" spans="1:18" x14ac:dyDescent="0.3">
      <c r="A2101">
        <f t="shared" si="163"/>
        <v>2084</v>
      </c>
      <c r="B2101" s="4"/>
      <c r="I2101" s="8"/>
      <c r="J2101" s="5"/>
      <c r="K2101" s="3"/>
      <c r="L2101" s="3" t="str">
        <f t="shared" si="165"/>
        <v/>
      </c>
      <c r="N2101" s="3" t="str">
        <f t="shared" si="164"/>
        <v/>
      </c>
      <c r="O2101" s="6" t="str">
        <f t="shared" si="162"/>
        <v/>
      </c>
      <c r="P2101" s="7">
        <f ca="1">SUMIFS($N$2:$N2101,$B$2:$B2101,"&lt;&gt;"&amp;B2101)+SUM($Q$2:$Q2101)</f>
        <v>135.05500000000001</v>
      </c>
      <c r="R2101" t="b">
        <f>AND(ISNUMBER(FIND($E2101,Tables!$I$2)), ISNUMBER(FIND($D2101,Tables!$J$2)), $E2101&lt;&gt;"")</f>
        <v>0</v>
      </c>
    </row>
    <row r="2102" spans="1:18" x14ac:dyDescent="0.3">
      <c r="A2102">
        <f t="shared" si="163"/>
        <v>2085</v>
      </c>
      <c r="B2102" s="4"/>
      <c r="I2102" s="8"/>
      <c r="J2102" s="5"/>
      <c r="K2102" s="3"/>
      <c r="L2102" s="3" t="str">
        <f t="shared" si="165"/>
        <v/>
      </c>
      <c r="N2102" s="3" t="str">
        <f t="shared" si="164"/>
        <v/>
      </c>
      <c r="O2102" s="6" t="str">
        <f t="shared" si="162"/>
        <v/>
      </c>
      <c r="P2102" s="7">
        <f ca="1">SUMIFS($N$2:$N2102,$B$2:$B2102,"&lt;&gt;"&amp;B2102)+SUM($Q$2:$Q2102)</f>
        <v>135.05500000000001</v>
      </c>
      <c r="R2102" t="b">
        <f>AND(ISNUMBER(FIND($E2102,Tables!$I$2)), ISNUMBER(FIND($D2102,Tables!$J$2)), $E2102&lt;&gt;"")</f>
        <v>0</v>
      </c>
    </row>
    <row r="2103" spans="1:18" x14ac:dyDescent="0.3">
      <c r="A2103">
        <f t="shared" si="163"/>
        <v>2086</v>
      </c>
      <c r="B2103" s="4"/>
      <c r="I2103" s="8"/>
      <c r="J2103" s="5"/>
      <c r="K2103" s="3"/>
      <c r="L2103" s="3" t="str">
        <f t="shared" si="165"/>
        <v/>
      </c>
      <c r="N2103" s="3" t="str">
        <f t="shared" si="164"/>
        <v/>
      </c>
      <c r="O2103" s="6" t="str">
        <f t="shared" si="162"/>
        <v/>
      </c>
      <c r="P2103" s="7">
        <f ca="1">SUMIFS($N$2:$N2103,$B$2:$B2103,"&lt;&gt;"&amp;B2103)+SUM($Q$2:$Q2103)</f>
        <v>135.05500000000001</v>
      </c>
      <c r="R2103" t="b">
        <f>AND(ISNUMBER(FIND($E2103,Tables!$I$2)), ISNUMBER(FIND($D2103,Tables!$J$2)), $E2103&lt;&gt;"")</f>
        <v>0</v>
      </c>
    </row>
    <row r="2104" spans="1:18" x14ac:dyDescent="0.3">
      <c r="A2104">
        <f t="shared" si="163"/>
        <v>2087</v>
      </c>
      <c r="B2104" s="4"/>
      <c r="I2104" s="8"/>
      <c r="J2104" s="5"/>
      <c r="K2104" s="3"/>
      <c r="L2104" s="3" t="str">
        <f t="shared" si="165"/>
        <v/>
      </c>
      <c r="N2104" s="3" t="str">
        <f t="shared" si="164"/>
        <v/>
      </c>
      <c r="O2104" s="6" t="str">
        <f t="shared" si="162"/>
        <v/>
      </c>
      <c r="P2104" s="7">
        <f ca="1">SUMIFS($N$2:$N2104,$B$2:$B2104,"&lt;&gt;"&amp;B2104)+SUM($Q$2:$Q2104)</f>
        <v>135.05500000000001</v>
      </c>
      <c r="R2104" t="b">
        <f>AND(ISNUMBER(FIND($E2104,Tables!$I$2)), ISNUMBER(FIND($D2104,Tables!$J$2)), $E2104&lt;&gt;"")</f>
        <v>0</v>
      </c>
    </row>
    <row r="2105" spans="1:18" x14ac:dyDescent="0.3">
      <c r="A2105">
        <f t="shared" si="163"/>
        <v>2088</v>
      </c>
      <c r="B2105" s="4"/>
      <c r="I2105" s="8"/>
      <c r="J2105" s="5"/>
      <c r="K2105" s="3"/>
      <c r="L2105" s="3" t="str">
        <f t="shared" si="165"/>
        <v/>
      </c>
      <c r="N2105" s="3" t="str">
        <f t="shared" si="164"/>
        <v/>
      </c>
      <c r="O2105" s="6" t="str">
        <f t="shared" si="162"/>
        <v/>
      </c>
      <c r="P2105" s="7">
        <f ca="1">SUMIFS($N$2:$N2105,$B$2:$B2105,"&lt;&gt;"&amp;B2105)+SUM($Q$2:$Q2105)</f>
        <v>135.05500000000001</v>
      </c>
      <c r="R2105" t="b">
        <f>AND(ISNUMBER(FIND($E2105,Tables!$I$2)), ISNUMBER(FIND($D2105,Tables!$J$2)), $E2105&lt;&gt;"")</f>
        <v>0</v>
      </c>
    </row>
    <row r="2106" spans="1:18" x14ac:dyDescent="0.3">
      <c r="A2106">
        <f t="shared" si="163"/>
        <v>2089</v>
      </c>
      <c r="B2106" s="4"/>
      <c r="I2106" s="8"/>
      <c r="J2106" s="5"/>
      <c r="K2106" s="3"/>
      <c r="L2106" s="3" t="str">
        <f t="shared" si="165"/>
        <v/>
      </c>
      <c r="N2106" s="3" t="str">
        <f t="shared" si="164"/>
        <v/>
      </c>
      <c r="O2106" s="6" t="str">
        <f t="shared" si="162"/>
        <v/>
      </c>
      <c r="P2106" s="7">
        <f ca="1">SUMIFS($N$2:$N2106,$B$2:$B2106,"&lt;&gt;"&amp;B2106)+SUM($Q$2:$Q2106)</f>
        <v>135.05500000000001</v>
      </c>
      <c r="R2106" t="b">
        <f>AND(ISNUMBER(FIND($E2106,Tables!$I$2)), ISNUMBER(FIND($D2106,Tables!$J$2)), $E2106&lt;&gt;"")</f>
        <v>0</v>
      </c>
    </row>
    <row r="2107" spans="1:18" x14ac:dyDescent="0.3">
      <c r="A2107">
        <f t="shared" si="163"/>
        <v>2090</v>
      </c>
      <c r="B2107" s="4"/>
      <c r="I2107" s="8"/>
      <c r="J2107" s="5"/>
      <c r="K2107" s="3"/>
      <c r="L2107" s="3" t="str">
        <f t="shared" si="165"/>
        <v/>
      </c>
      <c r="N2107" s="3" t="str">
        <f t="shared" si="164"/>
        <v/>
      </c>
      <c r="O2107" s="6" t="str">
        <f t="shared" si="162"/>
        <v/>
      </c>
      <c r="P2107" s="7">
        <f ca="1">SUMIFS($N$2:$N2107,$B$2:$B2107,"&lt;&gt;"&amp;B2107)+SUM($Q$2:$Q2107)</f>
        <v>135.05500000000001</v>
      </c>
      <c r="R2107" t="b">
        <f>AND(ISNUMBER(FIND($E2107,Tables!$I$2)), ISNUMBER(FIND($D2107,Tables!$J$2)), $E2107&lt;&gt;"")</f>
        <v>0</v>
      </c>
    </row>
    <row r="2108" spans="1:18" x14ac:dyDescent="0.3">
      <c r="A2108">
        <f t="shared" si="163"/>
        <v>2091</v>
      </c>
      <c r="B2108" s="4"/>
      <c r="I2108" s="8"/>
      <c r="J2108" s="5"/>
      <c r="K2108" s="3"/>
      <c r="L2108" s="3" t="str">
        <f t="shared" si="165"/>
        <v/>
      </c>
      <c r="N2108" s="3" t="str">
        <f t="shared" si="164"/>
        <v/>
      </c>
      <c r="O2108" s="6" t="str">
        <f t="shared" si="162"/>
        <v/>
      </c>
      <c r="P2108" s="7">
        <f ca="1">SUMIFS($N$2:$N2108,$B$2:$B2108,"&lt;&gt;"&amp;B2108)+SUM($Q$2:$Q2108)</f>
        <v>135.05500000000001</v>
      </c>
      <c r="R2108" t="b">
        <f>AND(ISNUMBER(FIND($E2108,Tables!$I$2)), ISNUMBER(FIND($D2108,Tables!$J$2)), $E2108&lt;&gt;"")</f>
        <v>0</v>
      </c>
    </row>
    <row r="2109" spans="1:18" x14ac:dyDescent="0.3">
      <c r="A2109">
        <f t="shared" si="163"/>
        <v>2092</v>
      </c>
      <c r="B2109" s="4"/>
      <c r="I2109" s="8"/>
      <c r="J2109" s="5"/>
      <c r="K2109" s="3"/>
      <c r="L2109" s="3" t="str">
        <f t="shared" si="165"/>
        <v/>
      </c>
      <c r="N2109" s="3" t="str">
        <f t="shared" si="164"/>
        <v/>
      </c>
      <c r="O2109" s="6" t="str">
        <f t="shared" si="162"/>
        <v/>
      </c>
      <c r="P2109" s="7">
        <f ca="1">SUMIFS($N$2:$N2109,$B$2:$B2109,"&lt;&gt;"&amp;B2109)+SUM($Q$2:$Q2109)</f>
        <v>135.05500000000001</v>
      </c>
      <c r="R2109" t="b">
        <f>AND(ISNUMBER(FIND($E2109,Tables!$I$2)), ISNUMBER(FIND($D2109,Tables!$J$2)), $E2109&lt;&gt;"")</f>
        <v>0</v>
      </c>
    </row>
    <row r="2110" spans="1:18" x14ac:dyDescent="0.3">
      <c r="A2110">
        <f t="shared" si="163"/>
        <v>2093</v>
      </c>
      <c r="B2110" s="4"/>
      <c r="I2110" s="8"/>
      <c r="J2110" s="5"/>
      <c r="K2110" s="3"/>
      <c r="L2110" s="3" t="str">
        <f t="shared" si="165"/>
        <v/>
      </c>
      <c r="N2110" s="3" t="str">
        <f t="shared" si="164"/>
        <v/>
      </c>
      <c r="O2110" s="6" t="str">
        <f t="shared" si="162"/>
        <v/>
      </c>
      <c r="P2110" s="7">
        <f ca="1">SUMIFS($N$2:$N2110,$B$2:$B2110,"&lt;&gt;"&amp;B2110)+SUM($Q$2:$Q2110)</f>
        <v>135.05500000000001</v>
      </c>
      <c r="R2110" t="b">
        <f>AND(ISNUMBER(FIND($E2110,Tables!$I$2)), ISNUMBER(FIND($D2110,Tables!$J$2)), $E2110&lt;&gt;"")</f>
        <v>0</v>
      </c>
    </row>
    <row r="2111" spans="1:18" x14ac:dyDescent="0.3">
      <c r="A2111">
        <f t="shared" si="163"/>
        <v>2094</v>
      </c>
      <c r="B2111" s="4"/>
      <c r="I2111" s="8"/>
      <c r="J2111" s="5"/>
      <c r="K2111" s="3"/>
      <c r="L2111" s="3" t="str">
        <f t="shared" si="165"/>
        <v/>
      </c>
      <c r="N2111" s="3" t="str">
        <f t="shared" si="164"/>
        <v/>
      </c>
      <c r="O2111" s="6" t="str">
        <f t="shared" si="162"/>
        <v/>
      </c>
      <c r="P2111" s="7">
        <f ca="1">SUMIFS($N$2:$N2111,$B$2:$B2111,"&lt;&gt;"&amp;B2111)+SUM($Q$2:$Q2111)</f>
        <v>135.05500000000001</v>
      </c>
      <c r="R2111" t="b">
        <f>AND(ISNUMBER(FIND($E2111,Tables!$I$2)), ISNUMBER(FIND($D2111,Tables!$J$2)), $E2111&lt;&gt;"")</f>
        <v>0</v>
      </c>
    </row>
    <row r="2112" spans="1:18" x14ac:dyDescent="0.3">
      <c r="A2112">
        <f t="shared" si="163"/>
        <v>2095</v>
      </c>
      <c r="B2112" s="4"/>
      <c r="I2112" s="8"/>
      <c r="J2112" s="5"/>
      <c r="K2112" s="3"/>
      <c r="L2112" s="3" t="str">
        <f t="shared" si="165"/>
        <v/>
      </c>
      <c r="N2112" s="3" t="str">
        <f t="shared" si="164"/>
        <v/>
      </c>
      <c r="O2112" s="6" t="str">
        <f t="shared" si="162"/>
        <v/>
      </c>
      <c r="P2112" s="7">
        <f ca="1">SUMIFS($N$2:$N2112,$B$2:$B2112,"&lt;&gt;"&amp;B2112)+SUM($Q$2:$Q2112)</f>
        <v>135.05500000000001</v>
      </c>
      <c r="R2112" t="b">
        <f>AND(ISNUMBER(FIND($E2112,Tables!$I$2)), ISNUMBER(FIND($D2112,Tables!$J$2)), $E2112&lt;&gt;"")</f>
        <v>0</v>
      </c>
    </row>
    <row r="2113" spans="1:18" x14ac:dyDescent="0.3">
      <c r="A2113">
        <f t="shared" si="163"/>
        <v>2096</v>
      </c>
      <c r="B2113" s="4"/>
      <c r="I2113" s="8"/>
      <c r="J2113" s="5"/>
      <c r="K2113" s="3"/>
      <c r="L2113" s="3" t="str">
        <f t="shared" si="165"/>
        <v/>
      </c>
      <c r="N2113" s="3" t="str">
        <f t="shared" si="164"/>
        <v/>
      </c>
      <c r="O2113" s="6" t="str">
        <f t="shared" si="162"/>
        <v/>
      </c>
      <c r="P2113" s="7">
        <f ca="1">SUMIFS($N$2:$N2113,$B$2:$B2113,"&lt;&gt;"&amp;B2113)+SUM($Q$2:$Q2113)</f>
        <v>135.05500000000001</v>
      </c>
      <c r="R2113" t="b">
        <f>AND(ISNUMBER(FIND($E2113,Tables!$I$2)), ISNUMBER(FIND($D2113,Tables!$J$2)), $E2113&lt;&gt;"")</f>
        <v>0</v>
      </c>
    </row>
    <row r="2114" spans="1:18" x14ac:dyDescent="0.3">
      <c r="A2114">
        <f t="shared" si="163"/>
        <v>2097</v>
      </c>
      <c r="B2114" s="4"/>
      <c r="I2114" s="8"/>
      <c r="J2114" s="5"/>
      <c r="K2114" s="3"/>
      <c r="L2114" s="3" t="str">
        <f t="shared" si="165"/>
        <v/>
      </c>
      <c r="N2114" s="3" t="str">
        <f t="shared" si="164"/>
        <v/>
      </c>
      <c r="O2114" s="6" t="str">
        <f t="shared" ref="O2114:O2177" si="166">IFERROR(K2114/VLOOKUP(_xlfn.MINIFS(A:A,B:B,B2114,C:C,C2114),A:P,16),"")</f>
        <v/>
      </c>
      <c r="P2114" s="7">
        <f ca="1">SUMIFS($N$2:$N2114,$B$2:$B2114,"&lt;&gt;"&amp;B2114)+SUM($Q$2:$Q2114)</f>
        <v>135.05500000000001</v>
      </c>
      <c r="R2114" t="b">
        <f>AND(ISNUMBER(FIND($E2114,Tables!$I$2)), ISNUMBER(FIND($D2114,Tables!$J$2)), $E2114&lt;&gt;"")</f>
        <v>0</v>
      </c>
    </row>
    <row r="2115" spans="1:18" x14ac:dyDescent="0.3">
      <c r="A2115">
        <f t="shared" si="163"/>
        <v>2098</v>
      </c>
      <c r="B2115" s="4"/>
      <c r="I2115" s="8"/>
      <c r="J2115" s="5"/>
      <c r="K2115" s="3"/>
      <c r="L2115" s="3" t="str">
        <f t="shared" si="165"/>
        <v/>
      </c>
      <c r="N2115" s="3" t="str">
        <f t="shared" si="164"/>
        <v/>
      </c>
      <c r="O2115" s="6" t="str">
        <f t="shared" si="166"/>
        <v/>
      </c>
      <c r="P2115" s="7">
        <f ca="1">SUMIFS($N$2:$N2115,$B$2:$B2115,"&lt;&gt;"&amp;B2115)+SUM($Q$2:$Q2115)</f>
        <v>135.05500000000001</v>
      </c>
      <c r="R2115" t="b">
        <f>AND(ISNUMBER(FIND($E2115,Tables!$I$2)), ISNUMBER(FIND($D2115,Tables!$J$2)), $E2115&lt;&gt;"")</f>
        <v>0</v>
      </c>
    </row>
    <row r="2116" spans="1:18" x14ac:dyDescent="0.3">
      <c r="A2116">
        <f t="shared" si="163"/>
        <v>2099</v>
      </c>
      <c r="B2116" s="4"/>
      <c r="I2116" s="8"/>
      <c r="J2116" s="5"/>
      <c r="K2116" s="3"/>
      <c r="L2116" s="3" t="str">
        <f t="shared" si="165"/>
        <v/>
      </c>
      <c r="N2116" s="3" t="str">
        <f t="shared" si="164"/>
        <v/>
      </c>
      <c r="O2116" s="6" t="str">
        <f t="shared" si="166"/>
        <v/>
      </c>
      <c r="P2116" s="7">
        <f ca="1">SUMIFS($N$2:$N2116,$B$2:$B2116,"&lt;&gt;"&amp;B2116)+SUM($Q$2:$Q2116)</f>
        <v>135.05500000000001</v>
      </c>
      <c r="R2116" t="b">
        <f>AND(ISNUMBER(FIND($E2116,Tables!$I$2)), ISNUMBER(FIND($D2116,Tables!$J$2)), $E2116&lt;&gt;"")</f>
        <v>0</v>
      </c>
    </row>
    <row r="2117" spans="1:18" x14ac:dyDescent="0.3">
      <c r="A2117">
        <f t="shared" si="163"/>
        <v>2100</v>
      </c>
      <c r="B2117" s="4"/>
      <c r="I2117" s="8"/>
      <c r="J2117" s="5"/>
      <c r="K2117" s="3"/>
      <c r="L2117" s="3" t="str">
        <f t="shared" si="165"/>
        <v/>
      </c>
      <c r="N2117" s="3" t="str">
        <f t="shared" si="164"/>
        <v/>
      </c>
      <c r="O2117" s="6" t="str">
        <f t="shared" si="166"/>
        <v/>
      </c>
      <c r="P2117" s="7">
        <f ca="1">SUMIFS($N$2:$N2117,$B$2:$B2117,"&lt;&gt;"&amp;B2117)+SUM($Q$2:$Q2117)</f>
        <v>135.05500000000001</v>
      </c>
      <c r="R2117" t="b">
        <f>AND(ISNUMBER(FIND($E2117,Tables!$I$2)), ISNUMBER(FIND($D2117,Tables!$J$2)), $E2117&lt;&gt;"")</f>
        <v>0</v>
      </c>
    </row>
    <row r="2118" spans="1:18" x14ac:dyDescent="0.3">
      <c r="A2118">
        <f t="shared" si="163"/>
        <v>2101</v>
      </c>
      <c r="B2118" s="4"/>
      <c r="I2118" s="8"/>
      <c r="J2118" s="5"/>
      <c r="K2118" s="3"/>
      <c r="L2118" s="3" t="str">
        <f t="shared" si="165"/>
        <v/>
      </c>
      <c r="N2118" s="3" t="str">
        <f t="shared" si="164"/>
        <v/>
      </c>
      <c r="O2118" s="6" t="str">
        <f t="shared" si="166"/>
        <v/>
      </c>
      <c r="P2118" s="7">
        <f ca="1">SUMIFS($N$2:$N2118,$B$2:$B2118,"&lt;&gt;"&amp;B2118)+SUM($Q$2:$Q2118)</f>
        <v>135.05500000000001</v>
      </c>
      <c r="R2118" t="b">
        <f>AND(ISNUMBER(FIND($E2118,Tables!$I$2)), ISNUMBER(FIND($D2118,Tables!$J$2)), $E2118&lt;&gt;"")</f>
        <v>0</v>
      </c>
    </row>
    <row r="2119" spans="1:18" x14ac:dyDescent="0.3">
      <c r="A2119">
        <f t="shared" si="163"/>
        <v>2102</v>
      </c>
      <c r="B2119" s="4"/>
      <c r="I2119" s="8"/>
      <c r="J2119" s="5"/>
      <c r="K2119" s="3"/>
      <c r="L2119" s="3" t="str">
        <f t="shared" si="165"/>
        <v/>
      </c>
      <c r="N2119" s="3" t="str">
        <f t="shared" si="164"/>
        <v/>
      </c>
      <c r="O2119" s="6" t="str">
        <f t="shared" si="166"/>
        <v/>
      </c>
      <c r="P2119" s="7">
        <f ca="1">SUMIFS($N$2:$N2119,$B$2:$B2119,"&lt;&gt;"&amp;B2119)+SUM($Q$2:$Q2119)</f>
        <v>135.05500000000001</v>
      </c>
      <c r="R2119" t="b">
        <f>AND(ISNUMBER(FIND($E2119,Tables!$I$2)), ISNUMBER(FIND($D2119,Tables!$J$2)), $E2119&lt;&gt;"")</f>
        <v>0</v>
      </c>
    </row>
    <row r="2120" spans="1:18" x14ac:dyDescent="0.3">
      <c r="A2120">
        <f t="shared" si="163"/>
        <v>2103</v>
      </c>
      <c r="B2120" s="4"/>
      <c r="I2120" s="8"/>
      <c r="J2120" s="5"/>
      <c r="K2120" s="3"/>
      <c r="L2120" s="3" t="str">
        <f t="shared" si="165"/>
        <v/>
      </c>
      <c r="N2120" s="3" t="str">
        <f t="shared" si="164"/>
        <v/>
      </c>
      <c r="O2120" s="6" t="str">
        <f t="shared" si="166"/>
        <v/>
      </c>
      <c r="P2120" s="7">
        <f ca="1">SUMIFS($N$2:$N2120,$B$2:$B2120,"&lt;&gt;"&amp;B2120)+SUM($Q$2:$Q2120)</f>
        <v>135.05500000000001</v>
      </c>
      <c r="R2120" t="b">
        <f>AND(ISNUMBER(FIND($E2120,Tables!$I$2)), ISNUMBER(FIND($D2120,Tables!$J$2)), $E2120&lt;&gt;"")</f>
        <v>0</v>
      </c>
    </row>
    <row r="2121" spans="1:18" x14ac:dyDescent="0.3">
      <c r="A2121">
        <f t="shared" si="163"/>
        <v>2104</v>
      </c>
      <c r="B2121" s="4"/>
      <c r="I2121" s="8"/>
      <c r="J2121" s="5"/>
      <c r="K2121" s="3"/>
      <c r="L2121" s="3" t="str">
        <f t="shared" si="165"/>
        <v/>
      </c>
      <c r="N2121" s="3" t="str">
        <f t="shared" si="164"/>
        <v/>
      </c>
      <c r="O2121" s="6" t="str">
        <f t="shared" si="166"/>
        <v/>
      </c>
      <c r="P2121" s="7">
        <f ca="1">SUMIFS($N$2:$N2121,$B$2:$B2121,"&lt;&gt;"&amp;B2121)+SUM($Q$2:$Q2121)</f>
        <v>135.05500000000001</v>
      </c>
      <c r="R2121" t="b">
        <f>AND(ISNUMBER(FIND($E2121,Tables!$I$2)), ISNUMBER(FIND($D2121,Tables!$J$2)), $E2121&lt;&gt;"")</f>
        <v>0</v>
      </c>
    </row>
    <row r="2122" spans="1:18" x14ac:dyDescent="0.3">
      <c r="A2122">
        <f t="shared" si="163"/>
        <v>2105</v>
      </c>
      <c r="B2122" s="4"/>
      <c r="I2122" s="8"/>
      <c r="J2122" s="5"/>
      <c r="K2122" s="3"/>
      <c r="L2122" s="3" t="str">
        <f t="shared" si="165"/>
        <v/>
      </c>
      <c r="N2122" s="3" t="str">
        <f t="shared" si="164"/>
        <v/>
      </c>
      <c r="O2122" s="6" t="str">
        <f t="shared" si="166"/>
        <v/>
      </c>
      <c r="P2122" s="7">
        <f ca="1">SUMIFS($N$2:$N2122,$B$2:$B2122,"&lt;&gt;"&amp;B2122)+SUM($Q$2:$Q2122)</f>
        <v>135.05500000000001</v>
      </c>
      <c r="R2122" t="b">
        <f>AND(ISNUMBER(FIND($E2122,Tables!$I$2)), ISNUMBER(FIND($D2122,Tables!$J$2)), $E2122&lt;&gt;"")</f>
        <v>0</v>
      </c>
    </row>
    <row r="2123" spans="1:18" x14ac:dyDescent="0.3">
      <c r="A2123">
        <f t="shared" si="163"/>
        <v>2106</v>
      </c>
      <c r="B2123" s="4"/>
      <c r="I2123" s="8"/>
      <c r="J2123" s="5"/>
      <c r="K2123" s="3"/>
      <c r="L2123" s="3" t="str">
        <f t="shared" si="165"/>
        <v/>
      </c>
      <c r="N2123" s="3" t="str">
        <f t="shared" si="164"/>
        <v/>
      </c>
      <c r="O2123" s="6" t="str">
        <f t="shared" si="166"/>
        <v/>
      </c>
      <c r="P2123" s="7">
        <f ca="1">SUMIFS($N$2:$N2123,$B$2:$B2123,"&lt;&gt;"&amp;B2123)+SUM($Q$2:$Q2123)</f>
        <v>135.05500000000001</v>
      </c>
      <c r="R2123" t="b">
        <f>AND(ISNUMBER(FIND($E2123,Tables!$I$2)), ISNUMBER(FIND($D2123,Tables!$J$2)), $E2123&lt;&gt;"")</f>
        <v>0</v>
      </c>
    </row>
    <row r="2124" spans="1:18" x14ac:dyDescent="0.3">
      <c r="A2124">
        <f t="shared" si="163"/>
        <v>2107</v>
      </c>
      <c r="B2124" s="4"/>
      <c r="I2124" s="8"/>
      <c r="J2124" s="5"/>
      <c r="K2124" s="3"/>
      <c r="L2124" s="3" t="str">
        <f t="shared" si="165"/>
        <v/>
      </c>
      <c r="N2124" s="3" t="str">
        <f t="shared" si="164"/>
        <v/>
      </c>
      <c r="O2124" s="6" t="str">
        <f t="shared" si="166"/>
        <v/>
      </c>
      <c r="P2124" s="7">
        <f ca="1">SUMIFS($N$2:$N2124,$B$2:$B2124,"&lt;&gt;"&amp;B2124)+SUM($Q$2:$Q2124)</f>
        <v>135.05500000000001</v>
      </c>
      <c r="R2124" t="b">
        <f>AND(ISNUMBER(FIND($E2124,Tables!$I$2)), ISNUMBER(FIND($D2124,Tables!$J$2)), $E2124&lt;&gt;"")</f>
        <v>0</v>
      </c>
    </row>
    <row r="2125" spans="1:18" x14ac:dyDescent="0.3">
      <c r="A2125">
        <f t="shared" si="163"/>
        <v>2108</v>
      </c>
      <c r="B2125" s="4"/>
      <c r="I2125" s="8"/>
      <c r="J2125" s="5"/>
      <c r="K2125" s="3"/>
      <c r="L2125" s="3" t="str">
        <f t="shared" si="165"/>
        <v/>
      </c>
      <c r="N2125" s="3" t="str">
        <f t="shared" si="164"/>
        <v/>
      </c>
      <c r="O2125" s="6" t="str">
        <f t="shared" si="166"/>
        <v/>
      </c>
      <c r="P2125" s="7">
        <f ca="1">SUMIFS($N$2:$N2125,$B$2:$B2125,"&lt;&gt;"&amp;B2125)+SUM($Q$2:$Q2125)</f>
        <v>135.05500000000001</v>
      </c>
      <c r="R2125" t="b">
        <f>AND(ISNUMBER(FIND($E2125,Tables!$I$2)), ISNUMBER(FIND($D2125,Tables!$J$2)), $E2125&lt;&gt;"")</f>
        <v>0</v>
      </c>
    </row>
    <row r="2126" spans="1:18" x14ac:dyDescent="0.3">
      <c r="A2126">
        <f t="shared" si="163"/>
        <v>2109</v>
      </c>
      <c r="B2126" s="4"/>
      <c r="I2126" s="8"/>
      <c r="J2126" s="5"/>
      <c r="K2126" s="3"/>
      <c r="L2126" s="3" t="str">
        <f t="shared" si="165"/>
        <v/>
      </c>
      <c r="N2126" s="3" t="str">
        <f t="shared" si="164"/>
        <v/>
      </c>
      <c r="O2126" s="6" t="str">
        <f t="shared" si="166"/>
        <v/>
      </c>
      <c r="P2126" s="7">
        <f ca="1">SUMIFS($N$2:$N2126,$B$2:$B2126,"&lt;&gt;"&amp;B2126)+SUM($Q$2:$Q2126)</f>
        <v>135.05500000000001</v>
      </c>
      <c r="R2126" t="b">
        <f>AND(ISNUMBER(FIND($E2126,Tables!$I$2)), ISNUMBER(FIND($D2126,Tables!$J$2)), $E2126&lt;&gt;"")</f>
        <v>0</v>
      </c>
    </row>
    <row r="2127" spans="1:18" x14ac:dyDescent="0.3">
      <c r="A2127">
        <f t="shared" si="163"/>
        <v>2110</v>
      </c>
      <c r="B2127" s="4"/>
      <c r="I2127" s="8"/>
      <c r="J2127" s="5"/>
      <c r="K2127" s="3"/>
      <c r="L2127" s="3" t="str">
        <f t="shared" si="165"/>
        <v/>
      </c>
      <c r="N2127" s="3" t="str">
        <f t="shared" si="164"/>
        <v/>
      </c>
      <c r="O2127" s="6" t="str">
        <f t="shared" si="166"/>
        <v/>
      </c>
      <c r="P2127" s="7">
        <f ca="1">SUMIFS($N$2:$N2127,$B$2:$B2127,"&lt;&gt;"&amp;B2127)+SUM($Q$2:$Q2127)</f>
        <v>135.05500000000001</v>
      </c>
      <c r="R2127" t="b">
        <f>AND(ISNUMBER(FIND($E2127,Tables!$I$2)), ISNUMBER(FIND($D2127,Tables!$J$2)), $E2127&lt;&gt;"")</f>
        <v>0</v>
      </c>
    </row>
    <row r="2128" spans="1:18" x14ac:dyDescent="0.3">
      <c r="A2128">
        <f t="shared" si="163"/>
        <v>2111</v>
      </c>
      <c r="B2128" s="4"/>
      <c r="I2128" s="8"/>
      <c r="J2128" s="5"/>
      <c r="K2128" s="3"/>
      <c r="L2128" s="3" t="str">
        <f t="shared" si="165"/>
        <v/>
      </c>
      <c r="N2128" s="3" t="str">
        <f t="shared" si="164"/>
        <v/>
      </c>
      <c r="O2128" s="6" t="str">
        <f t="shared" si="166"/>
        <v/>
      </c>
      <c r="P2128" s="7">
        <f ca="1">SUMIFS($N$2:$N2128,$B$2:$B2128,"&lt;&gt;"&amp;B2128)+SUM($Q$2:$Q2128)</f>
        <v>135.05500000000001</v>
      </c>
      <c r="R2128" t="b">
        <f>AND(ISNUMBER(FIND($E2128,Tables!$I$2)), ISNUMBER(FIND($D2128,Tables!$J$2)), $E2128&lt;&gt;"")</f>
        <v>0</v>
      </c>
    </row>
    <row r="2129" spans="1:18" x14ac:dyDescent="0.3">
      <c r="A2129">
        <f t="shared" si="163"/>
        <v>2112</v>
      </c>
      <c r="B2129" s="4"/>
      <c r="I2129" s="8"/>
      <c r="J2129" s="5"/>
      <c r="K2129" s="3"/>
      <c r="L2129" s="3" t="str">
        <f t="shared" si="165"/>
        <v/>
      </c>
      <c r="N2129" s="3" t="str">
        <f t="shared" si="164"/>
        <v/>
      </c>
      <c r="O2129" s="6" t="str">
        <f t="shared" si="166"/>
        <v/>
      </c>
      <c r="P2129" s="7">
        <f ca="1">SUMIFS($N$2:$N2129,$B$2:$B2129,"&lt;&gt;"&amp;B2129)+SUM($Q$2:$Q2129)</f>
        <v>135.05500000000001</v>
      </c>
      <c r="R2129" t="b">
        <f>AND(ISNUMBER(FIND($E2129,Tables!$I$2)), ISNUMBER(FIND($D2129,Tables!$J$2)), $E2129&lt;&gt;"")</f>
        <v>0</v>
      </c>
    </row>
    <row r="2130" spans="1:18" x14ac:dyDescent="0.3">
      <c r="A2130">
        <f t="shared" si="163"/>
        <v>2113</v>
      </c>
      <c r="B2130" s="4"/>
      <c r="I2130" s="8"/>
      <c r="J2130" s="5"/>
      <c r="K2130" s="3"/>
      <c r="L2130" s="3" t="str">
        <f t="shared" si="165"/>
        <v/>
      </c>
      <c r="N2130" s="3" t="str">
        <f t="shared" si="164"/>
        <v/>
      </c>
      <c r="O2130" s="6" t="str">
        <f t="shared" si="166"/>
        <v/>
      </c>
      <c r="P2130" s="7">
        <f ca="1">SUMIFS($N$2:$N2130,$B$2:$B2130,"&lt;&gt;"&amp;B2130)+SUM($Q$2:$Q2130)</f>
        <v>135.05500000000001</v>
      </c>
      <c r="R2130" t="b">
        <f>AND(ISNUMBER(FIND($E2130,Tables!$I$2)), ISNUMBER(FIND($D2130,Tables!$J$2)), $E2130&lt;&gt;"")</f>
        <v>0</v>
      </c>
    </row>
    <row r="2131" spans="1:18" x14ac:dyDescent="0.3">
      <c r="A2131">
        <f t="shared" si="163"/>
        <v>2114</v>
      </c>
      <c r="B2131" s="4"/>
      <c r="I2131" s="8"/>
      <c r="J2131" s="5"/>
      <c r="K2131" s="3"/>
      <c r="L2131" s="3" t="str">
        <f t="shared" si="165"/>
        <v/>
      </c>
      <c r="N2131" s="3" t="str">
        <f t="shared" si="164"/>
        <v/>
      </c>
      <c r="O2131" s="6" t="str">
        <f t="shared" si="166"/>
        <v/>
      </c>
      <c r="P2131" s="7">
        <f ca="1">SUMIFS($N$2:$N2131,$B$2:$B2131,"&lt;&gt;"&amp;B2131)+SUM($Q$2:$Q2131)</f>
        <v>135.05500000000001</v>
      </c>
      <c r="R2131" t="b">
        <f>AND(ISNUMBER(FIND($E2131,Tables!$I$2)), ISNUMBER(FIND($D2131,Tables!$J$2)), $E2131&lt;&gt;"")</f>
        <v>0</v>
      </c>
    </row>
    <row r="2132" spans="1:18" x14ac:dyDescent="0.3">
      <c r="A2132">
        <f t="shared" si="163"/>
        <v>2115</v>
      </c>
      <c r="B2132" s="4"/>
      <c r="I2132" s="8"/>
      <c r="J2132" s="5"/>
      <c r="K2132" s="3"/>
      <c r="L2132" s="3" t="str">
        <f t="shared" si="165"/>
        <v/>
      </c>
      <c r="N2132" s="3" t="str">
        <f t="shared" si="164"/>
        <v/>
      </c>
      <c r="O2132" s="6" t="str">
        <f t="shared" si="166"/>
        <v/>
      </c>
      <c r="P2132" s="7">
        <f ca="1">SUMIFS($N$2:$N2132,$B$2:$B2132,"&lt;&gt;"&amp;B2132)+SUM($Q$2:$Q2132)</f>
        <v>135.05500000000001</v>
      </c>
      <c r="R2132" t="b">
        <f>AND(ISNUMBER(FIND($E2132,Tables!$I$2)), ISNUMBER(FIND($D2132,Tables!$J$2)), $E2132&lt;&gt;"")</f>
        <v>0</v>
      </c>
    </row>
    <row r="2133" spans="1:18" x14ac:dyDescent="0.3">
      <c r="A2133">
        <f t="shared" si="163"/>
        <v>2116</v>
      </c>
      <c r="B2133" s="4"/>
      <c r="I2133" s="8"/>
      <c r="J2133" s="5"/>
      <c r="K2133" s="3"/>
      <c r="L2133" s="3" t="str">
        <f t="shared" si="165"/>
        <v/>
      </c>
      <c r="N2133" s="3" t="str">
        <f t="shared" si="164"/>
        <v/>
      </c>
      <c r="O2133" s="6" t="str">
        <f t="shared" si="166"/>
        <v/>
      </c>
      <c r="P2133" s="7">
        <f ca="1">SUMIFS($N$2:$N2133,$B$2:$B2133,"&lt;&gt;"&amp;B2133)+SUM($Q$2:$Q2133)</f>
        <v>135.05500000000001</v>
      </c>
      <c r="R2133" t="b">
        <f>AND(ISNUMBER(FIND($E2133,Tables!$I$2)), ISNUMBER(FIND($D2133,Tables!$J$2)), $E2133&lt;&gt;"")</f>
        <v>0</v>
      </c>
    </row>
    <row r="2134" spans="1:18" x14ac:dyDescent="0.3">
      <c r="A2134">
        <f t="shared" si="163"/>
        <v>2117</v>
      </c>
      <c r="B2134" s="4"/>
      <c r="I2134" s="8"/>
      <c r="J2134" s="5"/>
      <c r="K2134" s="3"/>
      <c r="L2134" s="3" t="str">
        <f t="shared" si="165"/>
        <v/>
      </c>
      <c r="N2134" s="3" t="str">
        <f t="shared" si="164"/>
        <v/>
      </c>
      <c r="O2134" s="6" t="str">
        <f t="shared" si="166"/>
        <v/>
      </c>
      <c r="P2134" s="7">
        <f ca="1">SUMIFS($N$2:$N2134,$B$2:$B2134,"&lt;&gt;"&amp;B2134)+SUM($Q$2:$Q2134)</f>
        <v>135.05500000000001</v>
      </c>
      <c r="R2134" t="b">
        <f>AND(ISNUMBER(FIND($E2134,Tables!$I$2)), ISNUMBER(FIND($D2134,Tables!$J$2)), $E2134&lt;&gt;"")</f>
        <v>0</v>
      </c>
    </row>
    <row r="2135" spans="1:18" x14ac:dyDescent="0.3">
      <c r="A2135">
        <f t="shared" si="163"/>
        <v>2118</v>
      </c>
      <c r="B2135" s="4"/>
      <c r="I2135" s="8"/>
      <c r="J2135" s="5"/>
      <c r="K2135" s="3"/>
      <c r="L2135" s="3" t="str">
        <f t="shared" si="165"/>
        <v/>
      </c>
      <c r="N2135" s="3" t="str">
        <f t="shared" si="164"/>
        <v/>
      </c>
      <c r="O2135" s="6" t="str">
        <f t="shared" si="166"/>
        <v/>
      </c>
      <c r="P2135" s="7">
        <f ca="1">SUMIFS($N$2:$N2135,$B$2:$B2135,"&lt;&gt;"&amp;B2135)+SUM($Q$2:$Q2135)</f>
        <v>135.05500000000001</v>
      </c>
      <c r="R2135" t="b">
        <f>AND(ISNUMBER(FIND($E2135,Tables!$I$2)), ISNUMBER(FIND($D2135,Tables!$J$2)), $E2135&lt;&gt;"")</f>
        <v>0</v>
      </c>
    </row>
    <row r="2136" spans="1:18" x14ac:dyDescent="0.3">
      <c r="A2136">
        <f t="shared" si="163"/>
        <v>2119</v>
      </c>
      <c r="B2136" s="4"/>
      <c r="I2136" s="8"/>
      <c r="J2136" s="5"/>
      <c r="K2136" s="3"/>
      <c r="L2136" s="3" t="str">
        <f t="shared" si="165"/>
        <v/>
      </c>
      <c r="N2136" s="3" t="str">
        <f t="shared" si="164"/>
        <v/>
      </c>
      <c r="O2136" s="6" t="str">
        <f t="shared" si="166"/>
        <v/>
      </c>
      <c r="P2136" s="7">
        <f ca="1">SUMIFS($N$2:$N2136,$B$2:$B2136,"&lt;&gt;"&amp;B2136)+SUM($Q$2:$Q2136)</f>
        <v>135.05500000000001</v>
      </c>
      <c r="R2136" t="b">
        <f>AND(ISNUMBER(FIND($E2136,Tables!$I$2)), ISNUMBER(FIND($D2136,Tables!$J$2)), $E2136&lt;&gt;"")</f>
        <v>0</v>
      </c>
    </row>
    <row r="2137" spans="1:18" x14ac:dyDescent="0.3">
      <c r="A2137">
        <f t="shared" si="163"/>
        <v>2120</v>
      </c>
      <c r="B2137" s="4"/>
      <c r="I2137" s="8"/>
      <c r="J2137" s="5"/>
      <c r="K2137" s="3"/>
      <c r="L2137" s="3" t="str">
        <f t="shared" si="165"/>
        <v/>
      </c>
      <c r="N2137" s="3" t="str">
        <f t="shared" si="164"/>
        <v/>
      </c>
      <c r="O2137" s="6" t="str">
        <f t="shared" si="166"/>
        <v/>
      </c>
      <c r="P2137" s="7">
        <f ca="1">SUMIFS($N$2:$N2137,$B$2:$B2137,"&lt;&gt;"&amp;B2137)+SUM($Q$2:$Q2137)</f>
        <v>135.05500000000001</v>
      </c>
      <c r="R2137" t="b">
        <f>AND(ISNUMBER(FIND($E2137,Tables!$I$2)), ISNUMBER(FIND($D2137,Tables!$J$2)), $E2137&lt;&gt;"")</f>
        <v>0</v>
      </c>
    </row>
    <row r="2138" spans="1:18" x14ac:dyDescent="0.3">
      <c r="A2138">
        <f t="shared" si="163"/>
        <v>2121</v>
      </c>
      <c r="B2138" s="4"/>
      <c r="I2138" s="8"/>
      <c r="J2138" s="5"/>
      <c r="K2138" s="3"/>
      <c r="L2138" s="3" t="str">
        <f t="shared" si="165"/>
        <v/>
      </c>
      <c r="N2138" s="3" t="str">
        <f t="shared" si="164"/>
        <v/>
      </c>
      <c r="O2138" s="6" t="str">
        <f t="shared" si="166"/>
        <v/>
      </c>
      <c r="P2138" s="7">
        <f ca="1">SUMIFS($N$2:$N2138,$B$2:$B2138,"&lt;&gt;"&amp;B2138)+SUM($Q$2:$Q2138)</f>
        <v>135.05500000000001</v>
      </c>
      <c r="R2138" t="b">
        <f>AND(ISNUMBER(FIND($E2138,Tables!$I$2)), ISNUMBER(FIND($D2138,Tables!$J$2)), $E2138&lt;&gt;"")</f>
        <v>0</v>
      </c>
    </row>
    <row r="2139" spans="1:18" x14ac:dyDescent="0.3">
      <c r="A2139">
        <f t="shared" si="163"/>
        <v>2122</v>
      </c>
      <c r="B2139" s="4"/>
      <c r="I2139" s="8"/>
      <c r="J2139" s="5"/>
      <c r="K2139" s="3"/>
      <c r="L2139" s="3" t="str">
        <f t="shared" si="165"/>
        <v/>
      </c>
      <c r="N2139" s="3" t="str">
        <f t="shared" si="164"/>
        <v/>
      </c>
      <c r="O2139" s="6" t="str">
        <f t="shared" si="166"/>
        <v/>
      </c>
      <c r="P2139" s="7">
        <f ca="1">SUMIFS($N$2:$N2139,$B$2:$B2139,"&lt;&gt;"&amp;B2139)+SUM($Q$2:$Q2139)</f>
        <v>135.05500000000001</v>
      </c>
      <c r="R2139" t="b">
        <f>AND(ISNUMBER(FIND($E2139,Tables!$I$2)), ISNUMBER(FIND($D2139,Tables!$J$2)), $E2139&lt;&gt;"")</f>
        <v>0</v>
      </c>
    </row>
    <row r="2140" spans="1:18" x14ac:dyDescent="0.3">
      <c r="A2140">
        <f t="shared" si="163"/>
        <v>2123</v>
      </c>
      <c r="B2140" s="4"/>
      <c r="I2140" s="8"/>
      <c r="J2140" s="5"/>
      <c r="K2140" s="3"/>
      <c r="L2140" s="3" t="str">
        <f t="shared" si="165"/>
        <v/>
      </c>
      <c r="N2140" s="3" t="str">
        <f t="shared" si="164"/>
        <v/>
      </c>
      <c r="O2140" s="6" t="str">
        <f t="shared" si="166"/>
        <v/>
      </c>
      <c r="P2140" s="7">
        <f ca="1">SUMIFS($N$2:$N2140,$B$2:$B2140,"&lt;&gt;"&amp;B2140)+SUM($Q$2:$Q2140)</f>
        <v>135.05500000000001</v>
      </c>
      <c r="R2140" t="b">
        <f>AND(ISNUMBER(FIND($E2140,Tables!$I$2)), ISNUMBER(FIND($D2140,Tables!$J$2)), $E2140&lt;&gt;"")</f>
        <v>0</v>
      </c>
    </row>
    <row r="2141" spans="1:18" x14ac:dyDescent="0.3">
      <c r="A2141">
        <f t="shared" si="163"/>
        <v>2124</v>
      </c>
      <c r="B2141" s="4"/>
      <c r="I2141" s="8"/>
      <c r="J2141" s="5"/>
      <c r="K2141" s="3"/>
      <c r="L2141" s="3" t="str">
        <f t="shared" si="165"/>
        <v/>
      </c>
      <c r="N2141" s="3" t="str">
        <f t="shared" si="164"/>
        <v/>
      </c>
      <c r="O2141" s="6" t="str">
        <f t="shared" si="166"/>
        <v/>
      </c>
      <c r="P2141" s="7">
        <f ca="1">SUMIFS($N$2:$N2141,$B$2:$B2141,"&lt;&gt;"&amp;B2141)+SUM($Q$2:$Q2141)</f>
        <v>135.05500000000001</v>
      </c>
      <c r="R2141" t="b">
        <f>AND(ISNUMBER(FIND($E2141,Tables!$I$2)), ISNUMBER(FIND($D2141,Tables!$J$2)), $E2141&lt;&gt;"")</f>
        <v>0</v>
      </c>
    </row>
    <row r="2142" spans="1:18" x14ac:dyDescent="0.3">
      <c r="A2142">
        <f t="shared" si="163"/>
        <v>2125</v>
      </c>
      <c r="B2142" s="4"/>
      <c r="I2142" s="8"/>
      <c r="J2142" s="5"/>
      <c r="K2142" s="3"/>
      <c r="L2142" s="3" t="str">
        <f t="shared" si="165"/>
        <v/>
      </c>
      <c r="N2142" s="3" t="str">
        <f t="shared" si="164"/>
        <v/>
      </c>
      <c r="O2142" s="6" t="str">
        <f t="shared" si="166"/>
        <v/>
      </c>
      <c r="P2142" s="7">
        <f ca="1">SUMIFS($N$2:$N2142,$B$2:$B2142,"&lt;&gt;"&amp;B2142)+SUM($Q$2:$Q2142)</f>
        <v>135.05500000000001</v>
      </c>
      <c r="R2142" t="b">
        <f>AND(ISNUMBER(FIND($E2142,Tables!$I$2)), ISNUMBER(FIND($D2142,Tables!$J$2)), $E2142&lt;&gt;"")</f>
        <v>0</v>
      </c>
    </row>
    <row r="2143" spans="1:18" x14ac:dyDescent="0.3">
      <c r="A2143">
        <f t="shared" si="163"/>
        <v>2126</v>
      </c>
      <c r="B2143" s="4"/>
      <c r="I2143" s="8"/>
      <c r="J2143" s="5"/>
      <c r="K2143" s="3"/>
      <c r="L2143" s="3" t="str">
        <f t="shared" si="165"/>
        <v/>
      </c>
      <c r="N2143" s="3" t="str">
        <f t="shared" si="164"/>
        <v/>
      </c>
      <c r="O2143" s="6" t="str">
        <f t="shared" si="166"/>
        <v/>
      </c>
      <c r="P2143" s="7">
        <f ca="1">SUMIFS($N$2:$N2143,$B$2:$B2143,"&lt;&gt;"&amp;B2143)+SUM($Q$2:$Q2143)</f>
        <v>135.05500000000001</v>
      </c>
      <c r="R2143" t="b">
        <f>AND(ISNUMBER(FIND($E2143,Tables!$I$2)), ISNUMBER(FIND($D2143,Tables!$J$2)), $E2143&lt;&gt;"")</f>
        <v>0</v>
      </c>
    </row>
    <row r="2144" spans="1:18" x14ac:dyDescent="0.3">
      <c r="A2144">
        <f t="shared" si="163"/>
        <v>2127</v>
      </c>
      <c r="B2144" s="4"/>
      <c r="I2144" s="8"/>
      <c r="J2144" s="5"/>
      <c r="K2144" s="3"/>
      <c r="L2144" s="3" t="str">
        <f t="shared" si="165"/>
        <v/>
      </c>
      <c r="N2144" s="3" t="str">
        <f t="shared" si="164"/>
        <v/>
      </c>
      <c r="O2144" s="6" t="str">
        <f t="shared" si="166"/>
        <v/>
      </c>
      <c r="P2144" s="7">
        <f ca="1">SUMIFS($N$2:$N2144,$B$2:$B2144,"&lt;&gt;"&amp;B2144)+SUM($Q$2:$Q2144)</f>
        <v>135.05500000000001</v>
      </c>
      <c r="R2144" t="b">
        <f>AND(ISNUMBER(FIND($E2144,Tables!$I$2)), ISNUMBER(FIND($D2144,Tables!$J$2)), $E2144&lt;&gt;"")</f>
        <v>0</v>
      </c>
    </row>
    <row r="2145" spans="1:18" x14ac:dyDescent="0.3">
      <c r="A2145">
        <f t="shared" si="163"/>
        <v>2128</v>
      </c>
      <c r="B2145" s="4"/>
      <c r="I2145" s="8"/>
      <c r="J2145" s="5"/>
      <c r="K2145" s="3"/>
      <c r="L2145" s="3" t="str">
        <f t="shared" si="165"/>
        <v/>
      </c>
      <c r="N2145" s="3" t="str">
        <f t="shared" si="164"/>
        <v/>
      </c>
      <c r="O2145" s="6" t="str">
        <f t="shared" si="166"/>
        <v/>
      </c>
      <c r="P2145" s="7">
        <f ca="1">SUMIFS($N$2:$N2145,$B$2:$B2145,"&lt;&gt;"&amp;B2145)+SUM($Q$2:$Q2145)</f>
        <v>135.05500000000001</v>
      </c>
      <c r="R2145" t="b">
        <f>AND(ISNUMBER(FIND($E2145,Tables!$I$2)), ISNUMBER(FIND($D2145,Tables!$J$2)), $E2145&lt;&gt;"")</f>
        <v>0</v>
      </c>
    </row>
    <row r="2146" spans="1:18" x14ac:dyDescent="0.3">
      <c r="A2146">
        <f t="shared" ref="A2146:A2209" si="167">IF(AND(B2146="", D2146&lt;&gt;""), A2145, A2145+1)</f>
        <v>2129</v>
      </c>
      <c r="B2146" s="4"/>
      <c r="I2146" s="8"/>
      <c r="J2146" s="5"/>
      <c r="K2146" s="3"/>
      <c r="L2146" s="3" t="str">
        <f t="shared" si="165"/>
        <v/>
      </c>
      <c r="N2146" s="3" t="str">
        <f t="shared" si="164"/>
        <v/>
      </c>
      <c r="O2146" s="6" t="str">
        <f t="shared" si="166"/>
        <v/>
      </c>
      <c r="P2146" s="7">
        <f ca="1">SUMIFS($N$2:$N2146,$B$2:$B2146,"&lt;&gt;"&amp;B2146)+SUM($Q$2:$Q2146)</f>
        <v>135.05500000000001</v>
      </c>
      <c r="R2146" t="b">
        <f>AND(ISNUMBER(FIND($E2146,Tables!$I$2)), ISNUMBER(FIND($D2146,Tables!$J$2)), $E2146&lt;&gt;"")</f>
        <v>0</v>
      </c>
    </row>
    <row r="2147" spans="1:18" x14ac:dyDescent="0.3">
      <c r="A2147">
        <f t="shared" si="167"/>
        <v>2130</v>
      </c>
      <c r="B2147" s="4"/>
      <c r="I2147" s="8"/>
      <c r="J2147" s="5"/>
      <c r="K2147" s="3"/>
      <c r="L2147" s="3" t="str">
        <f t="shared" si="165"/>
        <v/>
      </c>
      <c r="N2147" s="3" t="str">
        <f t="shared" si="164"/>
        <v/>
      </c>
      <c r="O2147" s="6" t="str">
        <f t="shared" si="166"/>
        <v/>
      </c>
      <c r="P2147" s="7">
        <f ca="1">SUMIFS($N$2:$N2147,$B$2:$B2147,"&lt;&gt;"&amp;B2147)+SUM($Q$2:$Q2147)</f>
        <v>135.05500000000001</v>
      </c>
      <c r="R2147" t="b">
        <f>AND(ISNUMBER(FIND($E2147,Tables!$I$2)), ISNUMBER(FIND($D2147,Tables!$J$2)), $E2147&lt;&gt;"")</f>
        <v>0</v>
      </c>
    </row>
    <row r="2148" spans="1:18" x14ac:dyDescent="0.3">
      <c r="A2148">
        <f t="shared" si="167"/>
        <v>2131</v>
      </c>
      <c r="B2148" s="4"/>
      <c r="I2148" s="8"/>
      <c r="J2148" s="5"/>
      <c r="K2148" s="3"/>
      <c r="L2148" s="3" t="str">
        <f t="shared" si="165"/>
        <v/>
      </c>
      <c r="N2148" s="3" t="str">
        <f t="shared" si="164"/>
        <v/>
      </c>
      <c r="O2148" s="6" t="str">
        <f t="shared" si="166"/>
        <v/>
      </c>
      <c r="P2148" s="7">
        <f ca="1">SUMIFS($N$2:$N2148,$B$2:$B2148,"&lt;&gt;"&amp;B2148)+SUM($Q$2:$Q2148)</f>
        <v>135.05500000000001</v>
      </c>
      <c r="R2148" t="b">
        <f>AND(ISNUMBER(FIND($E2148,Tables!$I$2)), ISNUMBER(FIND($D2148,Tables!$J$2)), $E2148&lt;&gt;"")</f>
        <v>0</v>
      </c>
    </row>
    <row r="2149" spans="1:18" x14ac:dyDescent="0.3">
      <c r="A2149">
        <f t="shared" si="167"/>
        <v>2132</v>
      </c>
      <c r="B2149" s="4"/>
      <c r="I2149" s="8"/>
      <c r="J2149" s="5"/>
      <c r="K2149" s="3"/>
      <c r="L2149" s="3" t="str">
        <f t="shared" si="165"/>
        <v/>
      </c>
      <c r="N2149" s="3" t="str">
        <f t="shared" si="164"/>
        <v/>
      </c>
      <c r="O2149" s="6" t="str">
        <f t="shared" si="166"/>
        <v/>
      </c>
      <c r="P2149" s="7">
        <f ca="1">SUMIFS($N$2:$N2149,$B$2:$B2149,"&lt;&gt;"&amp;B2149)+SUM($Q$2:$Q2149)</f>
        <v>135.05500000000001</v>
      </c>
      <c r="R2149" t="b">
        <f>AND(ISNUMBER(FIND($E2149,Tables!$I$2)), ISNUMBER(FIND($D2149,Tables!$J$2)), $E2149&lt;&gt;"")</f>
        <v>0</v>
      </c>
    </row>
    <row r="2150" spans="1:18" x14ac:dyDescent="0.3">
      <c r="A2150">
        <f t="shared" si="167"/>
        <v>2133</v>
      </c>
      <c r="B2150" s="4"/>
      <c r="I2150" s="8"/>
      <c r="J2150" s="5"/>
      <c r="K2150" s="3"/>
      <c r="L2150" s="3" t="str">
        <f t="shared" si="165"/>
        <v/>
      </c>
      <c r="N2150" s="3" t="str">
        <f t="shared" si="164"/>
        <v/>
      </c>
      <c r="O2150" s="6" t="str">
        <f t="shared" si="166"/>
        <v/>
      </c>
      <c r="P2150" s="7">
        <f ca="1">SUMIFS($N$2:$N2150,$B$2:$B2150,"&lt;&gt;"&amp;B2150)+SUM($Q$2:$Q2150)</f>
        <v>135.05500000000001</v>
      </c>
      <c r="R2150" t="b">
        <f>AND(ISNUMBER(FIND($E2150,Tables!$I$2)), ISNUMBER(FIND($D2150,Tables!$J$2)), $E2150&lt;&gt;"")</f>
        <v>0</v>
      </c>
    </row>
    <row r="2151" spans="1:18" x14ac:dyDescent="0.3">
      <c r="A2151">
        <f t="shared" si="167"/>
        <v>2134</v>
      </c>
      <c r="B2151" s="4"/>
      <c r="I2151" s="8"/>
      <c r="J2151" s="5"/>
      <c r="K2151" s="3"/>
      <c r="L2151" s="3" t="str">
        <f t="shared" si="165"/>
        <v/>
      </c>
      <c r="N2151" s="3" t="str">
        <f t="shared" si="164"/>
        <v/>
      </c>
      <c r="O2151" s="6" t="str">
        <f t="shared" si="166"/>
        <v/>
      </c>
      <c r="P2151" s="7">
        <f ca="1">SUMIFS($N$2:$N2151,$B$2:$B2151,"&lt;&gt;"&amp;B2151)+SUM($Q$2:$Q2151)</f>
        <v>135.05500000000001</v>
      </c>
      <c r="R2151" t="b">
        <f>AND(ISNUMBER(FIND($E2151,Tables!$I$2)), ISNUMBER(FIND($D2151,Tables!$J$2)), $E2151&lt;&gt;"")</f>
        <v>0</v>
      </c>
    </row>
    <row r="2152" spans="1:18" x14ac:dyDescent="0.3">
      <c r="A2152">
        <f t="shared" si="167"/>
        <v>2135</v>
      </c>
      <c r="B2152" s="4"/>
      <c r="I2152" s="8"/>
      <c r="J2152" s="5"/>
      <c r="K2152" s="3"/>
      <c r="L2152" s="3" t="str">
        <f t="shared" si="165"/>
        <v/>
      </c>
      <c r="N2152" s="3" t="str">
        <f t="shared" ref="N2152:N2215" si="168">IF(L2152 = "", "", IF(M2152="", "", IF(OR(M2152="Draw",M2152="NC"), 0, IF(M2152="win", L2152, -1*K2152))))</f>
        <v/>
      </c>
      <c r="O2152" s="6" t="str">
        <f t="shared" si="166"/>
        <v/>
      </c>
      <c r="P2152" s="7">
        <f ca="1">SUMIFS($N$2:$N2152,$B$2:$B2152,"&lt;&gt;"&amp;B2152)+SUM($Q$2:$Q2152)</f>
        <v>135.05500000000001</v>
      </c>
      <c r="R2152" t="b">
        <f>AND(ISNUMBER(FIND($E2152,Tables!$I$2)), ISNUMBER(FIND($D2152,Tables!$J$2)), $E2152&lt;&gt;"")</f>
        <v>0</v>
      </c>
    </row>
    <row r="2153" spans="1:18" x14ac:dyDescent="0.3">
      <c r="A2153">
        <f t="shared" si="167"/>
        <v>2136</v>
      </c>
      <c r="B2153" s="4"/>
      <c r="I2153" s="8"/>
      <c r="J2153" s="5"/>
      <c r="K2153" s="3"/>
      <c r="L2153" s="3" t="str">
        <f t="shared" si="165"/>
        <v/>
      </c>
      <c r="N2153" s="3" t="str">
        <f t="shared" si="168"/>
        <v/>
      </c>
      <c r="O2153" s="6" t="str">
        <f t="shared" si="166"/>
        <v/>
      </c>
      <c r="P2153" s="7">
        <f ca="1">SUMIFS($N$2:$N2153,$B$2:$B2153,"&lt;&gt;"&amp;B2153)+SUM($Q$2:$Q2153)</f>
        <v>135.05500000000001</v>
      </c>
      <c r="R2153" t="b">
        <f>AND(ISNUMBER(FIND($E2153,Tables!$I$2)), ISNUMBER(FIND($D2153,Tables!$J$2)), $E2153&lt;&gt;"")</f>
        <v>0</v>
      </c>
    </row>
    <row r="2154" spans="1:18" x14ac:dyDescent="0.3">
      <c r="A2154">
        <f t="shared" si="167"/>
        <v>2137</v>
      </c>
      <c r="B2154" s="4"/>
      <c r="I2154" s="8"/>
      <c r="J2154" s="5"/>
      <c r="K2154" s="3"/>
      <c r="L2154" s="3" t="str">
        <f t="shared" si="165"/>
        <v/>
      </c>
      <c r="N2154" s="3" t="str">
        <f t="shared" si="168"/>
        <v/>
      </c>
      <c r="O2154" s="6" t="str">
        <f t="shared" si="166"/>
        <v/>
      </c>
      <c r="P2154" s="7">
        <f ca="1">SUMIFS($N$2:$N2154,$B$2:$B2154,"&lt;&gt;"&amp;B2154)+SUM($Q$2:$Q2154)</f>
        <v>135.05500000000001</v>
      </c>
      <c r="R2154" t="b">
        <f>AND(ISNUMBER(FIND($E2154,Tables!$I$2)), ISNUMBER(FIND($D2154,Tables!$J$2)), $E2154&lt;&gt;"")</f>
        <v>0</v>
      </c>
    </row>
    <row r="2155" spans="1:18" x14ac:dyDescent="0.3">
      <c r="A2155">
        <f t="shared" si="167"/>
        <v>2138</v>
      </c>
      <c r="B2155" s="4"/>
      <c r="I2155" s="8"/>
      <c r="J2155" s="5"/>
      <c r="K2155" s="3"/>
      <c r="L2155" s="3" t="str">
        <f t="shared" si="165"/>
        <v/>
      </c>
      <c r="N2155" s="3" t="str">
        <f t="shared" si="168"/>
        <v/>
      </c>
      <c r="O2155" s="6" t="str">
        <f t="shared" si="166"/>
        <v/>
      </c>
      <c r="P2155" s="7">
        <f ca="1">SUMIFS($N$2:$N2155,$B$2:$B2155,"&lt;&gt;"&amp;B2155)+SUM($Q$2:$Q2155)</f>
        <v>135.05500000000001</v>
      </c>
      <c r="R2155" t="b">
        <f>AND(ISNUMBER(FIND($E2155,Tables!$I$2)), ISNUMBER(FIND($D2155,Tables!$J$2)), $E2155&lt;&gt;"")</f>
        <v>0</v>
      </c>
    </row>
    <row r="2156" spans="1:18" x14ac:dyDescent="0.3">
      <c r="A2156">
        <f t="shared" si="167"/>
        <v>2139</v>
      </c>
      <c r="B2156" s="4"/>
      <c r="I2156" s="8"/>
      <c r="J2156" s="5"/>
      <c r="K2156" s="3"/>
      <c r="L2156" s="3" t="str">
        <f t="shared" si="165"/>
        <v/>
      </c>
      <c r="N2156" s="3" t="str">
        <f t="shared" si="168"/>
        <v/>
      </c>
      <c r="O2156" s="6" t="str">
        <f t="shared" si="166"/>
        <v/>
      </c>
      <c r="P2156" s="7">
        <f ca="1">SUMIFS($N$2:$N2156,$B$2:$B2156,"&lt;&gt;"&amp;B2156)+SUM($Q$2:$Q2156)</f>
        <v>135.05500000000001</v>
      </c>
      <c r="R2156" t="b">
        <f>AND(ISNUMBER(FIND($E2156,Tables!$I$2)), ISNUMBER(FIND($D2156,Tables!$J$2)), $E2156&lt;&gt;"")</f>
        <v>0</v>
      </c>
    </row>
    <row r="2157" spans="1:18" x14ac:dyDescent="0.3">
      <c r="A2157">
        <f t="shared" si="167"/>
        <v>2140</v>
      </c>
      <c r="B2157" s="4"/>
      <c r="I2157" s="8"/>
      <c r="J2157" s="5"/>
      <c r="K2157" s="3"/>
      <c r="L2157" s="3" t="str">
        <f t="shared" si="165"/>
        <v/>
      </c>
      <c r="N2157" s="3" t="str">
        <f t="shared" si="168"/>
        <v/>
      </c>
      <c r="O2157" s="6" t="str">
        <f t="shared" si="166"/>
        <v/>
      </c>
      <c r="P2157" s="7">
        <f ca="1">SUMIFS($N$2:$N2157,$B$2:$B2157,"&lt;&gt;"&amp;B2157)+SUM($Q$2:$Q2157)</f>
        <v>135.05500000000001</v>
      </c>
      <c r="R2157" t="b">
        <f>AND(ISNUMBER(FIND($E2157,Tables!$I$2)), ISNUMBER(FIND($D2157,Tables!$J$2)), $E2157&lt;&gt;"")</f>
        <v>0</v>
      </c>
    </row>
    <row r="2158" spans="1:18" x14ac:dyDescent="0.3">
      <c r="A2158">
        <f t="shared" si="167"/>
        <v>2141</v>
      </c>
      <c r="B2158" s="4"/>
      <c r="I2158" s="8"/>
      <c r="J2158" s="5"/>
      <c r="K2158" s="3"/>
      <c r="L2158" s="3" t="str">
        <f t="shared" si="165"/>
        <v/>
      </c>
      <c r="N2158" s="3" t="str">
        <f t="shared" si="168"/>
        <v/>
      </c>
      <c r="O2158" s="6" t="str">
        <f t="shared" si="166"/>
        <v/>
      </c>
      <c r="P2158" s="7">
        <f ca="1">SUMIFS($N$2:$N2158,$B$2:$B2158,"&lt;&gt;"&amp;B2158)+SUM($Q$2:$Q2158)</f>
        <v>135.05500000000001</v>
      </c>
      <c r="R2158" t="b">
        <f>AND(ISNUMBER(FIND($E2158,Tables!$I$2)), ISNUMBER(FIND($D2158,Tables!$J$2)), $E2158&lt;&gt;"")</f>
        <v>0</v>
      </c>
    </row>
    <row r="2159" spans="1:18" x14ac:dyDescent="0.3">
      <c r="A2159">
        <f t="shared" si="167"/>
        <v>2142</v>
      </c>
      <c r="B2159" s="4"/>
      <c r="I2159" s="8"/>
      <c r="J2159" s="5"/>
      <c r="K2159" s="3"/>
      <c r="L2159" s="3" t="str">
        <f t="shared" si="165"/>
        <v/>
      </c>
      <c r="N2159" s="3" t="str">
        <f t="shared" si="168"/>
        <v/>
      </c>
      <c r="O2159" s="6" t="str">
        <f t="shared" si="166"/>
        <v/>
      </c>
      <c r="P2159" s="7">
        <f ca="1">SUMIFS($N$2:$N2159,$B$2:$B2159,"&lt;&gt;"&amp;B2159)+SUM($Q$2:$Q2159)</f>
        <v>135.05500000000001</v>
      </c>
      <c r="R2159" t="b">
        <f>AND(ISNUMBER(FIND($E2159,Tables!$I$2)), ISNUMBER(FIND($D2159,Tables!$J$2)), $E2159&lt;&gt;"")</f>
        <v>0</v>
      </c>
    </row>
    <row r="2160" spans="1:18" x14ac:dyDescent="0.3">
      <c r="A2160">
        <f t="shared" si="167"/>
        <v>2143</v>
      </c>
      <c r="B2160" s="4"/>
      <c r="I2160" s="8"/>
      <c r="J2160" s="5"/>
      <c r="K2160" s="3"/>
      <c r="L2160" s="3" t="str">
        <f t="shared" si="165"/>
        <v/>
      </c>
      <c r="N2160" s="3" t="str">
        <f t="shared" si="168"/>
        <v/>
      </c>
      <c r="O2160" s="6" t="str">
        <f t="shared" si="166"/>
        <v/>
      </c>
      <c r="P2160" s="7">
        <f ca="1">SUMIFS($N$2:$N2160,$B$2:$B2160,"&lt;&gt;"&amp;B2160)+SUM($Q$2:$Q2160)</f>
        <v>135.05500000000001</v>
      </c>
      <c r="R2160" t="b">
        <f>AND(ISNUMBER(FIND($E2160,Tables!$I$2)), ISNUMBER(FIND($D2160,Tables!$J$2)), $E2160&lt;&gt;"")</f>
        <v>0</v>
      </c>
    </row>
    <row r="2161" spans="1:18" x14ac:dyDescent="0.3">
      <c r="A2161">
        <f t="shared" si="167"/>
        <v>2144</v>
      </c>
      <c r="B2161" s="4"/>
      <c r="I2161" s="8"/>
      <c r="J2161" s="5"/>
      <c r="K2161" s="3"/>
      <c r="L2161" s="3" t="str">
        <f t="shared" si="165"/>
        <v/>
      </c>
      <c r="N2161" s="3" t="str">
        <f t="shared" si="168"/>
        <v/>
      </c>
      <c r="O2161" s="6" t="str">
        <f t="shared" si="166"/>
        <v/>
      </c>
      <c r="P2161" s="7">
        <f ca="1">SUMIFS($N$2:$N2161,$B$2:$B2161,"&lt;&gt;"&amp;B2161)+SUM($Q$2:$Q2161)</f>
        <v>135.05500000000001</v>
      </c>
      <c r="R2161" t="b">
        <f>AND(ISNUMBER(FIND($E2161,Tables!$I$2)), ISNUMBER(FIND($D2161,Tables!$J$2)), $E2161&lt;&gt;"")</f>
        <v>0</v>
      </c>
    </row>
    <row r="2162" spans="1:18" x14ac:dyDescent="0.3">
      <c r="A2162">
        <f t="shared" si="167"/>
        <v>2145</v>
      </c>
      <c r="B2162" s="4"/>
      <c r="I2162" s="8"/>
      <c r="J2162" s="5"/>
      <c r="K2162" s="3"/>
      <c r="L2162" s="3" t="str">
        <f t="shared" ref="L2162:L2225" si="169">IFERROR(IF(K2162=0, "", IF(I2162&gt;0, K2162/100*I2162,K2162/I2162*-100)), "")</f>
        <v/>
      </c>
      <c r="N2162" s="3" t="str">
        <f t="shared" si="168"/>
        <v/>
      </c>
      <c r="O2162" s="6" t="str">
        <f t="shared" si="166"/>
        <v/>
      </c>
      <c r="P2162" s="7">
        <f ca="1">SUMIFS($N$2:$N2162,$B$2:$B2162,"&lt;&gt;"&amp;B2162)+SUM($Q$2:$Q2162)</f>
        <v>135.05500000000001</v>
      </c>
      <c r="R2162" t="b">
        <f>AND(ISNUMBER(FIND($E2162,Tables!$I$2)), ISNUMBER(FIND($D2162,Tables!$J$2)), $E2162&lt;&gt;"")</f>
        <v>0</v>
      </c>
    </row>
    <row r="2163" spans="1:18" x14ac:dyDescent="0.3">
      <c r="A2163">
        <f t="shared" si="167"/>
        <v>2146</v>
      </c>
      <c r="B2163" s="4"/>
      <c r="I2163" s="8"/>
      <c r="J2163" s="5"/>
      <c r="K2163" s="3"/>
      <c r="L2163" s="3" t="str">
        <f t="shared" si="169"/>
        <v/>
      </c>
      <c r="N2163" s="3" t="str">
        <f t="shared" si="168"/>
        <v/>
      </c>
      <c r="O2163" s="6" t="str">
        <f t="shared" si="166"/>
        <v/>
      </c>
      <c r="P2163" s="7">
        <f ca="1">SUMIFS($N$2:$N2163,$B$2:$B2163,"&lt;&gt;"&amp;B2163)+SUM($Q$2:$Q2163)</f>
        <v>135.05500000000001</v>
      </c>
      <c r="R2163" t="b">
        <f>AND(ISNUMBER(FIND($E2163,Tables!$I$2)), ISNUMBER(FIND($D2163,Tables!$J$2)), $E2163&lt;&gt;"")</f>
        <v>0</v>
      </c>
    </row>
    <row r="2164" spans="1:18" x14ac:dyDescent="0.3">
      <c r="A2164">
        <f t="shared" si="167"/>
        <v>2147</v>
      </c>
      <c r="B2164" s="4"/>
      <c r="I2164" s="8"/>
      <c r="J2164" s="5"/>
      <c r="K2164" s="3"/>
      <c r="L2164" s="3" t="str">
        <f t="shared" si="169"/>
        <v/>
      </c>
      <c r="N2164" s="3" t="str">
        <f t="shared" si="168"/>
        <v/>
      </c>
      <c r="O2164" s="6" t="str">
        <f t="shared" si="166"/>
        <v/>
      </c>
      <c r="P2164" s="7">
        <f ca="1">SUMIFS($N$2:$N2164,$B$2:$B2164,"&lt;&gt;"&amp;B2164)+SUM($Q$2:$Q2164)</f>
        <v>135.05500000000001</v>
      </c>
      <c r="R2164" t="b">
        <f>AND(ISNUMBER(FIND($E2164,Tables!$I$2)), ISNUMBER(FIND($D2164,Tables!$J$2)), $E2164&lt;&gt;"")</f>
        <v>0</v>
      </c>
    </row>
    <row r="2165" spans="1:18" x14ac:dyDescent="0.3">
      <c r="A2165">
        <f t="shared" si="167"/>
        <v>2148</v>
      </c>
      <c r="B2165" s="4"/>
      <c r="I2165" s="8"/>
      <c r="J2165" s="5"/>
      <c r="K2165" s="3"/>
      <c r="L2165" s="3" t="str">
        <f t="shared" si="169"/>
        <v/>
      </c>
      <c r="N2165" s="3" t="str">
        <f t="shared" si="168"/>
        <v/>
      </c>
      <c r="O2165" s="6" t="str">
        <f t="shared" si="166"/>
        <v/>
      </c>
      <c r="P2165" s="7">
        <f ca="1">SUMIFS($N$2:$N2165,$B$2:$B2165,"&lt;&gt;"&amp;B2165)+SUM($Q$2:$Q2165)</f>
        <v>135.05500000000001</v>
      </c>
      <c r="R2165" t="b">
        <f>AND(ISNUMBER(FIND($E2165,Tables!$I$2)), ISNUMBER(FIND($D2165,Tables!$J$2)), $E2165&lt;&gt;"")</f>
        <v>0</v>
      </c>
    </row>
    <row r="2166" spans="1:18" x14ac:dyDescent="0.3">
      <c r="A2166">
        <f t="shared" si="167"/>
        <v>2149</v>
      </c>
      <c r="B2166" s="4"/>
      <c r="I2166" s="8"/>
      <c r="J2166" s="5"/>
      <c r="K2166" s="3"/>
      <c r="L2166" s="3" t="str">
        <f t="shared" si="169"/>
        <v/>
      </c>
      <c r="N2166" s="3" t="str">
        <f t="shared" si="168"/>
        <v/>
      </c>
      <c r="O2166" s="6" t="str">
        <f t="shared" si="166"/>
        <v/>
      </c>
      <c r="P2166" s="7">
        <f ca="1">SUMIFS($N$2:$N2166,$B$2:$B2166,"&lt;&gt;"&amp;B2166)+SUM($Q$2:$Q2166)</f>
        <v>135.05500000000001</v>
      </c>
      <c r="R2166" t="b">
        <f>AND(ISNUMBER(FIND($E2166,Tables!$I$2)), ISNUMBER(FIND($D2166,Tables!$J$2)), $E2166&lt;&gt;"")</f>
        <v>0</v>
      </c>
    </row>
    <row r="2167" spans="1:18" x14ac:dyDescent="0.3">
      <c r="A2167">
        <f t="shared" si="167"/>
        <v>2150</v>
      </c>
      <c r="B2167" s="4"/>
      <c r="I2167" s="8"/>
      <c r="J2167" s="5"/>
      <c r="K2167" s="3"/>
      <c r="L2167" s="3" t="str">
        <f t="shared" si="169"/>
        <v/>
      </c>
      <c r="N2167" s="3" t="str">
        <f t="shared" si="168"/>
        <v/>
      </c>
      <c r="O2167" s="6" t="str">
        <f t="shared" si="166"/>
        <v/>
      </c>
      <c r="P2167" s="7">
        <f ca="1">SUMIFS($N$2:$N2167,$B$2:$B2167,"&lt;&gt;"&amp;B2167)+SUM($Q$2:$Q2167)</f>
        <v>135.05500000000001</v>
      </c>
      <c r="R2167" t="b">
        <f>AND(ISNUMBER(FIND($E2167,Tables!$I$2)), ISNUMBER(FIND($D2167,Tables!$J$2)), $E2167&lt;&gt;"")</f>
        <v>0</v>
      </c>
    </row>
    <row r="2168" spans="1:18" x14ac:dyDescent="0.3">
      <c r="A2168">
        <f t="shared" si="167"/>
        <v>2151</v>
      </c>
      <c r="B2168" s="4"/>
      <c r="I2168" s="8"/>
      <c r="J2168" s="5"/>
      <c r="K2168" s="3"/>
      <c r="L2168" s="3" t="str">
        <f t="shared" si="169"/>
        <v/>
      </c>
      <c r="N2168" s="3" t="str">
        <f t="shared" si="168"/>
        <v/>
      </c>
      <c r="O2168" s="6" t="str">
        <f t="shared" si="166"/>
        <v/>
      </c>
      <c r="P2168" s="7">
        <f ca="1">SUMIFS($N$2:$N2168,$B$2:$B2168,"&lt;&gt;"&amp;B2168)+SUM($Q$2:$Q2168)</f>
        <v>135.05500000000001</v>
      </c>
      <c r="R2168" t="b">
        <f>AND(ISNUMBER(FIND($E2168,Tables!$I$2)), ISNUMBER(FIND($D2168,Tables!$J$2)), $E2168&lt;&gt;"")</f>
        <v>0</v>
      </c>
    </row>
    <row r="2169" spans="1:18" x14ac:dyDescent="0.3">
      <c r="A2169">
        <f t="shared" si="167"/>
        <v>2152</v>
      </c>
      <c r="B2169" s="4"/>
      <c r="I2169" s="8"/>
      <c r="J2169" s="5"/>
      <c r="K2169" s="3"/>
      <c r="L2169" s="3" t="str">
        <f t="shared" si="169"/>
        <v/>
      </c>
      <c r="N2169" s="3" t="str">
        <f t="shared" si="168"/>
        <v/>
      </c>
      <c r="O2169" s="6" t="str">
        <f t="shared" si="166"/>
        <v/>
      </c>
      <c r="P2169" s="7">
        <f ca="1">SUMIFS($N$2:$N2169,$B$2:$B2169,"&lt;&gt;"&amp;B2169)+SUM($Q$2:$Q2169)</f>
        <v>135.05500000000001</v>
      </c>
      <c r="R2169" t="b">
        <f>AND(ISNUMBER(FIND($E2169,Tables!$I$2)), ISNUMBER(FIND($D2169,Tables!$J$2)), $E2169&lt;&gt;"")</f>
        <v>0</v>
      </c>
    </row>
    <row r="2170" spans="1:18" x14ac:dyDescent="0.3">
      <c r="A2170">
        <f t="shared" si="167"/>
        <v>2153</v>
      </c>
      <c r="B2170" s="4"/>
      <c r="I2170" s="8"/>
      <c r="J2170" s="5"/>
      <c r="K2170" s="3"/>
      <c r="L2170" s="3" t="str">
        <f t="shared" si="169"/>
        <v/>
      </c>
      <c r="N2170" s="3" t="str">
        <f t="shared" si="168"/>
        <v/>
      </c>
      <c r="O2170" s="6" t="str">
        <f t="shared" si="166"/>
        <v/>
      </c>
      <c r="P2170" s="7">
        <f ca="1">SUMIFS($N$2:$N2170,$B$2:$B2170,"&lt;&gt;"&amp;B2170)+SUM($Q$2:$Q2170)</f>
        <v>135.05500000000001</v>
      </c>
      <c r="R2170" t="b">
        <f>AND(ISNUMBER(FIND($E2170,Tables!$I$2)), ISNUMBER(FIND($D2170,Tables!$J$2)), $E2170&lt;&gt;"")</f>
        <v>0</v>
      </c>
    </row>
    <row r="2171" spans="1:18" x14ac:dyDescent="0.3">
      <c r="A2171">
        <f t="shared" si="167"/>
        <v>2154</v>
      </c>
      <c r="B2171" s="4"/>
      <c r="I2171" s="8"/>
      <c r="J2171" s="5"/>
      <c r="K2171" s="3"/>
      <c r="L2171" s="3" t="str">
        <f t="shared" si="169"/>
        <v/>
      </c>
      <c r="N2171" s="3" t="str">
        <f t="shared" si="168"/>
        <v/>
      </c>
      <c r="O2171" s="6" t="str">
        <f t="shared" si="166"/>
        <v/>
      </c>
      <c r="P2171" s="7">
        <f ca="1">SUMIFS($N$2:$N2171,$B$2:$B2171,"&lt;&gt;"&amp;B2171)+SUM($Q$2:$Q2171)</f>
        <v>135.05500000000001</v>
      </c>
      <c r="R2171" t="b">
        <f>AND(ISNUMBER(FIND($E2171,Tables!$I$2)), ISNUMBER(FIND($D2171,Tables!$J$2)), $E2171&lt;&gt;"")</f>
        <v>0</v>
      </c>
    </row>
    <row r="2172" spans="1:18" x14ac:dyDescent="0.3">
      <c r="A2172">
        <f t="shared" si="167"/>
        <v>2155</v>
      </c>
      <c r="B2172" s="4"/>
      <c r="I2172" s="8"/>
      <c r="J2172" s="5"/>
      <c r="K2172" s="3"/>
      <c r="L2172" s="3" t="str">
        <f t="shared" si="169"/>
        <v/>
      </c>
      <c r="N2172" s="3" t="str">
        <f t="shared" si="168"/>
        <v/>
      </c>
      <c r="O2172" s="6" t="str">
        <f t="shared" si="166"/>
        <v/>
      </c>
      <c r="P2172" s="7">
        <f ca="1">SUMIFS($N$2:$N2172,$B$2:$B2172,"&lt;&gt;"&amp;B2172)+SUM($Q$2:$Q2172)</f>
        <v>135.05500000000001</v>
      </c>
      <c r="R2172" t="b">
        <f>AND(ISNUMBER(FIND($E2172,Tables!$I$2)), ISNUMBER(FIND($D2172,Tables!$J$2)), $E2172&lt;&gt;"")</f>
        <v>0</v>
      </c>
    </row>
    <row r="2173" spans="1:18" x14ac:dyDescent="0.3">
      <c r="A2173">
        <f t="shared" si="167"/>
        <v>2156</v>
      </c>
      <c r="B2173" s="4"/>
      <c r="I2173" s="8"/>
      <c r="J2173" s="5"/>
      <c r="K2173" s="3"/>
      <c r="L2173" s="3" t="str">
        <f t="shared" si="169"/>
        <v/>
      </c>
      <c r="N2173" s="3" t="str">
        <f t="shared" si="168"/>
        <v/>
      </c>
      <c r="O2173" s="6" t="str">
        <f t="shared" si="166"/>
        <v/>
      </c>
      <c r="P2173" s="7">
        <f ca="1">SUMIFS($N$2:$N2173,$B$2:$B2173,"&lt;&gt;"&amp;B2173)+SUM($Q$2:$Q2173)</f>
        <v>135.05500000000001</v>
      </c>
      <c r="R2173" t="b">
        <f>AND(ISNUMBER(FIND($E2173,Tables!$I$2)), ISNUMBER(FIND($D2173,Tables!$J$2)), $E2173&lt;&gt;"")</f>
        <v>0</v>
      </c>
    </row>
    <row r="2174" spans="1:18" x14ac:dyDescent="0.3">
      <c r="A2174">
        <f t="shared" si="167"/>
        <v>2157</v>
      </c>
      <c r="B2174" s="4"/>
      <c r="I2174" s="8"/>
      <c r="J2174" s="5"/>
      <c r="K2174" s="3"/>
      <c r="L2174" s="3" t="str">
        <f t="shared" si="169"/>
        <v/>
      </c>
      <c r="N2174" s="3" t="str">
        <f t="shared" si="168"/>
        <v/>
      </c>
      <c r="O2174" s="6" t="str">
        <f t="shared" si="166"/>
        <v/>
      </c>
      <c r="P2174" s="7">
        <f ca="1">SUMIFS($N$2:$N2174,$B$2:$B2174,"&lt;&gt;"&amp;B2174)+SUM($Q$2:$Q2174)</f>
        <v>135.05500000000001</v>
      </c>
      <c r="R2174" t="b">
        <f>AND(ISNUMBER(FIND($E2174,Tables!$I$2)), ISNUMBER(FIND($D2174,Tables!$J$2)), $E2174&lt;&gt;"")</f>
        <v>0</v>
      </c>
    </row>
    <row r="2175" spans="1:18" x14ac:dyDescent="0.3">
      <c r="A2175">
        <f t="shared" si="167"/>
        <v>2158</v>
      </c>
      <c r="B2175" s="4"/>
      <c r="I2175" s="8"/>
      <c r="J2175" s="5"/>
      <c r="K2175" s="3"/>
      <c r="L2175" s="3" t="str">
        <f t="shared" si="169"/>
        <v/>
      </c>
      <c r="N2175" s="3" t="str">
        <f t="shared" si="168"/>
        <v/>
      </c>
      <c r="O2175" s="6" t="str">
        <f t="shared" si="166"/>
        <v/>
      </c>
      <c r="P2175" s="7">
        <f ca="1">SUMIFS($N$2:$N2175,$B$2:$B2175,"&lt;&gt;"&amp;B2175)+SUM($Q$2:$Q2175)</f>
        <v>135.05500000000001</v>
      </c>
      <c r="R2175" t="b">
        <f>AND(ISNUMBER(FIND($E2175,Tables!$I$2)), ISNUMBER(FIND($D2175,Tables!$J$2)), $E2175&lt;&gt;"")</f>
        <v>0</v>
      </c>
    </row>
    <row r="2176" spans="1:18" x14ac:dyDescent="0.3">
      <c r="A2176">
        <f t="shared" si="167"/>
        <v>2159</v>
      </c>
      <c r="B2176" s="4"/>
      <c r="I2176" s="8"/>
      <c r="J2176" s="5"/>
      <c r="K2176" s="3"/>
      <c r="L2176" s="3" t="str">
        <f t="shared" si="169"/>
        <v/>
      </c>
      <c r="N2176" s="3" t="str">
        <f t="shared" si="168"/>
        <v/>
      </c>
      <c r="O2176" s="6" t="str">
        <f t="shared" si="166"/>
        <v/>
      </c>
      <c r="P2176" s="7">
        <f ca="1">SUMIFS($N$2:$N2176,$B$2:$B2176,"&lt;&gt;"&amp;B2176)+SUM($Q$2:$Q2176)</f>
        <v>135.05500000000001</v>
      </c>
      <c r="R2176" t="b">
        <f>AND(ISNUMBER(FIND($E2176,Tables!$I$2)), ISNUMBER(FIND($D2176,Tables!$J$2)), $E2176&lt;&gt;"")</f>
        <v>0</v>
      </c>
    </row>
    <row r="2177" spans="1:18" x14ac:dyDescent="0.3">
      <c r="A2177">
        <f t="shared" si="167"/>
        <v>2160</v>
      </c>
      <c r="B2177" s="4"/>
      <c r="I2177" s="8"/>
      <c r="J2177" s="5"/>
      <c r="K2177" s="3"/>
      <c r="L2177" s="3" t="str">
        <f t="shared" si="169"/>
        <v/>
      </c>
      <c r="N2177" s="3" t="str">
        <f t="shared" si="168"/>
        <v/>
      </c>
      <c r="O2177" s="6" t="str">
        <f t="shared" si="166"/>
        <v/>
      </c>
      <c r="P2177" s="7">
        <f ca="1">SUMIFS($N$2:$N2177,$B$2:$B2177,"&lt;&gt;"&amp;B2177)+SUM($Q$2:$Q2177)</f>
        <v>135.05500000000001</v>
      </c>
      <c r="R2177" t="b">
        <f>AND(ISNUMBER(FIND($E2177,Tables!$I$2)), ISNUMBER(FIND($D2177,Tables!$J$2)), $E2177&lt;&gt;"")</f>
        <v>0</v>
      </c>
    </row>
    <row r="2178" spans="1:18" x14ac:dyDescent="0.3">
      <c r="A2178">
        <f t="shared" si="167"/>
        <v>2161</v>
      </c>
      <c r="B2178" s="4"/>
      <c r="I2178" s="8"/>
      <c r="J2178" s="5"/>
      <c r="K2178" s="3"/>
      <c r="L2178" s="3" t="str">
        <f t="shared" si="169"/>
        <v/>
      </c>
      <c r="N2178" s="3" t="str">
        <f t="shared" si="168"/>
        <v/>
      </c>
      <c r="O2178" s="6" t="str">
        <f t="shared" ref="O2178:O2241" si="170">IFERROR(K2178/VLOOKUP(_xlfn.MINIFS(A:A,B:B,B2178,C:C,C2178),A:P,16),"")</f>
        <v/>
      </c>
      <c r="P2178" s="7">
        <f ca="1">SUMIFS($N$2:$N2178,$B$2:$B2178,"&lt;&gt;"&amp;B2178)+SUM($Q$2:$Q2178)</f>
        <v>135.05500000000001</v>
      </c>
      <c r="R2178" t="b">
        <f>AND(ISNUMBER(FIND($E2178,Tables!$I$2)), ISNUMBER(FIND($D2178,Tables!$J$2)), $E2178&lt;&gt;"")</f>
        <v>0</v>
      </c>
    </row>
    <row r="2179" spans="1:18" x14ac:dyDescent="0.3">
      <c r="A2179">
        <f t="shared" si="167"/>
        <v>2162</v>
      </c>
      <c r="B2179" s="4"/>
      <c r="I2179" s="8"/>
      <c r="J2179" s="5"/>
      <c r="K2179" s="3"/>
      <c r="L2179" s="3" t="str">
        <f t="shared" si="169"/>
        <v/>
      </c>
      <c r="N2179" s="3" t="str">
        <f t="shared" si="168"/>
        <v/>
      </c>
      <c r="O2179" s="6" t="str">
        <f t="shared" si="170"/>
        <v/>
      </c>
      <c r="P2179" s="7">
        <f ca="1">SUMIFS($N$2:$N2179,$B$2:$B2179,"&lt;&gt;"&amp;B2179)+SUM($Q$2:$Q2179)</f>
        <v>135.05500000000001</v>
      </c>
      <c r="R2179" t="b">
        <f>AND(ISNUMBER(FIND($E2179,Tables!$I$2)), ISNUMBER(FIND($D2179,Tables!$J$2)), $E2179&lt;&gt;"")</f>
        <v>0</v>
      </c>
    </row>
    <row r="2180" spans="1:18" x14ac:dyDescent="0.3">
      <c r="A2180">
        <f t="shared" si="167"/>
        <v>2163</v>
      </c>
      <c r="B2180" s="4"/>
      <c r="I2180" s="8"/>
      <c r="J2180" s="5"/>
      <c r="K2180" s="3"/>
      <c r="L2180" s="3" t="str">
        <f t="shared" si="169"/>
        <v/>
      </c>
      <c r="N2180" s="3" t="str">
        <f t="shared" si="168"/>
        <v/>
      </c>
      <c r="O2180" s="6" t="str">
        <f t="shared" si="170"/>
        <v/>
      </c>
      <c r="P2180" s="7">
        <f ca="1">SUMIFS($N$2:$N2180,$B$2:$B2180,"&lt;&gt;"&amp;B2180)+SUM($Q$2:$Q2180)</f>
        <v>135.05500000000001</v>
      </c>
      <c r="R2180" t="b">
        <f>AND(ISNUMBER(FIND($E2180,Tables!$I$2)), ISNUMBER(FIND($D2180,Tables!$J$2)), $E2180&lt;&gt;"")</f>
        <v>0</v>
      </c>
    </row>
    <row r="2181" spans="1:18" x14ac:dyDescent="0.3">
      <c r="A2181">
        <f t="shared" si="167"/>
        <v>2164</v>
      </c>
      <c r="B2181" s="4"/>
      <c r="I2181" s="8"/>
      <c r="J2181" s="5"/>
      <c r="K2181" s="3"/>
      <c r="L2181" s="3" t="str">
        <f t="shared" si="169"/>
        <v/>
      </c>
      <c r="N2181" s="3" t="str">
        <f t="shared" si="168"/>
        <v/>
      </c>
      <c r="O2181" s="6" t="str">
        <f t="shared" si="170"/>
        <v/>
      </c>
      <c r="P2181" s="7">
        <f ca="1">SUMIFS($N$2:$N2181,$B$2:$B2181,"&lt;&gt;"&amp;B2181)+SUM($Q$2:$Q2181)</f>
        <v>135.05500000000001</v>
      </c>
      <c r="R2181" t="b">
        <f>AND(ISNUMBER(FIND($E2181,Tables!$I$2)), ISNUMBER(FIND($D2181,Tables!$J$2)), $E2181&lt;&gt;"")</f>
        <v>0</v>
      </c>
    </row>
    <row r="2182" spans="1:18" x14ac:dyDescent="0.3">
      <c r="A2182">
        <f t="shared" si="167"/>
        <v>2165</v>
      </c>
      <c r="B2182" s="4"/>
      <c r="I2182" s="8"/>
      <c r="J2182" s="5"/>
      <c r="K2182" s="3"/>
      <c r="L2182" s="3" t="str">
        <f t="shared" si="169"/>
        <v/>
      </c>
      <c r="N2182" s="3" t="str">
        <f t="shared" si="168"/>
        <v/>
      </c>
      <c r="O2182" s="6" t="str">
        <f t="shared" si="170"/>
        <v/>
      </c>
      <c r="P2182" s="7">
        <f ca="1">SUMIFS($N$2:$N2182,$B$2:$B2182,"&lt;&gt;"&amp;B2182)+SUM($Q$2:$Q2182)</f>
        <v>135.05500000000001</v>
      </c>
      <c r="R2182" t="b">
        <f>AND(ISNUMBER(FIND($E2182,Tables!$I$2)), ISNUMBER(FIND($D2182,Tables!$J$2)), $E2182&lt;&gt;"")</f>
        <v>0</v>
      </c>
    </row>
    <row r="2183" spans="1:18" x14ac:dyDescent="0.3">
      <c r="A2183">
        <f t="shared" si="167"/>
        <v>2166</v>
      </c>
      <c r="B2183" s="4"/>
      <c r="I2183" s="8"/>
      <c r="J2183" s="5"/>
      <c r="K2183" s="3"/>
      <c r="L2183" s="3" t="str">
        <f t="shared" si="169"/>
        <v/>
      </c>
      <c r="N2183" s="3" t="str">
        <f t="shared" si="168"/>
        <v/>
      </c>
      <c r="O2183" s="6" t="str">
        <f t="shared" si="170"/>
        <v/>
      </c>
      <c r="P2183" s="7">
        <f ca="1">SUMIFS($N$2:$N2183,$B$2:$B2183,"&lt;&gt;"&amp;B2183)+SUM($Q$2:$Q2183)</f>
        <v>135.05500000000001</v>
      </c>
      <c r="R2183" t="b">
        <f>AND(ISNUMBER(FIND($E2183,Tables!$I$2)), ISNUMBER(FIND($D2183,Tables!$J$2)), $E2183&lt;&gt;"")</f>
        <v>0</v>
      </c>
    </row>
    <row r="2184" spans="1:18" x14ac:dyDescent="0.3">
      <c r="A2184">
        <f t="shared" si="167"/>
        <v>2167</v>
      </c>
      <c r="B2184" s="4"/>
      <c r="I2184" s="8"/>
      <c r="J2184" s="5"/>
      <c r="K2184" s="3"/>
      <c r="L2184" s="3" t="str">
        <f t="shared" si="169"/>
        <v/>
      </c>
      <c r="N2184" s="3" t="str">
        <f t="shared" si="168"/>
        <v/>
      </c>
      <c r="O2184" s="6" t="str">
        <f t="shared" si="170"/>
        <v/>
      </c>
      <c r="P2184" s="7">
        <f ca="1">SUMIFS($N$2:$N2184,$B$2:$B2184,"&lt;&gt;"&amp;B2184)+SUM($Q$2:$Q2184)</f>
        <v>135.05500000000001</v>
      </c>
      <c r="R2184" t="b">
        <f>AND(ISNUMBER(FIND($E2184,Tables!$I$2)), ISNUMBER(FIND($D2184,Tables!$J$2)), $E2184&lt;&gt;"")</f>
        <v>0</v>
      </c>
    </row>
    <row r="2185" spans="1:18" x14ac:dyDescent="0.3">
      <c r="A2185">
        <f t="shared" si="167"/>
        <v>2168</v>
      </c>
      <c r="B2185" s="4"/>
      <c r="I2185" s="8"/>
      <c r="J2185" s="5"/>
      <c r="K2185" s="3"/>
      <c r="L2185" s="3" t="str">
        <f t="shared" si="169"/>
        <v/>
      </c>
      <c r="N2185" s="3" t="str">
        <f t="shared" si="168"/>
        <v/>
      </c>
      <c r="O2185" s="6" t="str">
        <f t="shared" si="170"/>
        <v/>
      </c>
      <c r="P2185" s="7">
        <f ca="1">SUMIFS($N$2:$N2185,$B$2:$B2185,"&lt;&gt;"&amp;B2185)+SUM($Q$2:$Q2185)</f>
        <v>135.05500000000001</v>
      </c>
      <c r="R2185" t="b">
        <f>AND(ISNUMBER(FIND($E2185,Tables!$I$2)), ISNUMBER(FIND($D2185,Tables!$J$2)), $E2185&lt;&gt;"")</f>
        <v>0</v>
      </c>
    </row>
    <row r="2186" spans="1:18" x14ac:dyDescent="0.3">
      <c r="A2186">
        <f t="shared" si="167"/>
        <v>2169</v>
      </c>
      <c r="B2186" s="4"/>
      <c r="I2186" s="8"/>
      <c r="J2186" s="5"/>
      <c r="K2186" s="3"/>
      <c r="L2186" s="3" t="str">
        <f t="shared" si="169"/>
        <v/>
      </c>
      <c r="N2186" s="3" t="str">
        <f t="shared" si="168"/>
        <v/>
      </c>
      <c r="O2186" s="6" t="str">
        <f t="shared" si="170"/>
        <v/>
      </c>
      <c r="P2186" s="7">
        <f ca="1">SUMIFS($N$2:$N2186,$B$2:$B2186,"&lt;&gt;"&amp;B2186)+SUM($Q$2:$Q2186)</f>
        <v>135.05500000000001</v>
      </c>
      <c r="R2186" t="b">
        <f>AND(ISNUMBER(FIND($E2186,Tables!$I$2)), ISNUMBER(FIND($D2186,Tables!$J$2)), $E2186&lt;&gt;"")</f>
        <v>0</v>
      </c>
    </row>
    <row r="2187" spans="1:18" x14ac:dyDescent="0.3">
      <c r="A2187">
        <f t="shared" si="167"/>
        <v>2170</v>
      </c>
      <c r="B2187" s="4"/>
      <c r="I2187" s="8"/>
      <c r="J2187" s="5"/>
      <c r="K2187" s="3"/>
      <c r="L2187" s="3" t="str">
        <f t="shared" si="169"/>
        <v/>
      </c>
      <c r="N2187" s="3" t="str">
        <f t="shared" si="168"/>
        <v/>
      </c>
      <c r="O2187" s="6" t="str">
        <f t="shared" si="170"/>
        <v/>
      </c>
      <c r="P2187" s="7">
        <f ca="1">SUMIFS($N$2:$N2187,$B$2:$B2187,"&lt;&gt;"&amp;B2187)+SUM($Q$2:$Q2187)</f>
        <v>135.05500000000001</v>
      </c>
      <c r="R2187" t="b">
        <f>AND(ISNUMBER(FIND($E2187,Tables!$I$2)), ISNUMBER(FIND($D2187,Tables!$J$2)), $E2187&lt;&gt;"")</f>
        <v>0</v>
      </c>
    </row>
    <row r="2188" spans="1:18" x14ac:dyDescent="0.3">
      <c r="A2188">
        <f t="shared" si="167"/>
        <v>2171</v>
      </c>
      <c r="B2188" s="4"/>
      <c r="I2188" s="8"/>
      <c r="J2188" s="5"/>
      <c r="K2188" s="3"/>
      <c r="L2188" s="3" t="str">
        <f t="shared" si="169"/>
        <v/>
      </c>
      <c r="N2188" s="3" t="str">
        <f t="shared" si="168"/>
        <v/>
      </c>
      <c r="O2188" s="6" t="str">
        <f t="shared" si="170"/>
        <v/>
      </c>
      <c r="P2188" s="7">
        <f ca="1">SUMIFS($N$2:$N2188,$B$2:$B2188,"&lt;&gt;"&amp;B2188)+SUM($Q$2:$Q2188)</f>
        <v>135.05500000000001</v>
      </c>
      <c r="R2188" t="b">
        <f>AND(ISNUMBER(FIND($E2188,Tables!$I$2)), ISNUMBER(FIND($D2188,Tables!$J$2)), $E2188&lt;&gt;"")</f>
        <v>0</v>
      </c>
    </row>
    <row r="2189" spans="1:18" x14ac:dyDescent="0.3">
      <c r="A2189">
        <f t="shared" si="167"/>
        <v>2172</v>
      </c>
      <c r="B2189" s="4"/>
      <c r="I2189" s="8"/>
      <c r="J2189" s="5"/>
      <c r="K2189" s="3"/>
      <c r="L2189" s="3" t="str">
        <f t="shared" si="169"/>
        <v/>
      </c>
      <c r="N2189" s="3" t="str">
        <f t="shared" si="168"/>
        <v/>
      </c>
      <c r="O2189" s="6" t="str">
        <f t="shared" si="170"/>
        <v/>
      </c>
      <c r="P2189" s="7">
        <f ca="1">SUMIFS($N$2:$N2189,$B$2:$B2189,"&lt;&gt;"&amp;B2189)+SUM($Q$2:$Q2189)</f>
        <v>135.05500000000001</v>
      </c>
      <c r="R2189" t="b">
        <f>AND(ISNUMBER(FIND($E2189,Tables!$I$2)), ISNUMBER(FIND($D2189,Tables!$J$2)), $E2189&lt;&gt;"")</f>
        <v>0</v>
      </c>
    </row>
    <row r="2190" spans="1:18" x14ac:dyDescent="0.3">
      <c r="A2190">
        <f t="shared" si="167"/>
        <v>2173</v>
      </c>
      <c r="B2190" s="4"/>
      <c r="I2190" s="8"/>
      <c r="J2190" s="5"/>
      <c r="K2190" s="3"/>
      <c r="L2190" s="3" t="str">
        <f t="shared" si="169"/>
        <v/>
      </c>
      <c r="N2190" s="3" t="str">
        <f t="shared" si="168"/>
        <v/>
      </c>
      <c r="O2190" s="6" t="str">
        <f t="shared" si="170"/>
        <v/>
      </c>
      <c r="P2190" s="7">
        <f ca="1">SUMIFS($N$2:$N2190,$B$2:$B2190,"&lt;&gt;"&amp;B2190)+SUM($Q$2:$Q2190)</f>
        <v>135.05500000000001</v>
      </c>
      <c r="R2190" t="b">
        <f>AND(ISNUMBER(FIND($E2190,Tables!$I$2)), ISNUMBER(FIND($D2190,Tables!$J$2)), $E2190&lt;&gt;"")</f>
        <v>0</v>
      </c>
    </row>
    <row r="2191" spans="1:18" x14ac:dyDescent="0.3">
      <c r="A2191">
        <f t="shared" si="167"/>
        <v>2174</v>
      </c>
      <c r="B2191" s="4"/>
      <c r="I2191" s="8"/>
      <c r="J2191" s="5"/>
      <c r="K2191" s="3"/>
      <c r="L2191" s="3" t="str">
        <f t="shared" si="169"/>
        <v/>
      </c>
      <c r="N2191" s="3" t="str">
        <f t="shared" si="168"/>
        <v/>
      </c>
      <c r="O2191" s="6" t="str">
        <f t="shared" si="170"/>
        <v/>
      </c>
      <c r="P2191" s="7">
        <f ca="1">SUMIFS($N$2:$N2191,$B$2:$B2191,"&lt;&gt;"&amp;B2191)+SUM($Q$2:$Q2191)</f>
        <v>135.05500000000001</v>
      </c>
      <c r="R2191" t="b">
        <f>AND(ISNUMBER(FIND($E2191,Tables!$I$2)), ISNUMBER(FIND($D2191,Tables!$J$2)), $E2191&lt;&gt;"")</f>
        <v>0</v>
      </c>
    </row>
    <row r="2192" spans="1:18" x14ac:dyDescent="0.3">
      <c r="A2192">
        <f t="shared" si="167"/>
        <v>2175</v>
      </c>
      <c r="B2192" s="4"/>
      <c r="I2192" s="8"/>
      <c r="J2192" s="5"/>
      <c r="K2192" s="3"/>
      <c r="L2192" s="3" t="str">
        <f t="shared" si="169"/>
        <v/>
      </c>
      <c r="N2192" s="3" t="str">
        <f t="shared" si="168"/>
        <v/>
      </c>
      <c r="O2192" s="6" t="str">
        <f t="shared" si="170"/>
        <v/>
      </c>
      <c r="P2192" s="7">
        <f ca="1">SUMIFS($N$2:$N2192,$B$2:$B2192,"&lt;&gt;"&amp;B2192)+SUM($Q$2:$Q2192)</f>
        <v>135.05500000000001</v>
      </c>
      <c r="R2192" t="b">
        <f>AND(ISNUMBER(FIND($E2192,Tables!$I$2)), ISNUMBER(FIND($D2192,Tables!$J$2)), $E2192&lt;&gt;"")</f>
        <v>0</v>
      </c>
    </row>
    <row r="2193" spans="1:18" x14ac:dyDescent="0.3">
      <c r="A2193">
        <f t="shared" si="167"/>
        <v>2176</v>
      </c>
      <c r="B2193" s="4"/>
      <c r="I2193" s="8"/>
      <c r="J2193" s="5"/>
      <c r="K2193" s="3"/>
      <c r="L2193" s="3" t="str">
        <f t="shared" si="169"/>
        <v/>
      </c>
      <c r="N2193" s="3" t="str">
        <f t="shared" si="168"/>
        <v/>
      </c>
      <c r="O2193" s="6" t="str">
        <f t="shared" si="170"/>
        <v/>
      </c>
      <c r="P2193" s="7">
        <f ca="1">SUMIFS($N$2:$N2193,$B$2:$B2193,"&lt;&gt;"&amp;B2193)+SUM($Q$2:$Q2193)</f>
        <v>135.05500000000001</v>
      </c>
      <c r="R2193" t="b">
        <f>AND(ISNUMBER(FIND($E2193,Tables!$I$2)), ISNUMBER(FIND($D2193,Tables!$J$2)), $E2193&lt;&gt;"")</f>
        <v>0</v>
      </c>
    </row>
    <row r="2194" spans="1:18" x14ac:dyDescent="0.3">
      <c r="A2194">
        <f t="shared" si="167"/>
        <v>2177</v>
      </c>
      <c r="B2194" s="4"/>
      <c r="I2194" s="8"/>
      <c r="J2194" s="5"/>
      <c r="K2194" s="3"/>
      <c r="L2194" s="3" t="str">
        <f t="shared" si="169"/>
        <v/>
      </c>
      <c r="N2194" s="3" t="str">
        <f t="shared" si="168"/>
        <v/>
      </c>
      <c r="O2194" s="6" t="str">
        <f t="shared" si="170"/>
        <v/>
      </c>
      <c r="P2194" s="7">
        <f ca="1">SUMIFS($N$2:$N2194,$B$2:$B2194,"&lt;&gt;"&amp;B2194)+SUM($Q$2:$Q2194)</f>
        <v>135.05500000000001</v>
      </c>
      <c r="R2194" t="b">
        <f>AND(ISNUMBER(FIND($E2194,Tables!$I$2)), ISNUMBER(FIND($D2194,Tables!$J$2)), $E2194&lt;&gt;"")</f>
        <v>0</v>
      </c>
    </row>
    <row r="2195" spans="1:18" x14ac:dyDescent="0.3">
      <c r="A2195">
        <f t="shared" si="167"/>
        <v>2178</v>
      </c>
      <c r="B2195" s="4"/>
      <c r="I2195" s="8"/>
      <c r="J2195" s="5"/>
      <c r="K2195" s="3"/>
      <c r="L2195" s="3" t="str">
        <f t="shared" si="169"/>
        <v/>
      </c>
      <c r="N2195" s="3" t="str">
        <f t="shared" si="168"/>
        <v/>
      </c>
      <c r="O2195" s="6" t="str">
        <f t="shared" si="170"/>
        <v/>
      </c>
      <c r="P2195" s="7">
        <f ca="1">SUMIFS($N$2:$N2195,$B$2:$B2195,"&lt;&gt;"&amp;B2195)+SUM($Q$2:$Q2195)</f>
        <v>135.05500000000001</v>
      </c>
      <c r="R2195" t="b">
        <f>AND(ISNUMBER(FIND($E2195,Tables!$I$2)), ISNUMBER(FIND($D2195,Tables!$J$2)), $E2195&lt;&gt;"")</f>
        <v>0</v>
      </c>
    </row>
    <row r="2196" spans="1:18" x14ac:dyDescent="0.3">
      <c r="A2196">
        <f t="shared" si="167"/>
        <v>2179</v>
      </c>
      <c r="B2196" s="4"/>
      <c r="I2196" s="8"/>
      <c r="J2196" s="5"/>
      <c r="K2196" s="3"/>
      <c r="L2196" s="3" t="str">
        <f t="shared" si="169"/>
        <v/>
      </c>
      <c r="N2196" s="3" t="str">
        <f t="shared" si="168"/>
        <v/>
      </c>
      <c r="O2196" s="6" t="str">
        <f t="shared" si="170"/>
        <v/>
      </c>
      <c r="P2196" s="7">
        <f ca="1">SUMIFS($N$2:$N2196,$B$2:$B2196,"&lt;&gt;"&amp;B2196)+SUM($Q$2:$Q2196)</f>
        <v>135.05500000000001</v>
      </c>
      <c r="R2196" t="b">
        <f>AND(ISNUMBER(FIND($E2196,Tables!$I$2)), ISNUMBER(FIND($D2196,Tables!$J$2)), $E2196&lt;&gt;"")</f>
        <v>0</v>
      </c>
    </row>
    <row r="2197" spans="1:18" x14ac:dyDescent="0.3">
      <c r="A2197">
        <f t="shared" si="167"/>
        <v>2180</v>
      </c>
      <c r="B2197" s="4"/>
      <c r="I2197" s="8"/>
      <c r="J2197" s="5"/>
      <c r="K2197" s="3"/>
      <c r="L2197" s="3" t="str">
        <f t="shared" si="169"/>
        <v/>
      </c>
      <c r="N2197" s="3" t="str">
        <f t="shared" si="168"/>
        <v/>
      </c>
      <c r="O2197" s="6" t="str">
        <f t="shared" si="170"/>
        <v/>
      </c>
      <c r="P2197" s="7">
        <f ca="1">SUMIFS($N$2:$N2197,$B$2:$B2197,"&lt;&gt;"&amp;B2197)+SUM($Q$2:$Q2197)</f>
        <v>135.05500000000001</v>
      </c>
      <c r="R2197" t="b">
        <f>AND(ISNUMBER(FIND($E2197,Tables!$I$2)), ISNUMBER(FIND($D2197,Tables!$J$2)), $E2197&lt;&gt;"")</f>
        <v>0</v>
      </c>
    </row>
    <row r="2198" spans="1:18" x14ac:dyDescent="0.3">
      <c r="A2198">
        <f t="shared" si="167"/>
        <v>2181</v>
      </c>
      <c r="B2198" s="4"/>
      <c r="I2198" s="8"/>
      <c r="J2198" s="5"/>
      <c r="K2198" s="3"/>
      <c r="L2198" s="3" t="str">
        <f t="shared" si="169"/>
        <v/>
      </c>
      <c r="N2198" s="3" t="str">
        <f t="shared" si="168"/>
        <v/>
      </c>
      <c r="O2198" s="6" t="str">
        <f t="shared" si="170"/>
        <v/>
      </c>
      <c r="P2198" s="7">
        <f ca="1">SUMIFS($N$2:$N2198,$B$2:$B2198,"&lt;&gt;"&amp;B2198)+SUM($Q$2:$Q2198)</f>
        <v>135.05500000000001</v>
      </c>
      <c r="R2198" t="b">
        <f>AND(ISNUMBER(FIND($E2198,Tables!$I$2)), ISNUMBER(FIND($D2198,Tables!$J$2)), $E2198&lt;&gt;"")</f>
        <v>0</v>
      </c>
    </row>
    <row r="2199" spans="1:18" x14ac:dyDescent="0.3">
      <c r="A2199">
        <f t="shared" si="167"/>
        <v>2182</v>
      </c>
      <c r="B2199" s="4"/>
      <c r="I2199" s="8"/>
      <c r="J2199" s="5"/>
      <c r="K2199" s="3"/>
      <c r="L2199" s="3" t="str">
        <f t="shared" si="169"/>
        <v/>
      </c>
      <c r="N2199" s="3" t="str">
        <f t="shared" si="168"/>
        <v/>
      </c>
      <c r="O2199" s="6" t="str">
        <f t="shared" si="170"/>
        <v/>
      </c>
      <c r="P2199" s="7">
        <f ca="1">SUMIFS($N$2:$N2199,$B$2:$B2199,"&lt;&gt;"&amp;B2199)+SUM($Q$2:$Q2199)</f>
        <v>135.05500000000001</v>
      </c>
      <c r="R2199" t="b">
        <f>AND(ISNUMBER(FIND($E2199,Tables!$I$2)), ISNUMBER(FIND($D2199,Tables!$J$2)), $E2199&lt;&gt;"")</f>
        <v>0</v>
      </c>
    </row>
    <row r="2200" spans="1:18" x14ac:dyDescent="0.3">
      <c r="A2200">
        <f t="shared" si="167"/>
        <v>2183</v>
      </c>
      <c r="B2200" s="4"/>
      <c r="I2200" s="8"/>
      <c r="J2200" s="5"/>
      <c r="K2200" s="3"/>
      <c r="L2200" s="3" t="str">
        <f t="shared" si="169"/>
        <v/>
      </c>
      <c r="N2200" s="3" t="str">
        <f t="shared" si="168"/>
        <v/>
      </c>
      <c r="O2200" s="6" t="str">
        <f t="shared" si="170"/>
        <v/>
      </c>
      <c r="P2200" s="7">
        <f ca="1">SUMIFS($N$2:$N2200,$B$2:$B2200,"&lt;&gt;"&amp;B2200)+SUM($Q$2:$Q2200)</f>
        <v>135.05500000000001</v>
      </c>
      <c r="R2200" t="b">
        <f>AND(ISNUMBER(FIND($E2200,Tables!$I$2)), ISNUMBER(FIND($D2200,Tables!$J$2)), $E2200&lt;&gt;"")</f>
        <v>0</v>
      </c>
    </row>
    <row r="2201" spans="1:18" x14ac:dyDescent="0.3">
      <c r="A2201">
        <f t="shared" si="167"/>
        <v>2184</v>
      </c>
      <c r="B2201" s="4"/>
      <c r="I2201" s="8"/>
      <c r="J2201" s="5"/>
      <c r="K2201" s="3"/>
      <c r="L2201" s="3" t="str">
        <f t="shared" si="169"/>
        <v/>
      </c>
      <c r="N2201" s="3" t="str">
        <f t="shared" si="168"/>
        <v/>
      </c>
      <c r="O2201" s="6" t="str">
        <f t="shared" si="170"/>
        <v/>
      </c>
      <c r="P2201" s="7">
        <f ca="1">SUMIFS($N$2:$N2201,$B$2:$B2201,"&lt;&gt;"&amp;B2201)+SUM($Q$2:$Q2201)</f>
        <v>135.05500000000001</v>
      </c>
      <c r="R2201" t="b">
        <f>AND(ISNUMBER(FIND($E2201,Tables!$I$2)), ISNUMBER(FIND($D2201,Tables!$J$2)), $E2201&lt;&gt;"")</f>
        <v>0</v>
      </c>
    </row>
    <row r="2202" spans="1:18" x14ac:dyDescent="0.3">
      <c r="A2202">
        <f t="shared" si="167"/>
        <v>2185</v>
      </c>
      <c r="B2202" s="4"/>
      <c r="I2202" s="8"/>
      <c r="J2202" s="5"/>
      <c r="K2202" s="3"/>
      <c r="L2202" s="3" t="str">
        <f t="shared" si="169"/>
        <v/>
      </c>
      <c r="N2202" s="3" t="str">
        <f t="shared" si="168"/>
        <v/>
      </c>
      <c r="O2202" s="6" t="str">
        <f t="shared" si="170"/>
        <v/>
      </c>
      <c r="P2202" s="7">
        <f ca="1">SUMIFS($N$2:$N2202,$B$2:$B2202,"&lt;&gt;"&amp;B2202)+SUM($Q$2:$Q2202)</f>
        <v>135.05500000000001</v>
      </c>
      <c r="R2202" t="b">
        <f>AND(ISNUMBER(FIND($E2202,Tables!$I$2)), ISNUMBER(FIND($D2202,Tables!$J$2)), $E2202&lt;&gt;"")</f>
        <v>0</v>
      </c>
    </row>
    <row r="2203" spans="1:18" x14ac:dyDescent="0.3">
      <c r="A2203">
        <f t="shared" si="167"/>
        <v>2186</v>
      </c>
      <c r="B2203" s="4"/>
      <c r="I2203" s="8"/>
      <c r="J2203" s="5"/>
      <c r="K2203" s="3"/>
      <c r="L2203" s="3" t="str">
        <f t="shared" si="169"/>
        <v/>
      </c>
      <c r="N2203" s="3" t="str">
        <f t="shared" si="168"/>
        <v/>
      </c>
      <c r="O2203" s="6" t="str">
        <f t="shared" si="170"/>
        <v/>
      </c>
      <c r="P2203" s="7">
        <f ca="1">SUMIFS($N$2:$N2203,$B$2:$B2203,"&lt;&gt;"&amp;B2203)+SUM($Q$2:$Q2203)</f>
        <v>135.05500000000001</v>
      </c>
      <c r="R2203" t="b">
        <f>AND(ISNUMBER(FIND($E2203,Tables!$I$2)), ISNUMBER(FIND($D2203,Tables!$J$2)), $E2203&lt;&gt;"")</f>
        <v>0</v>
      </c>
    </row>
    <row r="2204" spans="1:18" x14ac:dyDescent="0.3">
      <c r="A2204">
        <f t="shared" si="167"/>
        <v>2187</v>
      </c>
      <c r="B2204" s="4"/>
      <c r="I2204" s="8"/>
      <c r="J2204" s="5"/>
      <c r="K2204" s="3"/>
      <c r="L2204" s="3" t="str">
        <f t="shared" si="169"/>
        <v/>
      </c>
      <c r="N2204" s="3" t="str">
        <f t="shared" si="168"/>
        <v/>
      </c>
      <c r="O2204" s="6" t="str">
        <f t="shared" si="170"/>
        <v/>
      </c>
      <c r="P2204" s="7">
        <f ca="1">SUMIFS($N$2:$N2204,$B$2:$B2204,"&lt;&gt;"&amp;B2204)+SUM($Q$2:$Q2204)</f>
        <v>135.05500000000001</v>
      </c>
      <c r="R2204" t="b">
        <f>AND(ISNUMBER(FIND($E2204,Tables!$I$2)), ISNUMBER(FIND($D2204,Tables!$J$2)), $E2204&lt;&gt;"")</f>
        <v>0</v>
      </c>
    </row>
    <row r="2205" spans="1:18" x14ac:dyDescent="0.3">
      <c r="A2205">
        <f t="shared" si="167"/>
        <v>2188</v>
      </c>
      <c r="B2205" s="4"/>
      <c r="I2205" s="8"/>
      <c r="J2205" s="5"/>
      <c r="K2205" s="3"/>
      <c r="L2205" s="3" t="str">
        <f t="shared" si="169"/>
        <v/>
      </c>
      <c r="N2205" s="3" t="str">
        <f t="shared" si="168"/>
        <v/>
      </c>
      <c r="O2205" s="6" t="str">
        <f t="shared" si="170"/>
        <v/>
      </c>
      <c r="P2205" s="7">
        <f ca="1">SUMIFS($N$2:$N2205,$B$2:$B2205,"&lt;&gt;"&amp;B2205)+SUM($Q$2:$Q2205)</f>
        <v>135.05500000000001</v>
      </c>
      <c r="R2205" t="b">
        <f>AND(ISNUMBER(FIND($E2205,Tables!$I$2)), ISNUMBER(FIND($D2205,Tables!$J$2)), $E2205&lt;&gt;"")</f>
        <v>0</v>
      </c>
    </row>
    <row r="2206" spans="1:18" x14ac:dyDescent="0.3">
      <c r="A2206">
        <f t="shared" si="167"/>
        <v>2189</v>
      </c>
      <c r="B2206" s="4"/>
      <c r="I2206" s="8"/>
      <c r="J2206" s="5"/>
      <c r="K2206" s="3"/>
      <c r="L2206" s="3" t="str">
        <f t="shared" si="169"/>
        <v/>
      </c>
      <c r="N2206" s="3" t="str">
        <f t="shared" si="168"/>
        <v/>
      </c>
      <c r="O2206" s="6" t="str">
        <f t="shared" si="170"/>
        <v/>
      </c>
      <c r="P2206" s="7">
        <f ca="1">SUMIFS($N$2:$N2206,$B$2:$B2206,"&lt;&gt;"&amp;B2206)+SUM($Q$2:$Q2206)</f>
        <v>135.05500000000001</v>
      </c>
      <c r="R2206" t="b">
        <f>AND(ISNUMBER(FIND($E2206,Tables!$I$2)), ISNUMBER(FIND($D2206,Tables!$J$2)), $E2206&lt;&gt;"")</f>
        <v>0</v>
      </c>
    </row>
    <row r="2207" spans="1:18" x14ac:dyDescent="0.3">
      <c r="A2207">
        <f t="shared" si="167"/>
        <v>2190</v>
      </c>
      <c r="B2207" s="4"/>
      <c r="I2207" s="8"/>
      <c r="J2207" s="5"/>
      <c r="K2207" s="3"/>
      <c r="L2207" s="3" t="str">
        <f t="shared" si="169"/>
        <v/>
      </c>
      <c r="N2207" s="3" t="str">
        <f t="shared" si="168"/>
        <v/>
      </c>
      <c r="O2207" s="6" t="str">
        <f t="shared" si="170"/>
        <v/>
      </c>
      <c r="P2207" s="7">
        <f ca="1">SUMIFS($N$2:$N2207,$B$2:$B2207,"&lt;&gt;"&amp;B2207)+SUM($Q$2:$Q2207)</f>
        <v>135.05500000000001</v>
      </c>
      <c r="R2207" t="b">
        <f>AND(ISNUMBER(FIND($E2207,Tables!$I$2)), ISNUMBER(FIND($D2207,Tables!$J$2)), $E2207&lt;&gt;"")</f>
        <v>0</v>
      </c>
    </row>
    <row r="2208" spans="1:18" x14ac:dyDescent="0.3">
      <c r="A2208">
        <f t="shared" si="167"/>
        <v>2191</v>
      </c>
      <c r="B2208" s="4"/>
      <c r="I2208" s="8"/>
      <c r="J2208" s="5"/>
      <c r="K2208" s="3"/>
      <c r="L2208" s="3" t="str">
        <f t="shared" si="169"/>
        <v/>
      </c>
      <c r="N2208" s="3" t="str">
        <f t="shared" si="168"/>
        <v/>
      </c>
      <c r="O2208" s="6" t="str">
        <f t="shared" si="170"/>
        <v/>
      </c>
      <c r="P2208" s="7">
        <f ca="1">SUMIFS($N$2:$N2208,$B$2:$B2208,"&lt;&gt;"&amp;B2208)+SUM($Q$2:$Q2208)</f>
        <v>135.05500000000001</v>
      </c>
      <c r="R2208" t="b">
        <f>AND(ISNUMBER(FIND($E2208,Tables!$I$2)), ISNUMBER(FIND($D2208,Tables!$J$2)), $E2208&lt;&gt;"")</f>
        <v>0</v>
      </c>
    </row>
    <row r="2209" spans="1:18" x14ac:dyDescent="0.3">
      <c r="A2209">
        <f t="shared" si="167"/>
        <v>2192</v>
      </c>
      <c r="B2209" s="4"/>
      <c r="I2209" s="8"/>
      <c r="J2209" s="5"/>
      <c r="K2209" s="3"/>
      <c r="L2209" s="3" t="str">
        <f t="shared" si="169"/>
        <v/>
      </c>
      <c r="N2209" s="3" t="str">
        <f t="shared" si="168"/>
        <v/>
      </c>
      <c r="O2209" s="6" t="str">
        <f t="shared" si="170"/>
        <v/>
      </c>
      <c r="P2209" s="7">
        <f ca="1">SUMIFS($N$2:$N2209,$B$2:$B2209,"&lt;&gt;"&amp;B2209)+SUM($Q$2:$Q2209)</f>
        <v>135.05500000000001</v>
      </c>
      <c r="R2209" t="b">
        <f>AND(ISNUMBER(FIND($E2209,Tables!$I$2)), ISNUMBER(FIND($D2209,Tables!$J$2)), $E2209&lt;&gt;"")</f>
        <v>0</v>
      </c>
    </row>
    <row r="2210" spans="1:18" x14ac:dyDescent="0.3">
      <c r="A2210">
        <f t="shared" ref="A2210:A2273" si="171">IF(AND(B2210="", D2210&lt;&gt;""), A2209, A2209+1)</f>
        <v>2193</v>
      </c>
      <c r="B2210" s="4"/>
      <c r="I2210" s="8"/>
      <c r="J2210" s="5"/>
      <c r="K2210" s="3"/>
      <c r="L2210" s="3" t="str">
        <f t="shared" si="169"/>
        <v/>
      </c>
      <c r="N2210" s="3" t="str">
        <f t="shared" si="168"/>
        <v/>
      </c>
      <c r="O2210" s="6" t="str">
        <f t="shared" si="170"/>
        <v/>
      </c>
      <c r="P2210" s="7">
        <f ca="1">SUMIFS($N$2:$N2210,$B$2:$B2210,"&lt;&gt;"&amp;B2210)+SUM($Q$2:$Q2210)</f>
        <v>135.05500000000001</v>
      </c>
      <c r="R2210" t="b">
        <f>AND(ISNUMBER(FIND($E2210,Tables!$I$2)), ISNUMBER(FIND($D2210,Tables!$J$2)), $E2210&lt;&gt;"")</f>
        <v>0</v>
      </c>
    </row>
    <row r="2211" spans="1:18" x14ac:dyDescent="0.3">
      <c r="A2211">
        <f t="shared" si="171"/>
        <v>2194</v>
      </c>
      <c r="B2211" s="4"/>
      <c r="I2211" s="8"/>
      <c r="J2211" s="5"/>
      <c r="K2211" s="3"/>
      <c r="L2211" s="3" t="str">
        <f t="shared" si="169"/>
        <v/>
      </c>
      <c r="N2211" s="3" t="str">
        <f t="shared" si="168"/>
        <v/>
      </c>
      <c r="O2211" s="6" t="str">
        <f t="shared" si="170"/>
        <v/>
      </c>
      <c r="P2211" s="7">
        <f ca="1">SUMIFS($N$2:$N2211,$B$2:$B2211,"&lt;&gt;"&amp;B2211)+SUM($Q$2:$Q2211)</f>
        <v>135.05500000000001</v>
      </c>
      <c r="R2211" t="b">
        <f>AND(ISNUMBER(FIND($E2211,Tables!$I$2)), ISNUMBER(FIND($D2211,Tables!$J$2)), $E2211&lt;&gt;"")</f>
        <v>0</v>
      </c>
    </row>
    <row r="2212" spans="1:18" x14ac:dyDescent="0.3">
      <c r="A2212">
        <f t="shared" si="171"/>
        <v>2195</v>
      </c>
      <c r="B2212" s="4"/>
      <c r="I2212" s="8"/>
      <c r="J2212" s="5"/>
      <c r="K2212" s="3"/>
      <c r="L2212" s="3" t="str">
        <f t="shared" si="169"/>
        <v/>
      </c>
      <c r="N2212" s="3" t="str">
        <f t="shared" si="168"/>
        <v/>
      </c>
      <c r="O2212" s="6" t="str">
        <f t="shared" si="170"/>
        <v/>
      </c>
      <c r="P2212" s="7">
        <f ca="1">SUMIFS($N$2:$N2212,$B$2:$B2212,"&lt;&gt;"&amp;B2212)+SUM($Q$2:$Q2212)</f>
        <v>135.05500000000001</v>
      </c>
      <c r="R2212" t="b">
        <f>AND(ISNUMBER(FIND($E2212,Tables!$I$2)), ISNUMBER(FIND($D2212,Tables!$J$2)), $E2212&lt;&gt;"")</f>
        <v>0</v>
      </c>
    </row>
    <row r="2213" spans="1:18" x14ac:dyDescent="0.3">
      <c r="A2213">
        <f t="shared" si="171"/>
        <v>2196</v>
      </c>
      <c r="B2213" s="4"/>
      <c r="I2213" s="8"/>
      <c r="J2213" s="5"/>
      <c r="K2213" s="3"/>
      <c r="L2213" s="3" t="str">
        <f t="shared" si="169"/>
        <v/>
      </c>
      <c r="N2213" s="3" t="str">
        <f t="shared" si="168"/>
        <v/>
      </c>
      <c r="O2213" s="6" t="str">
        <f t="shared" si="170"/>
        <v/>
      </c>
      <c r="P2213" s="7">
        <f ca="1">SUMIFS($N$2:$N2213,$B$2:$B2213,"&lt;&gt;"&amp;B2213)+SUM($Q$2:$Q2213)</f>
        <v>135.05500000000001</v>
      </c>
      <c r="R2213" t="b">
        <f>AND(ISNUMBER(FIND($E2213,Tables!$I$2)), ISNUMBER(FIND($D2213,Tables!$J$2)), $E2213&lt;&gt;"")</f>
        <v>0</v>
      </c>
    </row>
    <row r="2214" spans="1:18" x14ac:dyDescent="0.3">
      <c r="A2214">
        <f t="shared" si="171"/>
        <v>2197</v>
      </c>
      <c r="B2214" s="4"/>
      <c r="I2214" s="8"/>
      <c r="J2214" s="5"/>
      <c r="K2214" s="3"/>
      <c r="L2214" s="3" t="str">
        <f t="shared" si="169"/>
        <v/>
      </c>
      <c r="N2214" s="3" t="str">
        <f t="shared" si="168"/>
        <v/>
      </c>
      <c r="O2214" s="6" t="str">
        <f t="shared" si="170"/>
        <v/>
      </c>
      <c r="P2214" s="7">
        <f ca="1">SUMIFS($N$2:$N2214,$B$2:$B2214,"&lt;&gt;"&amp;B2214)+SUM($Q$2:$Q2214)</f>
        <v>135.05500000000001</v>
      </c>
      <c r="R2214" t="b">
        <f>AND(ISNUMBER(FIND($E2214,Tables!$I$2)), ISNUMBER(FIND($D2214,Tables!$J$2)), $E2214&lt;&gt;"")</f>
        <v>0</v>
      </c>
    </row>
    <row r="2215" spans="1:18" x14ac:dyDescent="0.3">
      <c r="A2215">
        <f t="shared" si="171"/>
        <v>2198</v>
      </c>
      <c r="B2215" s="4"/>
      <c r="I2215" s="8"/>
      <c r="J2215" s="5"/>
      <c r="K2215" s="3"/>
      <c r="L2215" s="3" t="str">
        <f t="shared" si="169"/>
        <v/>
      </c>
      <c r="N2215" s="3" t="str">
        <f t="shared" si="168"/>
        <v/>
      </c>
      <c r="O2215" s="6" t="str">
        <f t="shared" si="170"/>
        <v/>
      </c>
      <c r="P2215" s="7">
        <f ca="1">SUMIFS($N$2:$N2215,$B$2:$B2215,"&lt;&gt;"&amp;B2215)+SUM($Q$2:$Q2215)</f>
        <v>135.05500000000001</v>
      </c>
      <c r="R2215" t="b">
        <f>AND(ISNUMBER(FIND($E2215,Tables!$I$2)), ISNUMBER(FIND($D2215,Tables!$J$2)), $E2215&lt;&gt;"")</f>
        <v>0</v>
      </c>
    </row>
    <row r="2216" spans="1:18" x14ac:dyDescent="0.3">
      <c r="A2216">
        <f t="shared" si="171"/>
        <v>2199</v>
      </c>
      <c r="B2216" s="4"/>
      <c r="I2216" s="8"/>
      <c r="J2216" s="5"/>
      <c r="K2216" s="3"/>
      <c r="L2216" s="3" t="str">
        <f t="shared" si="169"/>
        <v/>
      </c>
      <c r="N2216" s="3" t="str">
        <f t="shared" ref="N2216:N2279" si="172">IF(L2216 = "", "", IF(M2216="", "", IF(OR(M2216="Draw",M2216="NC"), 0, IF(M2216="win", L2216, -1*K2216))))</f>
        <v/>
      </c>
      <c r="O2216" s="6" t="str">
        <f t="shared" si="170"/>
        <v/>
      </c>
      <c r="P2216" s="7">
        <f ca="1">SUMIFS($N$2:$N2216,$B$2:$B2216,"&lt;&gt;"&amp;B2216)+SUM($Q$2:$Q2216)</f>
        <v>135.05500000000001</v>
      </c>
      <c r="R2216" t="b">
        <f>AND(ISNUMBER(FIND($E2216,Tables!$I$2)), ISNUMBER(FIND($D2216,Tables!$J$2)), $E2216&lt;&gt;"")</f>
        <v>0</v>
      </c>
    </row>
    <row r="2217" spans="1:18" x14ac:dyDescent="0.3">
      <c r="A2217">
        <f t="shared" si="171"/>
        <v>2200</v>
      </c>
      <c r="B2217" s="4"/>
      <c r="I2217" s="8"/>
      <c r="J2217" s="5"/>
      <c r="K2217" s="3"/>
      <c r="L2217" s="3" t="str">
        <f t="shared" si="169"/>
        <v/>
      </c>
      <c r="N2217" s="3" t="str">
        <f t="shared" si="172"/>
        <v/>
      </c>
      <c r="O2217" s="6" t="str">
        <f t="shared" si="170"/>
        <v/>
      </c>
      <c r="P2217" s="7">
        <f ca="1">SUMIFS($N$2:$N2217,$B$2:$B2217,"&lt;&gt;"&amp;B2217)+SUM($Q$2:$Q2217)</f>
        <v>135.05500000000001</v>
      </c>
      <c r="R2217" t="b">
        <f>AND(ISNUMBER(FIND($E2217,Tables!$I$2)), ISNUMBER(FIND($D2217,Tables!$J$2)), $E2217&lt;&gt;"")</f>
        <v>0</v>
      </c>
    </row>
    <row r="2218" spans="1:18" x14ac:dyDescent="0.3">
      <c r="A2218">
        <f t="shared" si="171"/>
        <v>2201</v>
      </c>
      <c r="B2218" s="4"/>
      <c r="I2218" s="8"/>
      <c r="J2218" s="5"/>
      <c r="K2218" s="3"/>
      <c r="L2218" s="3" t="str">
        <f t="shared" si="169"/>
        <v/>
      </c>
      <c r="N2218" s="3" t="str">
        <f t="shared" si="172"/>
        <v/>
      </c>
      <c r="O2218" s="6" t="str">
        <f t="shared" si="170"/>
        <v/>
      </c>
      <c r="P2218" s="7">
        <f ca="1">SUMIFS($N$2:$N2218,$B$2:$B2218,"&lt;&gt;"&amp;B2218)+SUM($Q$2:$Q2218)</f>
        <v>135.05500000000001</v>
      </c>
      <c r="R2218" t="b">
        <f>AND(ISNUMBER(FIND($E2218,Tables!$I$2)), ISNUMBER(FIND($D2218,Tables!$J$2)), $E2218&lt;&gt;"")</f>
        <v>0</v>
      </c>
    </row>
    <row r="2219" spans="1:18" x14ac:dyDescent="0.3">
      <c r="A2219">
        <f t="shared" si="171"/>
        <v>2202</v>
      </c>
      <c r="B2219" s="4"/>
      <c r="I2219" s="8"/>
      <c r="J2219" s="5"/>
      <c r="K2219" s="3"/>
      <c r="L2219" s="3" t="str">
        <f t="shared" si="169"/>
        <v/>
      </c>
      <c r="N2219" s="3" t="str">
        <f t="shared" si="172"/>
        <v/>
      </c>
      <c r="O2219" s="6" t="str">
        <f t="shared" si="170"/>
        <v/>
      </c>
      <c r="P2219" s="7">
        <f ca="1">SUMIFS($N$2:$N2219,$B$2:$B2219,"&lt;&gt;"&amp;B2219)+SUM($Q$2:$Q2219)</f>
        <v>135.05500000000001</v>
      </c>
      <c r="R2219" t="b">
        <f>AND(ISNUMBER(FIND($E2219,Tables!$I$2)), ISNUMBER(FIND($D2219,Tables!$J$2)), $E2219&lt;&gt;"")</f>
        <v>0</v>
      </c>
    </row>
    <row r="2220" spans="1:18" x14ac:dyDescent="0.3">
      <c r="A2220">
        <f t="shared" si="171"/>
        <v>2203</v>
      </c>
      <c r="B2220" s="4"/>
      <c r="I2220" s="8"/>
      <c r="J2220" s="5"/>
      <c r="K2220" s="3"/>
      <c r="L2220" s="3" t="str">
        <f t="shared" si="169"/>
        <v/>
      </c>
      <c r="N2220" s="3" t="str">
        <f t="shared" si="172"/>
        <v/>
      </c>
      <c r="O2220" s="6" t="str">
        <f t="shared" si="170"/>
        <v/>
      </c>
      <c r="P2220" s="7">
        <f ca="1">SUMIFS($N$2:$N2220,$B$2:$B2220,"&lt;&gt;"&amp;B2220)+SUM($Q$2:$Q2220)</f>
        <v>135.05500000000001</v>
      </c>
      <c r="R2220" t="b">
        <f>AND(ISNUMBER(FIND($E2220,Tables!$I$2)), ISNUMBER(FIND($D2220,Tables!$J$2)), $E2220&lt;&gt;"")</f>
        <v>0</v>
      </c>
    </row>
    <row r="2221" spans="1:18" x14ac:dyDescent="0.3">
      <c r="A2221">
        <f t="shared" si="171"/>
        <v>2204</v>
      </c>
      <c r="B2221" s="4"/>
      <c r="I2221" s="8"/>
      <c r="J2221" s="5"/>
      <c r="K2221" s="3"/>
      <c r="L2221" s="3" t="str">
        <f t="shared" si="169"/>
        <v/>
      </c>
      <c r="N2221" s="3" t="str">
        <f t="shared" si="172"/>
        <v/>
      </c>
      <c r="O2221" s="6" t="str">
        <f t="shared" si="170"/>
        <v/>
      </c>
      <c r="P2221" s="7">
        <f ca="1">SUMIFS($N$2:$N2221,$B$2:$B2221,"&lt;&gt;"&amp;B2221)+SUM($Q$2:$Q2221)</f>
        <v>135.05500000000001</v>
      </c>
      <c r="R2221" t="b">
        <f>AND(ISNUMBER(FIND($E2221,Tables!$I$2)), ISNUMBER(FIND($D2221,Tables!$J$2)), $E2221&lt;&gt;"")</f>
        <v>0</v>
      </c>
    </row>
    <row r="2222" spans="1:18" x14ac:dyDescent="0.3">
      <c r="A2222">
        <f t="shared" si="171"/>
        <v>2205</v>
      </c>
      <c r="B2222" s="4"/>
      <c r="I2222" s="8"/>
      <c r="J2222" s="5"/>
      <c r="K2222" s="3"/>
      <c r="L2222" s="3" t="str">
        <f t="shared" si="169"/>
        <v/>
      </c>
      <c r="N2222" s="3" t="str">
        <f t="shared" si="172"/>
        <v/>
      </c>
      <c r="O2222" s="6" t="str">
        <f t="shared" si="170"/>
        <v/>
      </c>
      <c r="P2222" s="7">
        <f ca="1">SUMIFS($N$2:$N2222,$B$2:$B2222,"&lt;&gt;"&amp;B2222)+SUM($Q$2:$Q2222)</f>
        <v>135.05500000000001</v>
      </c>
      <c r="R2222" t="b">
        <f>AND(ISNUMBER(FIND($E2222,Tables!$I$2)), ISNUMBER(FIND($D2222,Tables!$J$2)), $E2222&lt;&gt;"")</f>
        <v>0</v>
      </c>
    </row>
    <row r="2223" spans="1:18" x14ac:dyDescent="0.3">
      <c r="A2223">
        <f t="shared" si="171"/>
        <v>2206</v>
      </c>
      <c r="B2223" s="4"/>
      <c r="I2223" s="8"/>
      <c r="J2223" s="5"/>
      <c r="K2223" s="3"/>
      <c r="L2223" s="3" t="str">
        <f t="shared" si="169"/>
        <v/>
      </c>
      <c r="N2223" s="3" t="str">
        <f t="shared" si="172"/>
        <v/>
      </c>
      <c r="O2223" s="6" t="str">
        <f t="shared" si="170"/>
        <v/>
      </c>
      <c r="P2223" s="7">
        <f ca="1">SUMIFS($N$2:$N2223,$B$2:$B2223,"&lt;&gt;"&amp;B2223)+SUM($Q$2:$Q2223)</f>
        <v>135.05500000000001</v>
      </c>
      <c r="R2223" t="b">
        <f>AND(ISNUMBER(FIND($E2223,Tables!$I$2)), ISNUMBER(FIND($D2223,Tables!$J$2)), $E2223&lt;&gt;"")</f>
        <v>0</v>
      </c>
    </row>
    <row r="2224" spans="1:18" x14ac:dyDescent="0.3">
      <c r="A2224">
        <f t="shared" si="171"/>
        <v>2207</v>
      </c>
      <c r="B2224" s="4"/>
      <c r="I2224" s="8"/>
      <c r="J2224" s="5"/>
      <c r="K2224" s="3"/>
      <c r="L2224" s="3" t="str">
        <f t="shared" si="169"/>
        <v/>
      </c>
      <c r="N2224" s="3" t="str">
        <f t="shared" si="172"/>
        <v/>
      </c>
      <c r="O2224" s="6" t="str">
        <f t="shared" si="170"/>
        <v/>
      </c>
      <c r="P2224" s="7">
        <f ca="1">SUMIFS($N$2:$N2224,$B$2:$B2224,"&lt;&gt;"&amp;B2224)+SUM($Q$2:$Q2224)</f>
        <v>135.05500000000001</v>
      </c>
      <c r="R2224" t="b">
        <f>AND(ISNUMBER(FIND($E2224,Tables!$I$2)), ISNUMBER(FIND($D2224,Tables!$J$2)), $E2224&lt;&gt;"")</f>
        <v>0</v>
      </c>
    </row>
    <row r="2225" spans="1:18" x14ac:dyDescent="0.3">
      <c r="A2225">
        <f t="shared" si="171"/>
        <v>2208</v>
      </c>
      <c r="B2225" s="4"/>
      <c r="I2225" s="8"/>
      <c r="J2225" s="5"/>
      <c r="K2225" s="3"/>
      <c r="L2225" s="3" t="str">
        <f t="shared" si="169"/>
        <v/>
      </c>
      <c r="N2225" s="3" t="str">
        <f t="shared" si="172"/>
        <v/>
      </c>
      <c r="O2225" s="6" t="str">
        <f t="shared" si="170"/>
        <v/>
      </c>
      <c r="P2225" s="7">
        <f ca="1">SUMIFS($N$2:$N2225,$B$2:$B2225,"&lt;&gt;"&amp;B2225)+SUM($Q$2:$Q2225)</f>
        <v>135.05500000000001</v>
      </c>
      <c r="R2225" t="b">
        <f>AND(ISNUMBER(FIND($E2225,Tables!$I$2)), ISNUMBER(FIND($D2225,Tables!$J$2)), $E2225&lt;&gt;"")</f>
        <v>0</v>
      </c>
    </row>
    <row r="2226" spans="1:18" x14ac:dyDescent="0.3">
      <c r="A2226">
        <f t="shared" si="171"/>
        <v>2209</v>
      </c>
      <c r="B2226" s="4"/>
      <c r="I2226" s="8"/>
      <c r="J2226" s="5"/>
      <c r="K2226" s="3"/>
      <c r="L2226" s="3" t="str">
        <f t="shared" ref="L2226:L2289" si="173">IFERROR(IF(K2226=0, "", IF(I2226&gt;0, K2226/100*I2226,K2226/I2226*-100)), "")</f>
        <v/>
      </c>
      <c r="N2226" s="3" t="str">
        <f t="shared" si="172"/>
        <v/>
      </c>
      <c r="O2226" s="6" t="str">
        <f t="shared" si="170"/>
        <v/>
      </c>
      <c r="P2226" s="7">
        <f ca="1">SUMIFS($N$2:$N2226,$B$2:$B2226,"&lt;&gt;"&amp;B2226)+SUM($Q$2:$Q2226)</f>
        <v>135.05500000000001</v>
      </c>
      <c r="R2226" t="b">
        <f>AND(ISNUMBER(FIND($E2226,Tables!$I$2)), ISNUMBER(FIND($D2226,Tables!$J$2)), $E2226&lt;&gt;"")</f>
        <v>0</v>
      </c>
    </row>
    <row r="2227" spans="1:18" x14ac:dyDescent="0.3">
      <c r="A2227">
        <f t="shared" si="171"/>
        <v>2210</v>
      </c>
      <c r="B2227" s="4"/>
      <c r="I2227" s="8"/>
      <c r="J2227" s="5"/>
      <c r="K2227" s="3"/>
      <c r="L2227" s="3" t="str">
        <f t="shared" si="173"/>
        <v/>
      </c>
      <c r="N2227" s="3" t="str">
        <f t="shared" si="172"/>
        <v/>
      </c>
      <c r="O2227" s="6" t="str">
        <f t="shared" si="170"/>
        <v/>
      </c>
      <c r="P2227" s="7">
        <f ca="1">SUMIFS($N$2:$N2227,$B$2:$B2227,"&lt;&gt;"&amp;B2227)+SUM($Q$2:$Q2227)</f>
        <v>135.05500000000001</v>
      </c>
      <c r="R2227" t="b">
        <f>AND(ISNUMBER(FIND($E2227,Tables!$I$2)), ISNUMBER(FIND($D2227,Tables!$J$2)), $E2227&lt;&gt;"")</f>
        <v>0</v>
      </c>
    </row>
    <row r="2228" spans="1:18" x14ac:dyDescent="0.3">
      <c r="A2228">
        <f t="shared" si="171"/>
        <v>2211</v>
      </c>
      <c r="B2228" s="4"/>
      <c r="I2228" s="8"/>
      <c r="J2228" s="5"/>
      <c r="K2228" s="3"/>
      <c r="L2228" s="3" t="str">
        <f t="shared" si="173"/>
        <v/>
      </c>
      <c r="N2228" s="3" t="str">
        <f t="shared" si="172"/>
        <v/>
      </c>
      <c r="O2228" s="6" t="str">
        <f t="shared" si="170"/>
        <v/>
      </c>
      <c r="P2228" s="7">
        <f ca="1">SUMIFS($N$2:$N2228,$B$2:$B2228,"&lt;&gt;"&amp;B2228)+SUM($Q$2:$Q2228)</f>
        <v>135.05500000000001</v>
      </c>
      <c r="R2228" t="b">
        <f>AND(ISNUMBER(FIND($E2228,Tables!$I$2)), ISNUMBER(FIND($D2228,Tables!$J$2)), $E2228&lt;&gt;"")</f>
        <v>0</v>
      </c>
    </row>
    <row r="2229" spans="1:18" x14ac:dyDescent="0.3">
      <c r="A2229">
        <f t="shared" si="171"/>
        <v>2212</v>
      </c>
      <c r="B2229" s="4"/>
      <c r="I2229" s="8"/>
      <c r="J2229" s="5"/>
      <c r="K2229" s="3"/>
      <c r="L2229" s="3" t="str">
        <f t="shared" si="173"/>
        <v/>
      </c>
      <c r="N2229" s="3" t="str">
        <f t="shared" si="172"/>
        <v/>
      </c>
      <c r="O2229" s="6" t="str">
        <f t="shared" si="170"/>
        <v/>
      </c>
      <c r="P2229" s="7">
        <f ca="1">SUMIFS($N$2:$N2229,$B$2:$B2229,"&lt;&gt;"&amp;B2229)+SUM($Q$2:$Q2229)</f>
        <v>135.05500000000001</v>
      </c>
      <c r="R2229" t="b">
        <f>AND(ISNUMBER(FIND($E2229,Tables!$I$2)), ISNUMBER(FIND($D2229,Tables!$J$2)), $E2229&lt;&gt;"")</f>
        <v>0</v>
      </c>
    </row>
    <row r="2230" spans="1:18" x14ac:dyDescent="0.3">
      <c r="A2230">
        <f t="shared" si="171"/>
        <v>2213</v>
      </c>
      <c r="B2230" s="4"/>
      <c r="I2230" s="8"/>
      <c r="J2230" s="5"/>
      <c r="K2230" s="3"/>
      <c r="L2230" s="3" t="str">
        <f t="shared" si="173"/>
        <v/>
      </c>
      <c r="N2230" s="3" t="str">
        <f t="shared" si="172"/>
        <v/>
      </c>
      <c r="O2230" s="6" t="str">
        <f t="shared" si="170"/>
        <v/>
      </c>
      <c r="P2230" s="7">
        <f ca="1">SUMIFS($N$2:$N2230,$B$2:$B2230,"&lt;&gt;"&amp;B2230)+SUM($Q$2:$Q2230)</f>
        <v>135.05500000000001</v>
      </c>
      <c r="R2230" t="b">
        <f>AND(ISNUMBER(FIND($E2230,Tables!$I$2)), ISNUMBER(FIND($D2230,Tables!$J$2)), $E2230&lt;&gt;"")</f>
        <v>0</v>
      </c>
    </row>
    <row r="2231" spans="1:18" x14ac:dyDescent="0.3">
      <c r="A2231">
        <f t="shared" si="171"/>
        <v>2214</v>
      </c>
      <c r="B2231" s="4"/>
      <c r="I2231" s="8"/>
      <c r="J2231" s="5"/>
      <c r="K2231" s="3"/>
      <c r="L2231" s="3" t="str">
        <f t="shared" si="173"/>
        <v/>
      </c>
      <c r="N2231" s="3" t="str">
        <f t="shared" si="172"/>
        <v/>
      </c>
      <c r="O2231" s="6" t="str">
        <f t="shared" si="170"/>
        <v/>
      </c>
      <c r="P2231" s="7">
        <f ca="1">SUMIFS($N$2:$N2231,$B$2:$B2231,"&lt;&gt;"&amp;B2231)+SUM($Q$2:$Q2231)</f>
        <v>135.05500000000001</v>
      </c>
      <c r="R2231" t="b">
        <f>AND(ISNUMBER(FIND($E2231,Tables!$I$2)), ISNUMBER(FIND($D2231,Tables!$J$2)), $E2231&lt;&gt;"")</f>
        <v>0</v>
      </c>
    </row>
    <row r="2232" spans="1:18" x14ac:dyDescent="0.3">
      <c r="A2232">
        <f t="shared" si="171"/>
        <v>2215</v>
      </c>
      <c r="B2232" s="4"/>
      <c r="I2232" s="8"/>
      <c r="J2232" s="5"/>
      <c r="K2232" s="3"/>
      <c r="L2232" s="3" t="str">
        <f t="shared" si="173"/>
        <v/>
      </c>
      <c r="N2232" s="3" t="str">
        <f t="shared" si="172"/>
        <v/>
      </c>
      <c r="O2232" s="6" t="str">
        <f t="shared" si="170"/>
        <v/>
      </c>
      <c r="P2232" s="7">
        <f ca="1">SUMIFS($N$2:$N2232,$B$2:$B2232,"&lt;&gt;"&amp;B2232)+SUM($Q$2:$Q2232)</f>
        <v>135.05500000000001</v>
      </c>
      <c r="R2232" t="b">
        <f>AND(ISNUMBER(FIND($E2232,Tables!$I$2)), ISNUMBER(FIND($D2232,Tables!$J$2)), $E2232&lt;&gt;"")</f>
        <v>0</v>
      </c>
    </row>
    <row r="2233" spans="1:18" x14ac:dyDescent="0.3">
      <c r="A2233">
        <f t="shared" si="171"/>
        <v>2216</v>
      </c>
      <c r="B2233" s="4"/>
      <c r="I2233" s="8"/>
      <c r="J2233" s="5"/>
      <c r="K2233" s="3"/>
      <c r="L2233" s="3" t="str">
        <f t="shared" si="173"/>
        <v/>
      </c>
      <c r="N2233" s="3" t="str">
        <f t="shared" si="172"/>
        <v/>
      </c>
      <c r="O2233" s="6" t="str">
        <f t="shared" si="170"/>
        <v/>
      </c>
      <c r="P2233" s="7">
        <f ca="1">SUMIFS($N$2:$N2233,$B$2:$B2233,"&lt;&gt;"&amp;B2233)+SUM($Q$2:$Q2233)</f>
        <v>135.05500000000001</v>
      </c>
      <c r="R2233" t="b">
        <f>AND(ISNUMBER(FIND($E2233,Tables!$I$2)), ISNUMBER(FIND($D2233,Tables!$J$2)), $E2233&lt;&gt;"")</f>
        <v>0</v>
      </c>
    </row>
    <row r="2234" spans="1:18" x14ac:dyDescent="0.3">
      <c r="A2234">
        <f t="shared" si="171"/>
        <v>2217</v>
      </c>
      <c r="B2234" s="4"/>
      <c r="I2234" s="8"/>
      <c r="J2234" s="5"/>
      <c r="K2234" s="3"/>
      <c r="L2234" s="3" t="str">
        <f t="shared" si="173"/>
        <v/>
      </c>
      <c r="N2234" s="3" t="str">
        <f t="shared" si="172"/>
        <v/>
      </c>
      <c r="O2234" s="6" t="str">
        <f t="shared" si="170"/>
        <v/>
      </c>
      <c r="P2234" s="7">
        <f ca="1">SUMIFS($N$2:$N2234,$B$2:$B2234,"&lt;&gt;"&amp;B2234)+SUM($Q$2:$Q2234)</f>
        <v>135.05500000000001</v>
      </c>
      <c r="R2234" t="b">
        <f>AND(ISNUMBER(FIND($E2234,Tables!$I$2)), ISNUMBER(FIND($D2234,Tables!$J$2)), $E2234&lt;&gt;"")</f>
        <v>0</v>
      </c>
    </row>
    <row r="2235" spans="1:18" x14ac:dyDescent="0.3">
      <c r="A2235">
        <f t="shared" si="171"/>
        <v>2218</v>
      </c>
      <c r="B2235" s="4"/>
      <c r="I2235" s="8"/>
      <c r="J2235" s="5"/>
      <c r="K2235" s="3"/>
      <c r="L2235" s="3" t="str">
        <f t="shared" si="173"/>
        <v/>
      </c>
      <c r="N2235" s="3" t="str">
        <f t="shared" si="172"/>
        <v/>
      </c>
      <c r="O2235" s="6" t="str">
        <f t="shared" si="170"/>
        <v/>
      </c>
      <c r="P2235" s="7">
        <f ca="1">SUMIFS($N$2:$N2235,$B$2:$B2235,"&lt;&gt;"&amp;B2235)+SUM($Q$2:$Q2235)</f>
        <v>135.05500000000001</v>
      </c>
      <c r="R2235" t="b">
        <f>AND(ISNUMBER(FIND($E2235,Tables!$I$2)), ISNUMBER(FIND($D2235,Tables!$J$2)), $E2235&lt;&gt;"")</f>
        <v>0</v>
      </c>
    </row>
    <row r="2236" spans="1:18" x14ac:dyDescent="0.3">
      <c r="A2236">
        <f t="shared" si="171"/>
        <v>2219</v>
      </c>
      <c r="B2236" s="4"/>
      <c r="I2236" s="8"/>
      <c r="J2236" s="5"/>
      <c r="K2236" s="3"/>
      <c r="L2236" s="3" t="str">
        <f t="shared" si="173"/>
        <v/>
      </c>
      <c r="N2236" s="3" t="str">
        <f t="shared" si="172"/>
        <v/>
      </c>
      <c r="O2236" s="6" t="str">
        <f t="shared" si="170"/>
        <v/>
      </c>
      <c r="P2236" s="7">
        <f ca="1">SUMIFS($N$2:$N2236,$B$2:$B2236,"&lt;&gt;"&amp;B2236)+SUM($Q$2:$Q2236)</f>
        <v>135.05500000000001</v>
      </c>
      <c r="R2236" t="b">
        <f>AND(ISNUMBER(FIND($E2236,Tables!$I$2)), ISNUMBER(FIND($D2236,Tables!$J$2)), $E2236&lt;&gt;"")</f>
        <v>0</v>
      </c>
    </row>
    <row r="2237" spans="1:18" x14ac:dyDescent="0.3">
      <c r="A2237">
        <f t="shared" si="171"/>
        <v>2220</v>
      </c>
      <c r="B2237" s="4"/>
      <c r="I2237" s="8"/>
      <c r="J2237" s="5"/>
      <c r="K2237" s="3"/>
      <c r="L2237" s="3" t="str">
        <f t="shared" si="173"/>
        <v/>
      </c>
      <c r="N2237" s="3" t="str">
        <f t="shared" si="172"/>
        <v/>
      </c>
      <c r="O2237" s="6" t="str">
        <f t="shared" si="170"/>
        <v/>
      </c>
      <c r="P2237" s="7">
        <f ca="1">SUMIFS($N$2:$N2237,$B$2:$B2237,"&lt;&gt;"&amp;B2237)+SUM($Q$2:$Q2237)</f>
        <v>135.05500000000001</v>
      </c>
      <c r="R2237" t="b">
        <f>AND(ISNUMBER(FIND($E2237,Tables!$I$2)), ISNUMBER(FIND($D2237,Tables!$J$2)), $E2237&lt;&gt;"")</f>
        <v>0</v>
      </c>
    </row>
    <row r="2238" spans="1:18" x14ac:dyDescent="0.3">
      <c r="A2238">
        <f t="shared" si="171"/>
        <v>2221</v>
      </c>
      <c r="B2238" s="4"/>
      <c r="I2238" s="8"/>
      <c r="J2238" s="5"/>
      <c r="K2238" s="3"/>
      <c r="L2238" s="3" t="str">
        <f t="shared" si="173"/>
        <v/>
      </c>
      <c r="N2238" s="3" t="str">
        <f t="shared" si="172"/>
        <v/>
      </c>
      <c r="O2238" s="6" t="str">
        <f t="shared" si="170"/>
        <v/>
      </c>
      <c r="P2238" s="7">
        <f ca="1">SUMIFS($N$2:$N2238,$B$2:$B2238,"&lt;&gt;"&amp;B2238)+SUM($Q$2:$Q2238)</f>
        <v>135.05500000000001</v>
      </c>
      <c r="R2238" t="b">
        <f>AND(ISNUMBER(FIND($E2238,Tables!$I$2)), ISNUMBER(FIND($D2238,Tables!$J$2)), $E2238&lt;&gt;"")</f>
        <v>0</v>
      </c>
    </row>
    <row r="2239" spans="1:18" x14ac:dyDescent="0.3">
      <c r="A2239">
        <f t="shared" si="171"/>
        <v>2222</v>
      </c>
      <c r="B2239" s="4"/>
      <c r="I2239" s="8"/>
      <c r="J2239" s="5"/>
      <c r="K2239" s="3"/>
      <c r="L2239" s="3" t="str">
        <f t="shared" si="173"/>
        <v/>
      </c>
      <c r="N2239" s="3" t="str">
        <f t="shared" si="172"/>
        <v/>
      </c>
      <c r="O2239" s="6" t="str">
        <f t="shared" si="170"/>
        <v/>
      </c>
      <c r="P2239" s="7">
        <f ca="1">SUMIFS($N$2:$N2239,$B$2:$B2239,"&lt;&gt;"&amp;B2239)+SUM($Q$2:$Q2239)</f>
        <v>135.05500000000001</v>
      </c>
      <c r="R2239" t="b">
        <f>AND(ISNUMBER(FIND($E2239,Tables!$I$2)), ISNUMBER(FIND($D2239,Tables!$J$2)), $E2239&lt;&gt;"")</f>
        <v>0</v>
      </c>
    </row>
    <row r="2240" spans="1:18" x14ac:dyDescent="0.3">
      <c r="A2240">
        <f t="shared" si="171"/>
        <v>2223</v>
      </c>
      <c r="B2240" s="4"/>
      <c r="I2240" s="8"/>
      <c r="J2240" s="5"/>
      <c r="K2240" s="3"/>
      <c r="L2240" s="3" t="str">
        <f t="shared" si="173"/>
        <v/>
      </c>
      <c r="N2240" s="3" t="str">
        <f t="shared" si="172"/>
        <v/>
      </c>
      <c r="O2240" s="6" t="str">
        <f t="shared" si="170"/>
        <v/>
      </c>
      <c r="P2240" s="7">
        <f ca="1">SUMIFS($N$2:$N2240,$B$2:$B2240,"&lt;&gt;"&amp;B2240)+SUM($Q$2:$Q2240)</f>
        <v>135.05500000000001</v>
      </c>
      <c r="R2240" t="b">
        <f>AND(ISNUMBER(FIND($E2240,Tables!$I$2)), ISNUMBER(FIND($D2240,Tables!$J$2)), $E2240&lt;&gt;"")</f>
        <v>0</v>
      </c>
    </row>
    <row r="2241" spans="1:18" x14ac:dyDescent="0.3">
      <c r="A2241">
        <f t="shared" si="171"/>
        <v>2224</v>
      </c>
      <c r="B2241" s="4"/>
      <c r="I2241" s="8"/>
      <c r="J2241" s="5"/>
      <c r="K2241" s="3"/>
      <c r="L2241" s="3" t="str">
        <f t="shared" si="173"/>
        <v/>
      </c>
      <c r="N2241" s="3" t="str">
        <f t="shared" si="172"/>
        <v/>
      </c>
      <c r="O2241" s="6" t="str">
        <f t="shared" si="170"/>
        <v/>
      </c>
      <c r="P2241" s="7">
        <f ca="1">SUMIFS($N$2:$N2241,$B$2:$B2241,"&lt;&gt;"&amp;B2241)+SUM($Q$2:$Q2241)</f>
        <v>135.05500000000001</v>
      </c>
      <c r="R2241" t="b">
        <f>AND(ISNUMBER(FIND($E2241,Tables!$I$2)), ISNUMBER(FIND($D2241,Tables!$J$2)), $E2241&lt;&gt;"")</f>
        <v>0</v>
      </c>
    </row>
    <row r="2242" spans="1:18" x14ac:dyDescent="0.3">
      <c r="A2242">
        <f t="shared" si="171"/>
        <v>2225</v>
      </c>
      <c r="B2242" s="4"/>
      <c r="I2242" s="8"/>
      <c r="J2242" s="5"/>
      <c r="K2242" s="3"/>
      <c r="L2242" s="3" t="str">
        <f t="shared" si="173"/>
        <v/>
      </c>
      <c r="N2242" s="3" t="str">
        <f t="shared" si="172"/>
        <v/>
      </c>
      <c r="O2242" s="6" t="str">
        <f t="shared" ref="O2242:O2305" si="174">IFERROR(K2242/VLOOKUP(_xlfn.MINIFS(A:A,B:B,B2242,C:C,C2242),A:P,16),"")</f>
        <v/>
      </c>
      <c r="P2242" s="7">
        <f ca="1">SUMIFS($N$2:$N2242,$B$2:$B2242,"&lt;&gt;"&amp;B2242)+SUM($Q$2:$Q2242)</f>
        <v>135.05500000000001</v>
      </c>
      <c r="R2242" t="b">
        <f>AND(ISNUMBER(FIND($E2242,Tables!$I$2)), ISNUMBER(FIND($D2242,Tables!$J$2)), $E2242&lt;&gt;"")</f>
        <v>0</v>
      </c>
    </row>
    <row r="2243" spans="1:18" x14ac:dyDescent="0.3">
      <c r="A2243">
        <f t="shared" si="171"/>
        <v>2226</v>
      </c>
      <c r="B2243" s="4"/>
      <c r="I2243" s="8"/>
      <c r="J2243" s="5"/>
      <c r="K2243" s="3"/>
      <c r="L2243" s="3" t="str">
        <f t="shared" si="173"/>
        <v/>
      </c>
      <c r="N2243" s="3" t="str">
        <f t="shared" si="172"/>
        <v/>
      </c>
      <c r="O2243" s="6" t="str">
        <f t="shared" si="174"/>
        <v/>
      </c>
      <c r="P2243" s="7">
        <f ca="1">SUMIFS($N$2:$N2243,$B$2:$B2243,"&lt;&gt;"&amp;B2243)+SUM($Q$2:$Q2243)</f>
        <v>135.05500000000001</v>
      </c>
      <c r="R2243" t="b">
        <f>AND(ISNUMBER(FIND($E2243,Tables!$I$2)), ISNUMBER(FIND($D2243,Tables!$J$2)), $E2243&lt;&gt;"")</f>
        <v>0</v>
      </c>
    </row>
    <row r="2244" spans="1:18" x14ac:dyDescent="0.3">
      <c r="A2244">
        <f t="shared" si="171"/>
        <v>2227</v>
      </c>
      <c r="B2244" s="4"/>
      <c r="I2244" s="8"/>
      <c r="J2244" s="5"/>
      <c r="K2244" s="3"/>
      <c r="L2244" s="3" t="str">
        <f t="shared" si="173"/>
        <v/>
      </c>
      <c r="N2244" s="3" t="str">
        <f t="shared" si="172"/>
        <v/>
      </c>
      <c r="O2244" s="6" t="str">
        <f t="shared" si="174"/>
        <v/>
      </c>
      <c r="P2244" s="7">
        <f ca="1">SUMIFS($N$2:$N2244,$B$2:$B2244,"&lt;&gt;"&amp;B2244)+SUM($Q$2:$Q2244)</f>
        <v>135.05500000000001</v>
      </c>
      <c r="R2244" t="b">
        <f>AND(ISNUMBER(FIND($E2244,Tables!$I$2)), ISNUMBER(FIND($D2244,Tables!$J$2)), $E2244&lt;&gt;"")</f>
        <v>0</v>
      </c>
    </row>
    <row r="2245" spans="1:18" x14ac:dyDescent="0.3">
      <c r="A2245">
        <f t="shared" si="171"/>
        <v>2228</v>
      </c>
      <c r="B2245" s="4"/>
      <c r="I2245" s="8"/>
      <c r="J2245" s="5"/>
      <c r="K2245" s="3"/>
      <c r="L2245" s="3" t="str">
        <f t="shared" si="173"/>
        <v/>
      </c>
      <c r="N2245" s="3" t="str">
        <f t="shared" si="172"/>
        <v/>
      </c>
      <c r="O2245" s="6" t="str">
        <f t="shared" si="174"/>
        <v/>
      </c>
      <c r="P2245" s="7">
        <f ca="1">SUMIFS($N$2:$N2245,$B$2:$B2245,"&lt;&gt;"&amp;B2245)+SUM($Q$2:$Q2245)</f>
        <v>135.05500000000001</v>
      </c>
      <c r="R2245" t="b">
        <f>AND(ISNUMBER(FIND($E2245,Tables!$I$2)), ISNUMBER(FIND($D2245,Tables!$J$2)), $E2245&lt;&gt;"")</f>
        <v>0</v>
      </c>
    </row>
    <row r="2246" spans="1:18" x14ac:dyDescent="0.3">
      <c r="A2246">
        <f t="shared" si="171"/>
        <v>2229</v>
      </c>
      <c r="B2246" s="4"/>
      <c r="I2246" s="8"/>
      <c r="J2246" s="5"/>
      <c r="K2246" s="3"/>
      <c r="L2246" s="3" t="str">
        <f t="shared" si="173"/>
        <v/>
      </c>
      <c r="N2246" s="3" t="str">
        <f t="shared" si="172"/>
        <v/>
      </c>
      <c r="O2246" s="6" t="str">
        <f t="shared" si="174"/>
        <v/>
      </c>
      <c r="P2246" s="7">
        <f ca="1">SUMIFS($N$2:$N2246,$B$2:$B2246,"&lt;&gt;"&amp;B2246)+SUM($Q$2:$Q2246)</f>
        <v>135.05500000000001</v>
      </c>
      <c r="R2246" t="b">
        <f>AND(ISNUMBER(FIND($E2246,Tables!$I$2)), ISNUMBER(FIND($D2246,Tables!$J$2)), $E2246&lt;&gt;"")</f>
        <v>0</v>
      </c>
    </row>
    <row r="2247" spans="1:18" x14ac:dyDescent="0.3">
      <c r="A2247">
        <f t="shared" si="171"/>
        <v>2230</v>
      </c>
      <c r="B2247" s="4"/>
      <c r="I2247" s="8"/>
      <c r="J2247" s="5"/>
      <c r="K2247" s="3"/>
      <c r="L2247" s="3" t="str">
        <f t="shared" si="173"/>
        <v/>
      </c>
      <c r="N2247" s="3" t="str">
        <f t="shared" si="172"/>
        <v/>
      </c>
      <c r="O2247" s="6" t="str">
        <f t="shared" si="174"/>
        <v/>
      </c>
      <c r="P2247" s="7">
        <f ca="1">SUMIFS($N$2:$N2247,$B$2:$B2247,"&lt;&gt;"&amp;B2247)+SUM($Q$2:$Q2247)</f>
        <v>135.05500000000001</v>
      </c>
      <c r="R2247" t="b">
        <f>AND(ISNUMBER(FIND($E2247,Tables!$I$2)), ISNUMBER(FIND($D2247,Tables!$J$2)), $E2247&lt;&gt;"")</f>
        <v>0</v>
      </c>
    </row>
    <row r="2248" spans="1:18" x14ac:dyDescent="0.3">
      <c r="A2248">
        <f t="shared" si="171"/>
        <v>2231</v>
      </c>
      <c r="B2248" s="4"/>
      <c r="I2248" s="8"/>
      <c r="J2248" s="5"/>
      <c r="K2248" s="3"/>
      <c r="L2248" s="3" t="str">
        <f t="shared" si="173"/>
        <v/>
      </c>
      <c r="N2248" s="3" t="str">
        <f t="shared" si="172"/>
        <v/>
      </c>
      <c r="O2248" s="6" t="str">
        <f t="shared" si="174"/>
        <v/>
      </c>
      <c r="P2248" s="7">
        <f ca="1">SUMIFS($N$2:$N2248,$B$2:$B2248,"&lt;&gt;"&amp;B2248)+SUM($Q$2:$Q2248)</f>
        <v>135.05500000000001</v>
      </c>
      <c r="R2248" t="b">
        <f>AND(ISNUMBER(FIND($E2248,Tables!$I$2)), ISNUMBER(FIND($D2248,Tables!$J$2)), $E2248&lt;&gt;"")</f>
        <v>0</v>
      </c>
    </row>
    <row r="2249" spans="1:18" x14ac:dyDescent="0.3">
      <c r="A2249">
        <f t="shared" si="171"/>
        <v>2232</v>
      </c>
      <c r="B2249" s="4"/>
      <c r="I2249" s="8"/>
      <c r="J2249" s="5"/>
      <c r="K2249" s="3"/>
      <c r="L2249" s="3" t="str">
        <f t="shared" si="173"/>
        <v/>
      </c>
      <c r="N2249" s="3" t="str">
        <f t="shared" si="172"/>
        <v/>
      </c>
      <c r="O2249" s="6" t="str">
        <f t="shared" si="174"/>
        <v/>
      </c>
      <c r="P2249" s="7">
        <f ca="1">SUMIFS($N$2:$N2249,$B$2:$B2249,"&lt;&gt;"&amp;B2249)+SUM($Q$2:$Q2249)</f>
        <v>135.05500000000001</v>
      </c>
      <c r="R2249" t="b">
        <f>AND(ISNUMBER(FIND($E2249,Tables!$I$2)), ISNUMBER(FIND($D2249,Tables!$J$2)), $E2249&lt;&gt;"")</f>
        <v>0</v>
      </c>
    </row>
    <row r="2250" spans="1:18" x14ac:dyDescent="0.3">
      <c r="A2250">
        <f t="shared" si="171"/>
        <v>2233</v>
      </c>
      <c r="B2250" s="4"/>
      <c r="I2250" s="8"/>
      <c r="J2250" s="5"/>
      <c r="K2250" s="3"/>
      <c r="L2250" s="3" t="str">
        <f t="shared" si="173"/>
        <v/>
      </c>
      <c r="N2250" s="3" t="str">
        <f t="shared" si="172"/>
        <v/>
      </c>
      <c r="O2250" s="6" t="str">
        <f t="shared" si="174"/>
        <v/>
      </c>
      <c r="P2250" s="7">
        <f ca="1">SUMIFS($N$2:$N2250,$B$2:$B2250,"&lt;&gt;"&amp;B2250)+SUM($Q$2:$Q2250)</f>
        <v>135.05500000000001</v>
      </c>
      <c r="R2250" t="b">
        <f>AND(ISNUMBER(FIND($E2250,Tables!$I$2)), ISNUMBER(FIND($D2250,Tables!$J$2)), $E2250&lt;&gt;"")</f>
        <v>0</v>
      </c>
    </row>
    <row r="2251" spans="1:18" x14ac:dyDescent="0.3">
      <c r="A2251">
        <f t="shared" si="171"/>
        <v>2234</v>
      </c>
      <c r="B2251" s="4"/>
      <c r="I2251" s="8"/>
      <c r="J2251" s="5"/>
      <c r="K2251" s="3"/>
      <c r="L2251" s="3" t="str">
        <f t="shared" si="173"/>
        <v/>
      </c>
      <c r="N2251" s="3" t="str">
        <f t="shared" si="172"/>
        <v/>
      </c>
      <c r="O2251" s="6" t="str">
        <f t="shared" si="174"/>
        <v/>
      </c>
      <c r="P2251" s="7">
        <f ca="1">SUMIFS($N$2:$N2251,$B$2:$B2251,"&lt;&gt;"&amp;B2251)+SUM($Q$2:$Q2251)</f>
        <v>135.05500000000001</v>
      </c>
      <c r="R2251" t="b">
        <f>AND(ISNUMBER(FIND($E2251,Tables!$I$2)), ISNUMBER(FIND($D2251,Tables!$J$2)), $E2251&lt;&gt;"")</f>
        <v>0</v>
      </c>
    </row>
    <row r="2252" spans="1:18" x14ac:dyDescent="0.3">
      <c r="A2252">
        <f t="shared" si="171"/>
        <v>2235</v>
      </c>
      <c r="B2252" s="4"/>
      <c r="I2252" s="8"/>
      <c r="J2252" s="5"/>
      <c r="K2252" s="3"/>
      <c r="L2252" s="3" t="str">
        <f t="shared" si="173"/>
        <v/>
      </c>
      <c r="N2252" s="3" t="str">
        <f t="shared" si="172"/>
        <v/>
      </c>
      <c r="O2252" s="6" t="str">
        <f t="shared" si="174"/>
        <v/>
      </c>
      <c r="P2252" s="7">
        <f ca="1">SUMIFS($N$2:$N2252,$B$2:$B2252,"&lt;&gt;"&amp;B2252)+SUM($Q$2:$Q2252)</f>
        <v>135.05500000000001</v>
      </c>
      <c r="R2252" t="b">
        <f>AND(ISNUMBER(FIND($E2252,Tables!$I$2)), ISNUMBER(FIND($D2252,Tables!$J$2)), $E2252&lt;&gt;"")</f>
        <v>0</v>
      </c>
    </row>
    <row r="2253" spans="1:18" x14ac:dyDescent="0.3">
      <c r="A2253">
        <f t="shared" si="171"/>
        <v>2236</v>
      </c>
      <c r="B2253" s="4"/>
      <c r="I2253" s="8"/>
      <c r="J2253" s="5"/>
      <c r="K2253" s="3"/>
      <c r="L2253" s="3" t="str">
        <f t="shared" si="173"/>
        <v/>
      </c>
      <c r="N2253" s="3" t="str">
        <f t="shared" si="172"/>
        <v/>
      </c>
      <c r="O2253" s="6" t="str">
        <f t="shared" si="174"/>
        <v/>
      </c>
      <c r="P2253" s="7">
        <f ca="1">SUMIFS($N$2:$N2253,$B$2:$B2253,"&lt;&gt;"&amp;B2253)+SUM($Q$2:$Q2253)</f>
        <v>135.05500000000001</v>
      </c>
      <c r="R2253" t="b">
        <f>AND(ISNUMBER(FIND($E2253,Tables!$I$2)), ISNUMBER(FIND($D2253,Tables!$J$2)), $E2253&lt;&gt;"")</f>
        <v>0</v>
      </c>
    </row>
    <row r="2254" spans="1:18" x14ac:dyDescent="0.3">
      <c r="A2254">
        <f t="shared" si="171"/>
        <v>2237</v>
      </c>
      <c r="B2254" s="4"/>
      <c r="I2254" s="8"/>
      <c r="J2254" s="5"/>
      <c r="K2254" s="3"/>
      <c r="L2254" s="3" t="str">
        <f t="shared" si="173"/>
        <v/>
      </c>
      <c r="N2254" s="3" t="str">
        <f t="shared" si="172"/>
        <v/>
      </c>
      <c r="O2254" s="6" t="str">
        <f t="shared" si="174"/>
        <v/>
      </c>
      <c r="P2254" s="7">
        <f ca="1">SUMIFS($N$2:$N2254,$B$2:$B2254,"&lt;&gt;"&amp;B2254)+SUM($Q$2:$Q2254)</f>
        <v>135.05500000000001</v>
      </c>
      <c r="R2254" t="b">
        <f>AND(ISNUMBER(FIND($E2254,Tables!$I$2)), ISNUMBER(FIND($D2254,Tables!$J$2)), $E2254&lt;&gt;"")</f>
        <v>0</v>
      </c>
    </row>
    <row r="2255" spans="1:18" x14ac:dyDescent="0.3">
      <c r="A2255">
        <f t="shared" si="171"/>
        <v>2238</v>
      </c>
      <c r="B2255" s="4"/>
      <c r="I2255" s="8"/>
      <c r="J2255" s="5"/>
      <c r="K2255" s="3"/>
      <c r="L2255" s="3" t="str">
        <f t="shared" si="173"/>
        <v/>
      </c>
      <c r="N2255" s="3" t="str">
        <f t="shared" si="172"/>
        <v/>
      </c>
      <c r="O2255" s="6" t="str">
        <f t="shared" si="174"/>
        <v/>
      </c>
      <c r="P2255" s="7">
        <f ca="1">SUMIFS($N$2:$N2255,$B$2:$B2255,"&lt;&gt;"&amp;B2255)+SUM($Q$2:$Q2255)</f>
        <v>135.05500000000001</v>
      </c>
      <c r="R2255" t="b">
        <f>AND(ISNUMBER(FIND($E2255,Tables!$I$2)), ISNUMBER(FIND($D2255,Tables!$J$2)), $E2255&lt;&gt;"")</f>
        <v>0</v>
      </c>
    </row>
    <row r="2256" spans="1:18" x14ac:dyDescent="0.3">
      <c r="A2256">
        <f t="shared" si="171"/>
        <v>2239</v>
      </c>
      <c r="B2256" s="4"/>
      <c r="I2256" s="8"/>
      <c r="J2256" s="5"/>
      <c r="K2256" s="3"/>
      <c r="L2256" s="3" t="str">
        <f t="shared" si="173"/>
        <v/>
      </c>
      <c r="N2256" s="3" t="str">
        <f t="shared" si="172"/>
        <v/>
      </c>
      <c r="O2256" s="6" t="str">
        <f t="shared" si="174"/>
        <v/>
      </c>
      <c r="P2256" s="7">
        <f ca="1">SUMIFS($N$2:$N2256,$B$2:$B2256,"&lt;&gt;"&amp;B2256)+SUM($Q$2:$Q2256)</f>
        <v>135.05500000000001</v>
      </c>
      <c r="R2256" t="b">
        <f>AND(ISNUMBER(FIND($E2256,Tables!$I$2)), ISNUMBER(FIND($D2256,Tables!$J$2)), $E2256&lt;&gt;"")</f>
        <v>0</v>
      </c>
    </row>
    <row r="2257" spans="1:18" x14ac:dyDescent="0.3">
      <c r="A2257">
        <f t="shared" si="171"/>
        <v>2240</v>
      </c>
      <c r="B2257" s="4"/>
      <c r="I2257" s="8"/>
      <c r="J2257" s="5"/>
      <c r="K2257" s="3"/>
      <c r="L2257" s="3" t="str">
        <f t="shared" si="173"/>
        <v/>
      </c>
      <c r="N2257" s="3" t="str">
        <f t="shared" si="172"/>
        <v/>
      </c>
      <c r="O2257" s="6" t="str">
        <f t="shared" si="174"/>
        <v/>
      </c>
      <c r="P2257" s="7">
        <f ca="1">SUMIFS($N$2:$N2257,$B$2:$B2257,"&lt;&gt;"&amp;B2257)+SUM($Q$2:$Q2257)</f>
        <v>135.05500000000001</v>
      </c>
      <c r="R2257" t="b">
        <f>AND(ISNUMBER(FIND($E2257,Tables!$I$2)), ISNUMBER(FIND($D2257,Tables!$J$2)), $E2257&lt;&gt;"")</f>
        <v>0</v>
      </c>
    </row>
    <row r="2258" spans="1:18" x14ac:dyDescent="0.3">
      <c r="A2258">
        <f t="shared" si="171"/>
        <v>2241</v>
      </c>
      <c r="B2258" s="4"/>
      <c r="I2258" s="8"/>
      <c r="J2258" s="5"/>
      <c r="K2258" s="3"/>
      <c r="L2258" s="3" t="str">
        <f t="shared" si="173"/>
        <v/>
      </c>
      <c r="N2258" s="3" t="str">
        <f t="shared" si="172"/>
        <v/>
      </c>
      <c r="O2258" s="6" t="str">
        <f t="shared" si="174"/>
        <v/>
      </c>
      <c r="P2258" s="7">
        <f ca="1">SUMIFS($N$2:$N2258,$B$2:$B2258,"&lt;&gt;"&amp;B2258)+SUM($Q$2:$Q2258)</f>
        <v>135.05500000000001</v>
      </c>
      <c r="R2258" t="b">
        <f>AND(ISNUMBER(FIND($E2258,Tables!$I$2)), ISNUMBER(FIND($D2258,Tables!$J$2)), $E2258&lt;&gt;"")</f>
        <v>0</v>
      </c>
    </row>
    <row r="2259" spans="1:18" x14ac:dyDescent="0.3">
      <c r="A2259">
        <f t="shared" si="171"/>
        <v>2242</v>
      </c>
      <c r="B2259" s="4"/>
      <c r="I2259" s="8"/>
      <c r="J2259" s="5"/>
      <c r="K2259" s="3"/>
      <c r="L2259" s="3" t="str">
        <f t="shared" si="173"/>
        <v/>
      </c>
      <c r="N2259" s="3" t="str">
        <f t="shared" si="172"/>
        <v/>
      </c>
      <c r="O2259" s="6" t="str">
        <f t="shared" si="174"/>
        <v/>
      </c>
      <c r="P2259" s="7">
        <f ca="1">SUMIFS($N$2:$N2259,$B$2:$B2259,"&lt;&gt;"&amp;B2259)+SUM($Q$2:$Q2259)</f>
        <v>135.05500000000001</v>
      </c>
      <c r="R2259" t="b">
        <f>AND(ISNUMBER(FIND($E2259,Tables!$I$2)), ISNUMBER(FIND($D2259,Tables!$J$2)), $E2259&lt;&gt;"")</f>
        <v>0</v>
      </c>
    </row>
    <row r="2260" spans="1:18" x14ac:dyDescent="0.3">
      <c r="A2260">
        <f t="shared" si="171"/>
        <v>2243</v>
      </c>
      <c r="B2260" s="4"/>
      <c r="I2260" s="8"/>
      <c r="J2260" s="5"/>
      <c r="K2260" s="3"/>
      <c r="L2260" s="3" t="str">
        <f t="shared" si="173"/>
        <v/>
      </c>
      <c r="N2260" s="3" t="str">
        <f t="shared" si="172"/>
        <v/>
      </c>
      <c r="O2260" s="6" t="str">
        <f t="shared" si="174"/>
        <v/>
      </c>
      <c r="P2260" s="7">
        <f ca="1">SUMIFS($N$2:$N2260,$B$2:$B2260,"&lt;&gt;"&amp;B2260)+SUM($Q$2:$Q2260)</f>
        <v>135.05500000000001</v>
      </c>
      <c r="R2260" t="b">
        <f>AND(ISNUMBER(FIND($E2260,Tables!$I$2)), ISNUMBER(FIND($D2260,Tables!$J$2)), $E2260&lt;&gt;"")</f>
        <v>0</v>
      </c>
    </row>
    <row r="2261" spans="1:18" x14ac:dyDescent="0.3">
      <c r="A2261">
        <f t="shared" si="171"/>
        <v>2244</v>
      </c>
      <c r="B2261" s="4"/>
      <c r="I2261" s="8"/>
      <c r="J2261" s="5"/>
      <c r="K2261" s="3"/>
      <c r="L2261" s="3" t="str">
        <f t="shared" si="173"/>
        <v/>
      </c>
      <c r="N2261" s="3" t="str">
        <f t="shared" si="172"/>
        <v/>
      </c>
      <c r="O2261" s="6" t="str">
        <f t="shared" si="174"/>
        <v/>
      </c>
      <c r="P2261" s="7">
        <f ca="1">SUMIFS($N$2:$N2261,$B$2:$B2261,"&lt;&gt;"&amp;B2261)+SUM($Q$2:$Q2261)</f>
        <v>135.05500000000001</v>
      </c>
      <c r="R2261" t="b">
        <f>AND(ISNUMBER(FIND($E2261,Tables!$I$2)), ISNUMBER(FIND($D2261,Tables!$J$2)), $E2261&lt;&gt;"")</f>
        <v>0</v>
      </c>
    </row>
    <row r="2262" spans="1:18" x14ac:dyDescent="0.3">
      <c r="A2262">
        <f t="shared" si="171"/>
        <v>2245</v>
      </c>
      <c r="B2262" s="4"/>
      <c r="I2262" s="8"/>
      <c r="J2262" s="5"/>
      <c r="K2262" s="3"/>
      <c r="L2262" s="3" t="str">
        <f t="shared" si="173"/>
        <v/>
      </c>
      <c r="N2262" s="3" t="str">
        <f t="shared" si="172"/>
        <v/>
      </c>
      <c r="O2262" s="6" t="str">
        <f t="shared" si="174"/>
        <v/>
      </c>
      <c r="P2262" s="7">
        <f ca="1">SUMIFS($N$2:$N2262,$B$2:$B2262,"&lt;&gt;"&amp;B2262)+SUM($Q$2:$Q2262)</f>
        <v>135.05500000000001</v>
      </c>
      <c r="R2262" t="b">
        <f>AND(ISNUMBER(FIND($E2262,Tables!$I$2)), ISNUMBER(FIND($D2262,Tables!$J$2)), $E2262&lt;&gt;"")</f>
        <v>0</v>
      </c>
    </row>
    <row r="2263" spans="1:18" x14ac:dyDescent="0.3">
      <c r="A2263">
        <f t="shared" si="171"/>
        <v>2246</v>
      </c>
      <c r="B2263" s="4"/>
      <c r="I2263" s="8"/>
      <c r="J2263" s="5"/>
      <c r="K2263" s="3"/>
      <c r="L2263" s="3" t="str">
        <f t="shared" si="173"/>
        <v/>
      </c>
      <c r="N2263" s="3" t="str">
        <f t="shared" si="172"/>
        <v/>
      </c>
      <c r="O2263" s="6" t="str">
        <f t="shared" si="174"/>
        <v/>
      </c>
      <c r="P2263" s="7">
        <f ca="1">SUMIFS($N$2:$N2263,$B$2:$B2263,"&lt;&gt;"&amp;B2263)+SUM($Q$2:$Q2263)</f>
        <v>135.05500000000001</v>
      </c>
      <c r="R2263" t="b">
        <f>AND(ISNUMBER(FIND($E2263,Tables!$I$2)), ISNUMBER(FIND($D2263,Tables!$J$2)), $E2263&lt;&gt;"")</f>
        <v>0</v>
      </c>
    </row>
    <row r="2264" spans="1:18" x14ac:dyDescent="0.3">
      <c r="A2264">
        <f t="shared" si="171"/>
        <v>2247</v>
      </c>
      <c r="B2264" s="4"/>
      <c r="I2264" s="8"/>
      <c r="J2264" s="5"/>
      <c r="K2264" s="3"/>
      <c r="L2264" s="3" t="str">
        <f t="shared" si="173"/>
        <v/>
      </c>
      <c r="N2264" s="3" t="str">
        <f t="shared" si="172"/>
        <v/>
      </c>
      <c r="O2264" s="6" t="str">
        <f t="shared" si="174"/>
        <v/>
      </c>
      <c r="P2264" s="7">
        <f ca="1">SUMIFS($N$2:$N2264,$B$2:$B2264,"&lt;&gt;"&amp;B2264)+SUM($Q$2:$Q2264)</f>
        <v>135.05500000000001</v>
      </c>
      <c r="R2264" t="b">
        <f>AND(ISNUMBER(FIND($E2264,Tables!$I$2)), ISNUMBER(FIND($D2264,Tables!$J$2)), $E2264&lt;&gt;"")</f>
        <v>0</v>
      </c>
    </row>
    <row r="2265" spans="1:18" x14ac:dyDescent="0.3">
      <c r="A2265">
        <f t="shared" si="171"/>
        <v>2248</v>
      </c>
      <c r="B2265" s="4"/>
      <c r="I2265" s="8"/>
      <c r="J2265" s="5"/>
      <c r="K2265" s="3"/>
      <c r="L2265" s="3" t="str">
        <f t="shared" si="173"/>
        <v/>
      </c>
      <c r="N2265" s="3" t="str">
        <f t="shared" si="172"/>
        <v/>
      </c>
      <c r="O2265" s="6" t="str">
        <f t="shared" si="174"/>
        <v/>
      </c>
      <c r="P2265" s="7">
        <f ca="1">SUMIFS($N$2:$N2265,$B$2:$B2265,"&lt;&gt;"&amp;B2265)+SUM($Q$2:$Q2265)</f>
        <v>135.05500000000001</v>
      </c>
      <c r="R2265" t="b">
        <f>AND(ISNUMBER(FIND($E2265,Tables!$I$2)), ISNUMBER(FIND($D2265,Tables!$J$2)), $E2265&lt;&gt;"")</f>
        <v>0</v>
      </c>
    </row>
    <row r="2266" spans="1:18" x14ac:dyDescent="0.3">
      <c r="A2266">
        <f t="shared" si="171"/>
        <v>2249</v>
      </c>
      <c r="B2266" s="4"/>
      <c r="I2266" s="8"/>
      <c r="J2266" s="5"/>
      <c r="K2266" s="3"/>
      <c r="L2266" s="3" t="str">
        <f t="shared" si="173"/>
        <v/>
      </c>
      <c r="N2266" s="3" t="str">
        <f t="shared" si="172"/>
        <v/>
      </c>
      <c r="O2266" s="6" t="str">
        <f t="shared" si="174"/>
        <v/>
      </c>
      <c r="P2266" s="7">
        <f ca="1">SUMIFS($N$2:$N2266,$B$2:$B2266,"&lt;&gt;"&amp;B2266)+SUM($Q$2:$Q2266)</f>
        <v>135.05500000000001</v>
      </c>
      <c r="R2266" t="b">
        <f>AND(ISNUMBER(FIND($E2266,Tables!$I$2)), ISNUMBER(FIND($D2266,Tables!$J$2)), $E2266&lt;&gt;"")</f>
        <v>0</v>
      </c>
    </row>
    <row r="2267" spans="1:18" x14ac:dyDescent="0.3">
      <c r="A2267">
        <f t="shared" si="171"/>
        <v>2250</v>
      </c>
      <c r="B2267" s="4"/>
      <c r="I2267" s="8"/>
      <c r="J2267" s="5"/>
      <c r="K2267" s="3"/>
      <c r="L2267" s="3" t="str">
        <f t="shared" si="173"/>
        <v/>
      </c>
      <c r="N2267" s="3" t="str">
        <f t="shared" si="172"/>
        <v/>
      </c>
      <c r="O2267" s="6" t="str">
        <f t="shared" si="174"/>
        <v/>
      </c>
      <c r="P2267" s="7">
        <f ca="1">SUMIFS($N$2:$N2267,$B$2:$B2267,"&lt;&gt;"&amp;B2267)+SUM($Q$2:$Q2267)</f>
        <v>135.05500000000001</v>
      </c>
      <c r="R2267" t="b">
        <f>AND(ISNUMBER(FIND($E2267,Tables!$I$2)), ISNUMBER(FIND($D2267,Tables!$J$2)), $E2267&lt;&gt;"")</f>
        <v>0</v>
      </c>
    </row>
    <row r="2268" spans="1:18" x14ac:dyDescent="0.3">
      <c r="A2268">
        <f t="shared" si="171"/>
        <v>2251</v>
      </c>
      <c r="B2268" s="4"/>
      <c r="I2268" s="8"/>
      <c r="J2268" s="5"/>
      <c r="K2268" s="3"/>
      <c r="L2268" s="3" t="str">
        <f t="shared" si="173"/>
        <v/>
      </c>
      <c r="N2268" s="3" t="str">
        <f t="shared" si="172"/>
        <v/>
      </c>
      <c r="O2268" s="6" t="str">
        <f t="shared" si="174"/>
        <v/>
      </c>
      <c r="P2268" s="7">
        <f ca="1">SUMIFS($N$2:$N2268,$B$2:$B2268,"&lt;&gt;"&amp;B2268)+SUM($Q$2:$Q2268)</f>
        <v>135.05500000000001</v>
      </c>
      <c r="R2268" t="b">
        <f>AND(ISNUMBER(FIND($E2268,Tables!$I$2)), ISNUMBER(FIND($D2268,Tables!$J$2)), $E2268&lt;&gt;"")</f>
        <v>0</v>
      </c>
    </row>
    <row r="2269" spans="1:18" x14ac:dyDescent="0.3">
      <c r="A2269">
        <f t="shared" si="171"/>
        <v>2252</v>
      </c>
      <c r="B2269" s="4"/>
      <c r="I2269" s="8"/>
      <c r="J2269" s="5"/>
      <c r="K2269" s="3"/>
      <c r="L2269" s="3" t="str">
        <f t="shared" si="173"/>
        <v/>
      </c>
      <c r="N2269" s="3" t="str">
        <f t="shared" si="172"/>
        <v/>
      </c>
      <c r="O2269" s="6" t="str">
        <f t="shared" si="174"/>
        <v/>
      </c>
      <c r="P2269" s="7">
        <f ca="1">SUMIFS($N$2:$N2269,$B$2:$B2269,"&lt;&gt;"&amp;B2269)+SUM($Q$2:$Q2269)</f>
        <v>135.05500000000001</v>
      </c>
      <c r="R2269" t="b">
        <f>AND(ISNUMBER(FIND($E2269,Tables!$I$2)), ISNUMBER(FIND($D2269,Tables!$J$2)), $E2269&lt;&gt;"")</f>
        <v>0</v>
      </c>
    </row>
    <row r="2270" spans="1:18" x14ac:dyDescent="0.3">
      <c r="A2270">
        <f t="shared" si="171"/>
        <v>2253</v>
      </c>
      <c r="B2270" s="4"/>
      <c r="I2270" s="8"/>
      <c r="J2270" s="5"/>
      <c r="K2270" s="3"/>
      <c r="L2270" s="3" t="str">
        <f t="shared" si="173"/>
        <v/>
      </c>
      <c r="N2270" s="3" t="str">
        <f t="shared" si="172"/>
        <v/>
      </c>
      <c r="O2270" s="6" t="str">
        <f t="shared" si="174"/>
        <v/>
      </c>
      <c r="P2270" s="7">
        <f ca="1">SUMIFS($N$2:$N2270,$B$2:$B2270,"&lt;&gt;"&amp;B2270)+SUM($Q$2:$Q2270)</f>
        <v>135.05500000000001</v>
      </c>
      <c r="R2270" t="b">
        <f>AND(ISNUMBER(FIND($E2270,Tables!$I$2)), ISNUMBER(FIND($D2270,Tables!$J$2)), $E2270&lt;&gt;"")</f>
        <v>0</v>
      </c>
    </row>
    <row r="2271" spans="1:18" x14ac:dyDescent="0.3">
      <c r="A2271">
        <f t="shared" si="171"/>
        <v>2254</v>
      </c>
      <c r="B2271" s="4"/>
      <c r="I2271" s="8"/>
      <c r="J2271" s="5"/>
      <c r="K2271" s="3"/>
      <c r="L2271" s="3" t="str">
        <f t="shared" si="173"/>
        <v/>
      </c>
      <c r="N2271" s="3" t="str">
        <f t="shared" si="172"/>
        <v/>
      </c>
      <c r="O2271" s="6" t="str">
        <f t="shared" si="174"/>
        <v/>
      </c>
      <c r="P2271" s="7">
        <f ca="1">SUMIFS($N$2:$N2271,$B$2:$B2271,"&lt;&gt;"&amp;B2271)+SUM($Q$2:$Q2271)</f>
        <v>135.05500000000001</v>
      </c>
      <c r="R2271" t="b">
        <f>AND(ISNUMBER(FIND($E2271,Tables!$I$2)), ISNUMBER(FIND($D2271,Tables!$J$2)), $E2271&lt;&gt;"")</f>
        <v>0</v>
      </c>
    </row>
    <row r="2272" spans="1:18" x14ac:dyDescent="0.3">
      <c r="A2272">
        <f t="shared" si="171"/>
        <v>2255</v>
      </c>
      <c r="B2272" s="4"/>
      <c r="I2272" s="8"/>
      <c r="J2272" s="5"/>
      <c r="K2272" s="3"/>
      <c r="L2272" s="3" t="str">
        <f t="shared" si="173"/>
        <v/>
      </c>
      <c r="N2272" s="3" t="str">
        <f t="shared" si="172"/>
        <v/>
      </c>
      <c r="O2272" s="6" t="str">
        <f t="shared" si="174"/>
        <v/>
      </c>
      <c r="P2272" s="7">
        <f ca="1">SUMIFS($N$2:$N2272,$B$2:$B2272,"&lt;&gt;"&amp;B2272)+SUM($Q$2:$Q2272)</f>
        <v>135.05500000000001</v>
      </c>
      <c r="R2272" t="b">
        <f>AND(ISNUMBER(FIND($E2272,Tables!$I$2)), ISNUMBER(FIND($D2272,Tables!$J$2)), $E2272&lt;&gt;"")</f>
        <v>0</v>
      </c>
    </row>
    <row r="2273" spans="1:18" x14ac:dyDescent="0.3">
      <c r="A2273">
        <f t="shared" si="171"/>
        <v>2256</v>
      </c>
      <c r="B2273" s="4"/>
      <c r="I2273" s="8"/>
      <c r="J2273" s="5"/>
      <c r="K2273" s="3"/>
      <c r="L2273" s="3" t="str">
        <f t="shared" si="173"/>
        <v/>
      </c>
      <c r="N2273" s="3" t="str">
        <f t="shared" si="172"/>
        <v/>
      </c>
      <c r="O2273" s="6" t="str">
        <f t="shared" si="174"/>
        <v/>
      </c>
      <c r="P2273" s="7">
        <f ca="1">SUMIFS($N$2:$N2273,$B$2:$B2273,"&lt;&gt;"&amp;B2273)+SUM($Q$2:$Q2273)</f>
        <v>135.05500000000001</v>
      </c>
      <c r="R2273" t="b">
        <f>AND(ISNUMBER(FIND($E2273,Tables!$I$2)), ISNUMBER(FIND($D2273,Tables!$J$2)), $E2273&lt;&gt;"")</f>
        <v>0</v>
      </c>
    </row>
    <row r="2274" spans="1:18" x14ac:dyDescent="0.3">
      <c r="A2274">
        <f t="shared" ref="A2274:A2337" si="175">IF(AND(B2274="", D2274&lt;&gt;""), A2273, A2273+1)</f>
        <v>2257</v>
      </c>
      <c r="B2274" s="4"/>
      <c r="I2274" s="8"/>
      <c r="J2274" s="5"/>
      <c r="K2274" s="3"/>
      <c r="L2274" s="3" t="str">
        <f t="shared" si="173"/>
        <v/>
      </c>
      <c r="N2274" s="3" t="str">
        <f t="shared" si="172"/>
        <v/>
      </c>
      <c r="O2274" s="6" t="str">
        <f t="shared" si="174"/>
        <v/>
      </c>
      <c r="P2274" s="7">
        <f ca="1">SUMIFS($N$2:$N2274,$B$2:$B2274,"&lt;&gt;"&amp;B2274)+SUM($Q$2:$Q2274)</f>
        <v>135.05500000000001</v>
      </c>
      <c r="R2274" t="b">
        <f>AND(ISNUMBER(FIND($E2274,Tables!$I$2)), ISNUMBER(FIND($D2274,Tables!$J$2)), $E2274&lt;&gt;"")</f>
        <v>0</v>
      </c>
    </row>
    <row r="2275" spans="1:18" x14ac:dyDescent="0.3">
      <c r="A2275">
        <f t="shared" si="175"/>
        <v>2258</v>
      </c>
      <c r="B2275" s="4"/>
      <c r="I2275" s="8"/>
      <c r="J2275" s="5"/>
      <c r="K2275" s="3"/>
      <c r="L2275" s="3" t="str">
        <f t="shared" si="173"/>
        <v/>
      </c>
      <c r="N2275" s="3" t="str">
        <f t="shared" si="172"/>
        <v/>
      </c>
      <c r="O2275" s="6" t="str">
        <f t="shared" si="174"/>
        <v/>
      </c>
      <c r="P2275" s="7">
        <f ca="1">SUMIFS($N$2:$N2275,$B$2:$B2275,"&lt;&gt;"&amp;B2275)+SUM($Q$2:$Q2275)</f>
        <v>135.05500000000001</v>
      </c>
      <c r="R2275" t="b">
        <f>AND(ISNUMBER(FIND($E2275,Tables!$I$2)), ISNUMBER(FIND($D2275,Tables!$J$2)), $E2275&lt;&gt;"")</f>
        <v>0</v>
      </c>
    </row>
    <row r="2276" spans="1:18" x14ac:dyDescent="0.3">
      <c r="A2276">
        <f t="shared" si="175"/>
        <v>2259</v>
      </c>
      <c r="B2276" s="4"/>
      <c r="I2276" s="8"/>
      <c r="J2276" s="5"/>
      <c r="K2276" s="3"/>
      <c r="L2276" s="3" t="str">
        <f t="shared" si="173"/>
        <v/>
      </c>
      <c r="N2276" s="3" t="str">
        <f t="shared" si="172"/>
        <v/>
      </c>
      <c r="O2276" s="6" t="str">
        <f t="shared" si="174"/>
        <v/>
      </c>
      <c r="P2276" s="7">
        <f ca="1">SUMIFS($N$2:$N2276,$B$2:$B2276,"&lt;&gt;"&amp;B2276)+SUM($Q$2:$Q2276)</f>
        <v>135.05500000000001</v>
      </c>
      <c r="R2276" t="b">
        <f>AND(ISNUMBER(FIND($E2276,Tables!$I$2)), ISNUMBER(FIND($D2276,Tables!$J$2)), $E2276&lt;&gt;"")</f>
        <v>0</v>
      </c>
    </row>
    <row r="2277" spans="1:18" x14ac:dyDescent="0.3">
      <c r="A2277">
        <f t="shared" si="175"/>
        <v>2260</v>
      </c>
      <c r="B2277" s="4"/>
      <c r="I2277" s="8"/>
      <c r="J2277" s="5"/>
      <c r="K2277" s="3"/>
      <c r="L2277" s="3" t="str">
        <f t="shared" si="173"/>
        <v/>
      </c>
      <c r="N2277" s="3" t="str">
        <f t="shared" si="172"/>
        <v/>
      </c>
      <c r="O2277" s="6" t="str">
        <f t="shared" si="174"/>
        <v/>
      </c>
      <c r="P2277" s="7">
        <f ca="1">SUMIFS($N$2:$N2277,$B$2:$B2277,"&lt;&gt;"&amp;B2277)+SUM($Q$2:$Q2277)</f>
        <v>135.05500000000001</v>
      </c>
      <c r="R2277" t="b">
        <f>AND(ISNUMBER(FIND($E2277,Tables!$I$2)), ISNUMBER(FIND($D2277,Tables!$J$2)), $E2277&lt;&gt;"")</f>
        <v>0</v>
      </c>
    </row>
    <row r="2278" spans="1:18" x14ac:dyDescent="0.3">
      <c r="A2278">
        <f t="shared" si="175"/>
        <v>2261</v>
      </c>
      <c r="B2278" s="4"/>
      <c r="I2278" s="8"/>
      <c r="J2278" s="5"/>
      <c r="K2278" s="3"/>
      <c r="L2278" s="3" t="str">
        <f t="shared" si="173"/>
        <v/>
      </c>
      <c r="N2278" s="3" t="str">
        <f t="shared" si="172"/>
        <v/>
      </c>
      <c r="O2278" s="6" t="str">
        <f t="shared" si="174"/>
        <v/>
      </c>
      <c r="P2278" s="7">
        <f ca="1">SUMIFS($N$2:$N2278,$B$2:$B2278,"&lt;&gt;"&amp;B2278)+SUM($Q$2:$Q2278)</f>
        <v>135.05500000000001</v>
      </c>
      <c r="R2278" t="b">
        <f>AND(ISNUMBER(FIND($E2278,Tables!$I$2)), ISNUMBER(FIND($D2278,Tables!$J$2)), $E2278&lt;&gt;"")</f>
        <v>0</v>
      </c>
    </row>
    <row r="2279" spans="1:18" x14ac:dyDescent="0.3">
      <c r="A2279">
        <f t="shared" si="175"/>
        <v>2262</v>
      </c>
      <c r="B2279" s="4"/>
      <c r="I2279" s="8"/>
      <c r="J2279" s="5"/>
      <c r="K2279" s="3"/>
      <c r="L2279" s="3" t="str">
        <f t="shared" si="173"/>
        <v/>
      </c>
      <c r="N2279" s="3" t="str">
        <f t="shared" si="172"/>
        <v/>
      </c>
      <c r="O2279" s="6" t="str">
        <f t="shared" si="174"/>
        <v/>
      </c>
      <c r="P2279" s="7">
        <f ca="1">SUMIFS($N$2:$N2279,$B$2:$B2279,"&lt;&gt;"&amp;B2279)+SUM($Q$2:$Q2279)</f>
        <v>135.05500000000001</v>
      </c>
      <c r="R2279" t="b">
        <f>AND(ISNUMBER(FIND($E2279,Tables!$I$2)), ISNUMBER(FIND($D2279,Tables!$J$2)), $E2279&lt;&gt;"")</f>
        <v>0</v>
      </c>
    </row>
    <row r="2280" spans="1:18" x14ac:dyDescent="0.3">
      <c r="A2280">
        <f t="shared" si="175"/>
        <v>2263</v>
      </c>
      <c r="B2280" s="4"/>
      <c r="I2280" s="8"/>
      <c r="J2280" s="5"/>
      <c r="K2280" s="3"/>
      <c r="L2280" s="3" t="str">
        <f t="shared" si="173"/>
        <v/>
      </c>
      <c r="N2280" s="3" t="str">
        <f t="shared" ref="N2280:N2343" si="176">IF(L2280 = "", "", IF(M2280="", "", IF(OR(M2280="Draw",M2280="NC"), 0, IF(M2280="win", L2280, -1*K2280))))</f>
        <v/>
      </c>
      <c r="O2280" s="6" t="str">
        <f t="shared" si="174"/>
        <v/>
      </c>
      <c r="P2280" s="7">
        <f ca="1">SUMIFS($N$2:$N2280,$B$2:$B2280,"&lt;&gt;"&amp;B2280)+SUM($Q$2:$Q2280)</f>
        <v>135.05500000000001</v>
      </c>
      <c r="R2280" t="b">
        <f>AND(ISNUMBER(FIND($E2280,Tables!$I$2)), ISNUMBER(FIND($D2280,Tables!$J$2)), $E2280&lt;&gt;"")</f>
        <v>0</v>
      </c>
    </row>
    <row r="2281" spans="1:18" x14ac:dyDescent="0.3">
      <c r="A2281">
        <f t="shared" si="175"/>
        <v>2264</v>
      </c>
      <c r="B2281" s="4"/>
      <c r="I2281" s="8"/>
      <c r="J2281" s="5"/>
      <c r="K2281" s="3"/>
      <c r="L2281" s="3" t="str">
        <f t="shared" si="173"/>
        <v/>
      </c>
      <c r="N2281" s="3" t="str">
        <f t="shared" si="176"/>
        <v/>
      </c>
      <c r="O2281" s="6" t="str">
        <f t="shared" si="174"/>
        <v/>
      </c>
      <c r="P2281" s="7">
        <f ca="1">SUMIFS($N$2:$N2281,$B$2:$B2281,"&lt;&gt;"&amp;B2281)+SUM($Q$2:$Q2281)</f>
        <v>135.05500000000001</v>
      </c>
      <c r="R2281" t="b">
        <f>AND(ISNUMBER(FIND($E2281,Tables!$I$2)), ISNUMBER(FIND($D2281,Tables!$J$2)), $E2281&lt;&gt;"")</f>
        <v>0</v>
      </c>
    </row>
    <row r="2282" spans="1:18" x14ac:dyDescent="0.3">
      <c r="A2282">
        <f t="shared" si="175"/>
        <v>2265</v>
      </c>
      <c r="B2282" s="4"/>
      <c r="I2282" s="8"/>
      <c r="J2282" s="5"/>
      <c r="K2282" s="3"/>
      <c r="L2282" s="3" t="str">
        <f t="shared" si="173"/>
        <v/>
      </c>
      <c r="N2282" s="3" t="str">
        <f t="shared" si="176"/>
        <v/>
      </c>
      <c r="O2282" s="6" t="str">
        <f t="shared" si="174"/>
        <v/>
      </c>
      <c r="P2282" s="7">
        <f ca="1">SUMIFS($N$2:$N2282,$B$2:$B2282,"&lt;&gt;"&amp;B2282)+SUM($Q$2:$Q2282)</f>
        <v>135.05500000000001</v>
      </c>
      <c r="R2282" t="b">
        <f>AND(ISNUMBER(FIND($E2282,Tables!$I$2)), ISNUMBER(FIND($D2282,Tables!$J$2)), $E2282&lt;&gt;"")</f>
        <v>0</v>
      </c>
    </row>
    <row r="2283" spans="1:18" x14ac:dyDescent="0.3">
      <c r="A2283">
        <f t="shared" si="175"/>
        <v>2266</v>
      </c>
      <c r="B2283" s="4"/>
      <c r="I2283" s="8"/>
      <c r="J2283" s="5"/>
      <c r="K2283" s="3"/>
      <c r="L2283" s="3" t="str">
        <f t="shared" si="173"/>
        <v/>
      </c>
      <c r="N2283" s="3" t="str">
        <f t="shared" si="176"/>
        <v/>
      </c>
      <c r="O2283" s="6" t="str">
        <f t="shared" si="174"/>
        <v/>
      </c>
      <c r="P2283" s="7">
        <f ca="1">SUMIFS($N$2:$N2283,$B$2:$B2283,"&lt;&gt;"&amp;B2283)+SUM($Q$2:$Q2283)</f>
        <v>135.05500000000001</v>
      </c>
      <c r="R2283" t="b">
        <f>AND(ISNUMBER(FIND($E2283,Tables!$I$2)), ISNUMBER(FIND($D2283,Tables!$J$2)), $E2283&lt;&gt;"")</f>
        <v>0</v>
      </c>
    </row>
    <row r="2284" spans="1:18" x14ac:dyDescent="0.3">
      <c r="A2284">
        <f t="shared" si="175"/>
        <v>2267</v>
      </c>
      <c r="B2284" s="4"/>
      <c r="I2284" s="8"/>
      <c r="J2284" s="5"/>
      <c r="K2284" s="3"/>
      <c r="L2284" s="3" t="str">
        <f t="shared" si="173"/>
        <v/>
      </c>
      <c r="N2284" s="3" t="str">
        <f t="shared" si="176"/>
        <v/>
      </c>
      <c r="O2284" s="6" t="str">
        <f t="shared" si="174"/>
        <v/>
      </c>
      <c r="P2284" s="7">
        <f ca="1">SUMIFS($N$2:$N2284,$B$2:$B2284,"&lt;&gt;"&amp;B2284)+SUM($Q$2:$Q2284)</f>
        <v>135.05500000000001</v>
      </c>
      <c r="R2284" t="b">
        <f>AND(ISNUMBER(FIND($E2284,Tables!$I$2)), ISNUMBER(FIND($D2284,Tables!$J$2)), $E2284&lt;&gt;"")</f>
        <v>0</v>
      </c>
    </row>
    <row r="2285" spans="1:18" x14ac:dyDescent="0.3">
      <c r="A2285">
        <f t="shared" si="175"/>
        <v>2268</v>
      </c>
      <c r="B2285" s="4"/>
      <c r="I2285" s="8"/>
      <c r="J2285" s="5"/>
      <c r="K2285" s="3"/>
      <c r="L2285" s="3" t="str">
        <f t="shared" si="173"/>
        <v/>
      </c>
      <c r="N2285" s="3" t="str">
        <f t="shared" si="176"/>
        <v/>
      </c>
      <c r="O2285" s="6" t="str">
        <f t="shared" si="174"/>
        <v/>
      </c>
      <c r="P2285" s="7">
        <f ca="1">SUMIFS($N$2:$N2285,$B$2:$B2285,"&lt;&gt;"&amp;B2285)+SUM($Q$2:$Q2285)</f>
        <v>135.05500000000001</v>
      </c>
      <c r="R2285" t="b">
        <f>AND(ISNUMBER(FIND($E2285,Tables!$I$2)), ISNUMBER(FIND($D2285,Tables!$J$2)), $E2285&lt;&gt;"")</f>
        <v>0</v>
      </c>
    </row>
    <row r="2286" spans="1:18" x14ac:dyDescent="0.3">
      <c r="A2286">
        <f t="shared" si="175"/>
        <v>2269</v>
      </c>
      <c r="B2286" s="4"/>
      <c r="I2286" s="8"/>
      <c r="J2286" s="5"/>
      <c r="K2286" s="3"/>
      <c r="L2286" s="3" t="str">
        <f t="shared" si="173"/>
        <v/>
      </c>
      <c r="N2286" s="3" t="str">
        <f t="shared" si="176"/>
        <v/>
      </c>
      <c r="O2286" s="6" t="str">
        <f t="shared" si="174"/>
        <v/>
      </c>
      <c r="P2286" s="7">
        <f ca="1">SUMIFS($N$2:$N2286,$B$2:$B2286,"&lt;&gt;"&amp;B2286)+SUM($Q$2:$Q2286)</f>
        <v>135.05500000000001</v>
      </c>
      <c r="R2286" t="b">
        <f>AND(ISNUMBER(FIND($E2286,Tables!$I$2)), ISNUMBER(FIND($D2286,Tables!$J$2)), $E2286&lt;&gt;"")</f>
        <v>0</v>
      </c>
    </row>
    <row r="2287" spans="1:18" x14ac:dyDescent="0.3">
      <c r="A2287">
        <f t="shared" si="175"/>
        <v>2270</v>
      </c>
      <c r="B2287" s="4"/>
      <c r="I2287" s="8"/>
      <c r="J2287" s="5"/>
      <c r="K2287" s="3"/>
      <c r="L2287" s="3" t="str">
        <f t="shared" si="173"/>
        <v/>
      </c>
      <c r="N2287" s="3" t="str">
        <f t="shared" si="176"/>
        <v/>
      </c>
      <c r="O2287" s="6" t="str">
        <f t="shared" si="174"/>
        <v/>
      </c>
      <c r="P2287" s="7">
        <f ca="1">SUMIFS($N$2:$N2287,$B$2:$B2287,"&lt;&gt;"&amp;B2287)+SUM($Q$2:$Q2287)</f>
        <v>135.05500000000001</v>
      </c>
      <c r="R2287" t="b">
        <f>AND(ISNUMBER(FIND($E2287,Tables!$I$2)), ISNUMBER(FIND($D2287,Tables!$J$2)), $E2287&lt;&gt;"")</f>
        <v>0</v>
      </c>
    </row>
    <row r="2288" spans="1:18" x14ac:dyDescent="0.3">
      <c r="A2288">
        <f t="shared" si="175"/>
        <v>2271</v>
      </c>
      <c r="B2288" s="4"/>
      <c r="I2288" s="8"/>
      <c r="J2288" s="5"/>
      <c r="K2288" s="3"/>
      <c r="L2288" s="3" t="str">
        <f t="shared" si="173"/>
        <v/>
      </c>
      <c r="N2288" s="3" t="str">
        <f t="shared" si="176"/>
        <v/>
      </c>
      <c r="O2288" s="6" t="str">
        <f t="shared" si="174"/>
        <v/>
      </c>
      <c r="P2288" s="7">
        <f ca="1">SUMIFS($N$2:$N2288,$B$2:$B2288,"&lt;&gt;"&amp;B2288)+SUM($Q$2:$Q2288)</f>
        <v>135.05500000000001</v>
      </c>
      <c r="R2288" t="b">
        <f>AND(ISNUMBER(FIND($E2288,Tables!$I$2)), ISNUMBER(FIND($D2288,Tables!$J$2)), $E2288&lt;&gt;"")</f>
        <v>0</v>
      </c>
    </row>
    <row r="2289" spans="1:18" x14ac:dyDescent="0.3">
      <c r="A2289">
        <f t="shared" si="175"/>
        <v>2272</v>
      </c>
      <c r="B2289" s="4"/>
      <c r="I2289" s="8"/>
      <c r="J2289" s="5"/>
      <c r="K2289" s="3"/>
      <c r="L2289" s="3" t="str">
        <f t="shared" si="173"/>
        <v/>
      </c>
      <c r="N2289" s="3" t="str">
        <f t="shared" si="176"/>
        <v/>
      </c>
      <c r="O2289" s="6" t="str">
        <f t="shared" si="174"/>
        <v/>
      </c>
      <c r="P2289" s="7">
        <f ca="1">SUMIFS($N$2:$N2289,$B$2:$B2289,"&lt;&gt;"&amp;B2289)+SUM($Q$2:$Q2289)</f>
        <v>135.05500000000001</v>
      </c>
      <c r="R2289" t="b">
        <f>AND(ISNUMBER(FIND($E2289,Tables!$I$2)), ISNUMBER(FIND($D2289,Tables!$J$2)), $E2289&lt;&gt;"")</f>
        <v>0</v>
      </c>
    </row>
    <row r="2290" spans="1:18" x14ac:dyDescent="0.3">
      <c r="A2290">
        <f t="shared" si="175"/>
        <v>2273</v>
      </c>
      <c r="B2290" s="4"/>
      <c r="I2290" s="8"/>
      <c r="J2290" s="5"/>
      <c r="K2290" s="3"/>
      <c r="L2290" s="3" t="str">
        <f t="shared" ref="L2290:L2353" si="177">IFERROR(IF(K2290=0, "", IF(I2290&gt;0, K2290/100*I2290,K2290/I2290*-100)), "")</f>
        <v/>
      </c>
      <c r="N2290" s="3" t="str">
        <f t="shared" si="176"/>
        <v/>
      </c>
      <c r="O2290" s="6" t="str">
        <f t="shared" si="174"/>
        <v/>
      </c>
      <c r="P2290" s="7">
        <f ca="1">SUMIFS($N$2:$N2290,$B$2:$B2290,"&lt;&gt;"&amp;B2290)+SUM($Q$2:$Q2290)</f>
        <v>135.05500000000001</v>
      </c>
      <c r="R2290" t="b">
        <f>AND(ISNUMBER(FIND($E2290,Tables!$I$2)), ISNUMBER(FIND($D2290,Tables!$J$2)), $E2290&lt;&gt;"")</f>
        <v>0</v>
      </c>
    </row>
    <row r="2291" spans="1:18" x14ac:dyDescent="0.3">
      <c r="A2291">
        <f t="shared" si="175"/>
        <v>2274</v>
      </c>
      <c r="B2291" s="4"/>
      <c r="I2291" s="8"/>
      <c r="J2291" s="5"/>
      <c r="K2291" s="3"/>
      <c r="L2291" s="3" t="str">
        <f t="shared" si="177"/>
        <v/>
      </c>
      <c r="N2291" s="3" t="str">
        <f t="shared" si="176"/>
        <v/>
      </c>
      <c r="O2291" s="6" t="str">
        <f t="shared" si="174"/>
        <v/>
      </c>
      <c r="P2291" s="7">
        <f ca="1">SUMIFS($N$2:$N2291,$B$2:$B2291,"&lt;&gt;"&amp;B2291)+SUM($Q$2:$Q2291)</f>
        <v>135.05500000000001</v>
      </c>
      <c r="R2291" t="b">
        <f>AND(ISNUMBER(FIND($E2291,Tables!$I$2)), ISNUMBER(FIND($D2291,Tables!$J$2)), $E2291&lt;&gt;"")</f>
        <v>0</v>
      </c>
    </row>
    <row r="2292" spans="1:18" x14ac:dyDescent="0.3">
      <c r="A2292">
        <f t="shared" si="175"/>
        <v>2275</v>
      </c>
      <c r="B2292" s="4"/>
      <c r="I2292" s="8"/>
      <c r="J2292" s="5"/>
      <c r="K2292" s="3"/>
      <c r="L2292" s="3" t="str">
        <f t="shared" si="177"/>
        <v/>
      </c>
      <c r="N2292" s="3" t="str">
        <f t="shared" si="176"/>
        <v/>
      </c>
      <c r="O2292" s="6" t="str">
        <f t="shared" si="174"/>
        <v/>
      </c>
      <c r="P2292" s="7">
        <f ca="1">SUMIFS($N$2:$N2292,$B$2:$B2292,"&lt;&gt;"&amp;B2292)+SUM($Q$2:$Q2292)</f>
        <v>135.05500000000001</v>
      </c>
      <c r="R2292" t="b">
        <f>AND(ISNUMBER(FIND($E2292,Tables!$I$2)), ISNUMBER(FIND($D2292,Tables!$J$2)), $E2292&lt;&gt;"")</f>
        <v>0</v>
      </c>
    </row>
    <row r="2293" spans="1:18" x14ac:dyDescent="0.3">
      <c r="A2293">
        <f t="shared" si="175"/>
        <v>2276</v>
      </c>
      <c r="B2293" s="4"/>
      <c r="I2293" s="8"/>
      <c r="J2293" s="5"/>
      <c r="K2293" s="3"/>
      <c r="L2293" s="3" t="str">
        <f t="shared" si="177"/>
        <v/>
      </c>
      <c r="N2293" s="3" t="str">
        <f t="shared" si="176"/>
        <v/>
      </c>
      <c r="O2293" s="6" t="str">
        <f t="shared" si="174"/>
        <v/>
      </c>
      <c r="P2293" s="7">
        <f ca="1">SUMIFS($N$2:$N2293,$B$2:$B2293,"&lt;&gt;"&amp;B2293)+SUM($Q$2:$Q2293)</f>
        <v>135.05500000000001</v>
      </c>
      <c r="R2293" t="b">
        <f>AND(ISNUMBER(FIND($E2293,Tables!$I$2)), ISNUMBER(FIND($D2293,Tables!$J$2)), $E2293&lt;&gt;"")</f>
        <v>0</v>
      </c>
    </row>
    <row r="2294" spans="1:18" x14ac:dyDescent="0.3">
      <c r="A2294">
        <f t="shared" si="175"/>
        <v>2277</v>
      </c>
      <c r="B2294" s="4"/>
      <c r="I2294" s="8"/>
      <c r="J2294" s="5"/>
      <c r="K2294" s="3"/>
      <c r="L2294" s="3" t="str">
        <f t="shared" si="177"/>
        <v/>
      </c>
      <c r="N2294" s="3" t="str">
        <f t="shared" si="176"/>
        <v/>
      </c>
      <c r="O2294" s="6" t="str">
        <f t="shared" si="174"/>
        <v/>
      </c>
      <c r="P2294" s="7">
        <f ca="1">SUMIFS($N$2:$N2294,$B$2:$B2294,"&lt;&gt;"&amp;B2294)+SUM($Q$2:$Q2294)</f>
        <v>135.05500000000001</v>
      </c>
      <c r="R2294" t="b">
        <f>AND(ISNUMBER(FIND($E2294,Tables!$I$2)), ISNUMBER(FIND($D2294,Tables!$J$2)), $E2294&lt;&gt;"")</f>
        <v>0</v>
      </c>
    </row>
    <row r="2295" spans="1:18" x14ac:dyDescent="0.3">
      <c r="A2295">
        <f t="shared" si="175"/>
        <v>2278</v>
      </c>
      <c r="B2295" s="4"/>
      <c r="I2295" s="8"/>
      <c r="J2295" s="5"/>
      <c r="K2295" s="3"/>
      <c r="L2295" s="3" t="str">
        <f t="shared" si="177"/>
        <v/>
      </c>
      <c r="N2295" s="3" t="str">
        <f t="shared" si="176"/>
        <v/>
      </c>
      <c r="O2295" s="6" t="str">
        <f t="shared" si="174"/>
        <v/>
      </c>
      <c r="P2295" s="7">
        <f ca="1">SUMIFS($N$2:$N2295,$B$2:$B2295,"&lt;&gt;"&amp;B2295)+SUM($Q$2:$Q2295)</f>
        <v>135.05500000000001</v>
      </c>
      <c r="R2295" t="b">
        <f>AND(ISNUMBER(FIND($E2295,Tables!$I$2)), ISNUMBER(FIND($D2295,Tables!$J$2)), $E2295&lt;&gt;"")</f>
        <v>0</v>
      </c>
    </row>
    <row r="2296" spans="1:18" x14ac:dyDescent="0.3">
      <c r="A2296">
        <f t="shared" si="175"/>
        <v>2279</v>
      </c>
      <c r="B2296" s="4"/>
      <c r="I2296" s="8"/>
      <c r="J2296" s="5"/>
      <c r="K2296" s="3"/>
      <c r="L2296" s="3" t="str">
        <f t="shared" si="177"/>
        <v/>
      </c>
      <c r="N2296" s="3" t="str">
        <f t="shared" si="176"/>
        <v/>
      </c>
      <c r="O2296" s="6" t="str">
        <f t="shared" si="174"/>
        <v/>
      </c>
      <c r="P2296" s="7">
        <f ca="1">SUMIFS($N$2:$N2296,$B$2:$B2296,"&lt;&gt;"&amp;B2296)+SUM($Q$2:$Q2296)</f>
        <v>135.05500000000001</v>
      </c>
      <c r="R2296" t="b">
        <f>AND(ISNUMBER(FIND($E2296,Tables!$I$2)), ISNUMBER(FIND($D2296,Tables!$J$2)), $E2296&lt;&gt;"")</f>
        <v>0</v>
      </c>
    </row>
    <row r="2297" spans="1:18" x14ac:dyDescent="0.3">
      <c r="A2297">
        <f t="shared" si="175"/>
        <v>2280</v>
      </c>
      <c r="B2297" s="4"/>
      <c r="I2297" s="8"/>
      <c r="J2297" s="5"/>
      <c r="K2297" s="3"/>
      <c r="L2297" s="3" t="str">
        <f t="shared" si="177"/>
        <v/>
      </c>
      <c r="N2297" s="3" t="str">
        <f t="shared" si="176"/>
        <v/>
      </c>
      <c r="O2297" s="6" t="str">
        <f t="shared" si="174"/>
        <v/>
      </c>
      <c r="P2297" s="7">
        <f ca="1">SUMIFS($N$2:$N2297,$B$2:$B2297,"&lt;&gt;"&amp;B2297)+SUM($Q$2:$Q2297)</f>
        <v>135.05500000000001</v>
      </c>
      <c r="R2297" t="b">
        <f>AND(ISNUMBER(FIND($E2297,Tables!$I$2)), ISNUMBER(FIND($D2297,Tables!$J$2)), $E2297&lt;&gt;"")</f>
        <v>0</v>
      </c>
    </row>
    <row r="2298" spans="1:18" x14ac:dyDescent="0.3">
      <c r="A2298">
        <f t="shared" si="175"/>
        <v>2281</v>
      </c>
      <c r="B2298" s="4"/>
      <c r="I2298" s="8"/>
      <c r="J2298" s="5"/>
      <c r="K2298" s="3"/>
      <c r="L2298" s="3" t="str">
        <f t="shared" si="177"/>
        <v/>
      </c>
      <c r="N2298" s="3" t="str">
        <f t="shared" si="176"/>
        <v/>
      </c>
      <c r="O2298" s="6" t="str">
        <f t="shared" si="174"/>
        <v/>
      </c>
      <c r="P2298" s="7">
        <f ca="1">SUMIFS($N$2:$N2298,$B$2:$B2298,"&lt;&gt;"&amp;B2298)+SUM($Q$2:$Q2298)</f>
        <v>135.05500000000001</v>
      </c>
      <c r="R2298" t="b">
        <f>AND(ISNUMBER(FIND($E2298,Tables!$I$2)), ISNUMBER(FIND($D2298,Tables!$J$2)), $E2298&lt;&gt;"")</f>
        <v>0</v>
      </c>
    </row>
    <row r="2299" spans="1:18" x14ac:dyDescent="0.3">
      <c r="A2299">
        <f t="shared" si="175"/>
        <v>2282</v>
      </c>
      <c r="B2299" s="4"/>
      <c r="I2299" s="8"/>
      <c r="J2299" s="5"/>
      <c r="K2299" s="3"/>
      <c r="L2299" s="3" t="str">
        <f t="shared" si="177"/>
        <v/>
      </c>
      <c r="N2299" s="3" t="str">
        <f t="shared" si="176"/>
        <v/>
      </c>
      <c r="O2299" s="6" t="str">
        <f t="shared" si="174"/>
        <v/>
      </c>
      <c r="P2299" s="7">
        <f ca="1">SUMIFS($N$2:$N2299,$B$2:$B2299,"&lt;&gt;"&amp;B2299)+SUM($Q$2:$Q2299)</f>
        <v>135.05500000000001</v>
      </c>
      <c r="R2299" t="b">
        <f>AND(ISNUMBER(FIND($E2299,Tables!$I$2)), ISNUMBER(FIND($D2299,Tables!$J$2)), $E2299&lt;&gt;"")</f>
        <v>0</v>
      </c>
    </row>
    <row r="2300" spans="1:18" x14ac:dyDescent="0.3">
      <c r="A2300">
        <f t="shared" si="175"/>
        <v>2283</v>
      </c>
      <c r="B2300" s="4"/>
      <c r="I2300" s="8"/>
      <c r="J2300" s="5"/>
      <c r="K2300" s="3"/>
      <c r="L2300" s="3" t="str">
        <f t="shared" si="177"/>
        <v/>
      </c>
      <c r="N2300" s="3" t="str">
        <f t="shared" si="176"/>
        <v/>
      </c>
      <c r="O2300" s="6" t="str">
        <f t="shared" si="174"/>
        <v/>
      </c>
      <c r="P2300" s="7">
        <f ca="1">SUMIFS($N$2:$N2300,$B$2:$B2300,"&lt;&gt;"&amp;B2300)+SUM($Q$2:$Q2300)</f>
        <v>135.05500000000001</v>
      </c>
      <c r="R2300" t="b">
        <f>AND(ISNUMBER(FIND($E2300,Tables!$I$2)), ISNUMBER(FIND($D2300,Tables!$J$2)), $E2300&lt;&gt;"")</f>
        <v>0</v>
      </c>
    </row>
    <row r="2301" spans="1:18" x14ac:dyDescent="0.3">
      <c r="A2301">
        <f t="shared" si="175"/>
        <v>2284</v>
      </c>
      <c r="B2301" s="4"/>
      <c r="I2301" s="8"/>
      <c r="J2301" s="5"/>
      <c r="K2301" s="3"/>
      <c r="L2301" s="3" t="str">
        <f t="shared" si="177"/>
        <v/>
      </c>
      <c r="N2301" s="3" t="str">
        <f t="shared" si="176"/>
        <v/>
      </c>
      <c r="O2301" s="6" t="str">
        <f t="shared" si="174"/>
        <v/>
      </c>
      <c r="P2301" s="7">
        <f ca="1">SUMIFS($N$2:$N2301,$B$2:$B2301,"&lt;&gt;"&amp;B2301)+SUM($Q$2:$Q2301)</f>
        <v>135.05500000000001</v>
      </c>
      <c r="R2301" t="b">
        <f>AND(ISNUMBER(FIND($E2301,Tables!$I$2)), ISNUMBER(FIND($D2301,Tables!$J$2)), $E2301&lt;&gt;"")</f>
        <v>0</v>
      </c>
    </row>
    <row r="2302" spans="1:18" x14ac:dyDescent="0.3">
      <c r="A2302">
        <f t="shared" si="175"/>
        <v>2285</v>
      </c>
      <c r="B2302" s="4"/>
      <c r="I2302" s="8"/>
      <c r="J2302" s="5"/>
      <c r="K2302" s="3"/>
      <c r="L2302" s="3" t="str">
        <f t="shared" si="177"/>
        <v/>
      </c>
      <c r="N2302" s="3" t="str">
        <f t="shared" si="176"/>
        <v/>
      </c>
      <c r="O2302" s="6" t="str">
        <f t="shared" si="174"/>
        <v/>
      </c>
      <c r="P2302" s="7">
        <f ca="1">SUMIFS($N$2:$N2302,$B$2:$B2302,"&lt;&gt;"&amp;B2302)+SUM($Q$2:$Q2302)</f>
        <v>135.05500000000001</v>
      </c>
      <c r="R2302" t="b">
        <f>AND(ISNUMBER(FIND($E2302,Tables!$I$2)), ISNUMBER(FIND($D2302,Tables!$J$2)), $E2302&lt;&gt;"")</f>
        <v>0</v>
      </c>
    </row>
    <row r="2303" spans="1:18" x14ac:dyDescent="0.3">
      <c r="A2303">
        <f t="shared" si="175"/>
        <v>2286</v>
      </c>
      <c r="B2303" s="4"/>
      <c r="I2303" s="8"/>
      <c r="J2303" s="5"/>
      <c r="K2303" s="3"/>
      <c r="L2303" s="3" t="str">
        <f t="shared" si="177"/>
        <v/>
      </c>
      <c r="N2303" s="3" t="str">
        <f t="shared" si="176"/>
        <v/>
      </c>
      <c r="O2303" s="6" t="str">
        <f t="shared" si="174"/>
        <v/>
      </c>
      <c r="P2303" s="7">
        <f ca="1">SUMIFS($N$2:$N2303,$B$2:$B2303,"&lt;&gt;"&amp;B2303)+SUM($Q$2:$Q2303)</f>
        <v>135.05500000000001</v>
      </c>
      <c r="R2303" t="b">
        <f>AND(ISNUMBER(FIND($E2303,Tables!$I$2)), ISNUMBER(FIND($D2303,Tables!$J$2)), $E2303&lt;&gt;"")</f>
        <v>0</v>
      </c>
    </row>
    <row r="2304" spans="1:18" x14ac:dyDescent="0.3">
      <c r="A2304">
        <f t="shared" si="175"/>
        <v>2287</v>
      </c>
      <c r="B2304" s="4"/>
      <c r="I2304" s="8"/>
      <c r="J2304" s="5"/>
      <c r="K2304" s="3"/>
      <c r="L2304" s="3" t="str">
        <f t="shared" si="177"/>
        <v/>
      </c>
      <c r="N2304" s="3" t="str">
        <f t="shared" si="176"/>
        <v/>
      </c>
      <c r="O2304" s="6" t="str">
        <f t="shared" si="174"/>
        <v/>
      </c>
      <c r="P2304" s="7">
        <f ca="1">SUMIFS($N$2:$N2304,$B$2:$B2304,"&lt;&gt;"&amp;B2304)+SUM($Q$2:$Q2304)</f>
        <v>135.05500000000001</v>
      </c>
      <c r="R2304" t="b">
        <f>AND(ISNUMBER(FIND($E2304,Tables!$I$2)), ISNUMBER(FIND($D2304,Tables!$J$2)), $E2304&lt;&gt;"")</f>
        <v>0</v>
      </c>
    </row>
    <row r="2305" spans="1:18" x14ac:dyDescent="0.3">
      <c r="A2305">
        <f t="shared" si="175"/>
        <v>2288</v>
      </c>
      <c r="B2305" s="4"/>
      <c r="I2305" s="8"/>
      <c r="J2305" s="5"/>
      <c r="K2305" s="3"/>
      <c r="L2305" s="3" t="str">
        <f t="shared" si="177"/>
        <v/>
      </c>
      <c r="N2305" s="3" t="str">
        <f t="shared" si="176"/>
        <v/>
      </c>
      <c r="O2305" s="6" t="str">
        <f t="shared" si="174"/>
        <v/>
      </c>
      <c r="P2305" s="7">
        <f ca="1">SUMIFS($N$2:$N2305,$B$2:$B2305,"&lt;&gt;"&amp;B2305)+SUM($Q$2:$Q2305)</f>
        <v>135.05500000000001</v>
      </c>
      <c r="R2305" t="b">
        <f>AND(ISNUMBER(FIND($E2305,Tables!$I$2)), ISNUMBER(FIND($D2305,Tables!$J$2)), $E2305&lt;&gt;"")</f>
        <v>0</v>
      </c>
    </row>
    <row r="2306" spans="1:18" x14ac:dyDescent="0.3">
      <c r="A2306">
        <f t="shared" si="175"/>
        <v>2289</v>
      </c>
      <c r="B2306" s="4"/>
      <c r="I2306" s="8"/>
      <c r="J2306" s="5"/>
      <c r="K2306" s="3"/>
      <c r="L2306" s="3" t="str">
        <f t="shared" si="177"/>
        <v/>
      </c>
      <c r="N2306" s="3" t="str">
        <f t="shared" si="176"/>
        <v/>
      </c>
      <c r="O2306" s="6" t="str">
        <f t="shared" ref="O2306:O2369" si="178">IFERROR(K2306/VLOOKUP(_xlfn.MINIFS(A:A,B:B,B2306,C:C,C2306),A:P,16),"")</f>
        <v/>
      </c>
      <c r="P2306" s="7">
        <f ca="1">SUMIFS($N$2:$N2306,$B$2:$B2306,"&lt;&gt;"&amp;B2306)+SUM($Q$2:$Q2306)</f>
        <v>135.05500000000001</v>
      </c>
      <c r="R2306" t="b">
        <f>AND(ISNUMBER(FIND($E2306,Tables!$I$2)), ISNUMBER(FIND($D2306,Tables!$J$2)), $E2306&lt;&gt;"")</f>
        <v>0</v>
      </c>
    </row>
    <row r="2307" spans="1:18" x14ac:dyDescent="0.3">
      <c r="A2307">
        <f t="shared" si="175"/>
        <v>2290</v>
      </c>
      <c r="B2307" s="4"/>
      <c r="I2307" s="8"/>
      <c r="J2307" s="5"/>
      <c r="K2307" s="3"/>
      <c r="L2307" s="3" t="str">
        <f t="shared" si="177"/>
        <v/>
      </c>
      <c r="N2307" s="3" t="str">
        <f t="shared" si="176"/>
        <v/>
      </c>
      <c r="O2307" s="6" t="str">
        <f t="shared" si="178"/>
        <v/>
      </c>
      <c r="P2307" s="7">
        <f ca="1">SUMIFS($N$2:$N2307,$B$2:$B2307,"&lt;&gt;"&amp;B2307)+SUM($Q$2:$Q2307)</f>
        <v>135.05500000000001</v>
      </c>
      <c r="R2307" t="b">
        <f>AND(ISNUMBER(FIND($E2307,Tables!$I$2)), ISNUMBER(FIND($D2307,Tables!$J$2)), $E2307&lt;&gt;"")</f>
        <v>0</v>
      </c>
    </row>
    <row r="2308" spans="1:18" x14ac:dyDescent="0.3">
      <c r="A2308">
        <f t="shared" si="175"/>
        <v>2291</v>
      </c>
      <c r="B2308" s="4"/>
      <c r="I2308" s="8"/>
      <c r="J2308" s="5"/>
      <c r="K2308" s="3"/>
      <c r="L2308" s="3" t="str">
        <f t="shared" si="177"/>
        <v/>
      </c>
      <c r="N2308" s="3" t="str">
        <f t="shared" si="176"/>
        <v/>
      </c>
      <c r="O2308" s="6" t="str">
        <f t="shared" si="178"/>
        <v/>
      </c>
      <c r="P2308" s="7">
        <f ca="1">SUMIFS($N$2:$N2308,$B$2:$B2308,"&lt;&gt;"&amp;B2308)+SUM($Q$2:$Q2308)</f>
        <v>135.05500000000001</v>
      </c>
      <c r="R2308" t="b">
        <f>AND(ISNUMBER(FIND($E2308,Tables!$I$2)), ISNUMBER(FIND($D2308,Tables!$J$2)), $E2308&lt;&gt;"")</f>
        <v>0</v>
      </c>
    </row>
    <row r="2309" spans="1:18" x14ac:dyDescent="0.3">
      <c r="A2309">
        <f t="shared" si="175"/>
        <v>2292</v>
      </c>
      <c r="B2309" s="4"/>
      <c r="I2309" s="8"/>
      <c r="J2309" s="5"/>
      <c r="K2309" s="3"/>
      <c r="L2309" s="3" t="str">
        <f t="shared" si="177"/>
        <v/>
      </c>
      <c r="N2309" s="3" t="str">
        <f t="shared" si="176"/>
        <v/>
      </c>
      <c r="O2309" s="6" t="str">
        <f t="shared" si="178"/>
        <v/>
      </c>
      <c r="P2309" s="7">
        <f ca="1">SUMIFS($N$2:$N2309,$B$2:$B2309,"&lt;&gt;"&amp;B2309)+SUM($Q$2:$Q2309)</f>
        <v>135.05500000000001</v>
      </c>
      <c r="R2309" t="b">
        <f>AND(ISNUMBER(FIND($E2309,Tables!$I$2)), ISNUMBER(FIND($D2309,Tables!$J$2)), $E2309&lt;&gt;"")</f>
        <v>0</v>
      </c>
    </row>
    <row r="2310" spans="1:18" x14ac:dyDescent="0.3">
      <c r="A2310">
        <f t="shared" si="175"/>
        <v>2293</v>
      </c>
      <c r="B2310" s="4"/>
      <c r="I2310" s="8"/>
      <c r="J2310" s="5"/>
      <c r="K2310" s="3"/>
      <c r="L2310" s="3" t="str">
        <f t="shared" si="177"/>
        <v/>
      </c>
      <c r="N2310" s="3" t="str">
        <f t="shared" si="176"/>
        <v/>
      </c>
      <c r="O2310" s="6" t="str">
        <f t="shared" si="178"/>
        <v/>
      </c>
      <c r="P2310" s="7">
        <f ca="1">SUMIFS($N$2:$N2310,$B$2:$B2310,"&lt;&gt;"&amp;B2310)+SUM($Q$2:$Q2310)</f>
        <v>135.05500000000001</v>
      </c>
      <c r="R2310" t="b">
        <f>AND(ISNUMBER(FIND($E2310,Tables!$I$2)), ISNUMBER(FIND($D2310,Tables!$J$2)), $E2310&lt;&gt;"")</f>
        <v>0</v>
      </c>
    </row>
    <row r="2311" spans="1:18" x14ac:dyDescent="0.3">
      <c r="A2311">
        <f t="shared" si="175"/>
        <v>2294</v>
      </c>
      <c r="B2311" s="4"/>
      <c r="I2311" s="8"/>
      <c r="J2311" s="5"/>
      <c r="K2311" s="3"/>
      <c r="L2311" s="3" t="str">
        <f t="shared" si="177"/>
        <v/>
      </c>
      <c r="N2311" s="3" t="str">
        <f t="shared" si="176"/>
        <v/>
      </c>
      <c r="O2311" s="6" t="str">
        <f t="shared" si="178"/>
        <v/>
      </c>
      <c r="P2311" s="7">
        <f ca="1">SUMIFS($N$2:$N2311,$B$2:$B2311,"&lt;&gt;"&amp;B2311)+SUM($Q$2:$Q2311)</f>
        <v>135.05500000000001</v>
      </c>
      <c r="R2311" t="b">
        <f>AND(ISNUMBER(FIND($E2311,Tables!$I$2)), ISNUMBER(FIND($D2311,Tables!$J$2)), $E2311&lt;&gt;"")</f>
        <v>0</v>
      </c>
    </row>
    <row r="2312" spans="1:18" x14ac:dyDescent="0.3">
      <c r="A2312">
        <f t="shared" si="175"/>
        <v>2295</v>
      </c>
      <c r="B2312" s="4"/>
      <c r="I2312" s="8"/>
      <c r="J2312" s="5"/>
      <c r="K2312" s="3"/>
      <c r="L2312" s="3" t="str">
        <f t="shared" si="177"/>
        <v/>
      </c>
      <c r="N2312" s="3" t="str">
        <f t="shared" si="176"/>
        <v/>
      </c>
      <c r="O2312" s="6" t="str">
        <f t="shared" si="178"/>
        <v/>
      </c>
      <c r="P2312" s="7">
        <f ca="1">SUMIFS($N$2:$N2312,$B$2:$B2312,"&lt;&gt;"&amp;B2312)+SUM($Q$2:$Q2312)</f>
        <v>135.05500000000001</v>
      </c>
      <c r="R2312" t="b">
        <f>AND(ISNUMBER(FIND($E2312,Tables!$I$2)), ISNUMBER(FIND($D2312,Tables!$J$2)), $E2312&lt;&gt;"")</f>
        <v>0</v>
      </c>
    </row>
    <row r="2313" spans="1:18" x14ac:dyDescent="0.3">
      <c r="A2313">
        <f t="shared" si="175"/>
        <v>2296</v>
      </c>
      <c r="B2313" s="4"/>
      <c r="I2313" s="8"/>
      <c r="J2313" s="5"/>
      <c r="K2313" s="3"/>
      <c r="L2313" s="3" t="str">
        <f t="shared" si="177"/>
        <v/>
      </c>
      <c r="N2313" s="3" t="str">
        <f t="shared" si="176"/>
        <v/>
      </c>
      <c r="O2313" s="6" t="str">
        <f t="shared" si="178"/>
        <v/>
      </c>
      <c r="P2313" s="7">
        <f ca="1">SUMIFS($N$2:$N2313,$B$2:$B2313,"&lt;&gt;"&amp;B2313)+SUM($Q$2:$Q2313)</f>
        <v>135.05500000000001</v>
      </c>
      <c r="R2313" t="b">
        <f>AND(ISNUMBER(FIND($E2313,Tables!$I$2)), ISNUMBER(FIND($D2313,Tables!$J$2)), $E2313&lt;&gt;"")</f>
        <v>0</v>
      </c>
    </row>
    <row r="2314" spans="1:18" x14ac:dyDescent="0.3">
      <c r="A2314">
        <f t="shared" si="175"/>
        <v>2297</v>
      </c>
      <c r="B2314" s="4"/>
      <c r="I2314" s="8"/>
      <c r="J2314" s="5"/>
      <c r="K2314" s="3"/>
      <c r="L2314" s="3" t="str">
        <f t="shared" si="177"/>
        <v/>
      </c>
      <c r="N2314" s="3" t="str">
        <f t="shared" si="176"/>
        <v/>
      </c>
      <c r="O2314" s="6" t="str">
        <f t="shared" si="178"/>
        <v/>
      </c>
      <c r="P2314" s="7">
        <f ca="1">SUMIFS($N$2:$N2314,$B$2:$B2314,"&lt;&gt;"&amp;B2314)+SUM($Q$2:$Q2314)</f>
        <v>135.05500000000001</v>
      </c>
      <c r="R2314" t="b">
        <f>AND(ISNUMBER(FIND($E2314,Tables!$I$2)), ISNUMBER(FIND($D2314,Tables!$J$2)), $E2314&lt;&gt;"")</f>
        <v>0</v>
      </c>
    </row>
    <row r="2315" spans="1:18" x14ac:dyDescent="0.3">
      <c r="A2315">
        <f t="shared" si="175"/>
        <v>2298</v>
      </c>
      <c r="B2315" s="4"/>
      <c r="I2315" s="8"/>
      <c r="J2315" s="5"/>
      <c r="K2315" s="3"/>
      <c r="L2315" s="3" t="str">
        <f t="shared" si="177"/>
        <v/>
      </c>
      <c r="N2315" s="3" t="str">
        <f t="shared" si="176"/>
        <v/>
      </c>
      <c r="O2315" s="6" t="str">
        <f t="shared" si="178"/>
        <v/>
      </c>
      <c r="P2315" s="7">
        <f ca="1">SUMIFS($N$2:$N2315,$B$2:$B2315,"&lt;&gt;"&amp;B2315)+SUM($Q$2:$Q2315)</f>
        <v>135.05500000000001</v>
      </c>
      <c r="R2315" t="b">
        <f>AND(ISNUMBER(FIND($E2315,Tables!$I$2)), ISNUMBER(FIND($D2315,Tables!$J$2)), $E2315&lt;&gt;"")</f>
        <v>0</v>
      </c>
    </row>
    <row r="2316" spans="1:18" x14ac:dyDescent="0.3">
      <c r="A2316">
        <f t="shared" si="175"/>
        <v>2299</v>
      </c>
      <c r="B2316" s="4"/>
      <c r="I2316" s="8"/>
      <c r="J2316" s="5"/>
      <c r="K2316" s="3"/>
      <c r="L2316" s="3" t="str">
        <f t="shared" si="177"/>
        <v/>
      </c>
      <c r="N2316" s="3" t="str">
        <f t="shared" si="176"/>
        <v/>
      </c>
      <c r="O2316" s="6" t="str">
        <f t="shared" si="178"/>
        <v/>
      </c>
      <c r="P2316" s="7">
        <f ca="1">SUMIFS($N$2:$N2316,$B$2:$B2316,"&lt;&gt;"&amp;B2316)+SUM($Q$2:$Q2316)</f>
        <v>135.05500000000001</v>
      </c>
      <c r="R2316" t="b">
        <f>AND(ISNUMBER(FIND($E2316,Tables!$I$2)), ISNUMBER(FIND($D2316,Tables!$J$2)), $E2316&lt;&gt;"")</f>
        <v>0</v>
      </c>
    </row>
    <row r="2317" spans="1:18" x14ac:dyDescent="0.3">
      <c r="A2317">
        <f t="shared" si="175"/>
        <v>2300</v>
      </c>
      <c r="B2317" s="4"/>
      <c r="I2317" s="8"/>
      <c r="J2317" s="5"/>
      <c r="K2317" s="3"/>
      <c r="L2317" s="3" t="str">
        <f t="shared" si="177"/>
        <v/>
      </c>
      <c r="N2317" s="3" t="str">
        <f t="shared" si="176"/>
        <v/>
      </c>
      <c r="O2317" s="6" t="str">
        <f t="shared" si="178"/>
        <v/>
      </c>
      <c r="P2317" s="7">
        <f ca="1">SUMIFS($N$2:$N2317,$B$2:$B2317,"&lt;&gt;"&amp;B2317)+SUM($Q$2:$Q2317)</f>
        <v>135.05500000000001</v>
      </c>
      <c r="R2317" t="b">
        <f>AND(ISNUMBER(FIND($E2317,Tables!$I$2)), ISNUMBER(FIND($D2317,Tables!$J$2)), $E2317&lt;&gt;"")</f>
        <v>0</v>
      </c>
    </row>
    <row r="2318" spans="1:18" x14ac:dyDescent="0.3">
      <c r="A2318">
        <f t="shared" si="175"/>
        <v>2301</v>
      </c>
      <c r="B2318" s="4"/>
      <c r="I2318" s="8"/>
      <c r="J2318" s="5"/>
      <c r="K2318" s="3"/>
      <c r="L2318" s="3" t="str">
        <f t="shared" si="177"/>
        <v/>
      </c>
      <c r="N2318" s="3" t="str">
        <f t="shared" si="176"/>
        <v/>
      </c>
      <c r="O2318" s="6" t="str">
        <f t="shared" si="178"/>
        <v/>
      </c>
      <c r="P2318" s="7">
        <f ca="1">SUMIFS($N$2:$N2318,$B$2:$B2318,"&lt;&gt;"&amp;B2318)+SUM($Q$2:$Q2318)</f>
        <v>135.05500000000001</v>
      </c>
      <c r="R2318" t="b">
        <f>AND(ISNUMBER(FIND($E2318,Tables!$I$2)), ISNUMBER(FIND($D2318,Tables!$J$2)), $E2318&lt;&gt;"")</f>
        <v>0</v>
      </c>
    </row>
    <row r="2319" spans="1:18" x14ac:dyDescent="0.3">
      <c r="A2319">
        <f t="shared" si="175"/>
        <v>2302</v>
      </c>
      <c r="B2319" s="4"/>
      <c r="I2319" s="8"/>
      <c r="J2319" s="5"/>
      <c r="K2319" s="3"/>
      <c r="L2319" s="3" t="str">
        <f t="shared" si="177"/>
        <v/>
      </c>
      <c r="N2319" s="3" t="str">
        <f t="shared" si="176"/>
        <v/>
      </c>
      <c r="O2319" s="6" t="str">
        <f t="shared" si="178"/>
        <v/>
      </c>
      <c r="P2319" s="7">
        <f ca="1">SUMIFS($N$2:$N2319,$B$2:$B2319,"&lt;&gt;"&amp;B2319)+SUM($Q$2:$Q2319)</f>
        <v>135.05500000000001</v>
      </c>
      <c r="R2319" t="b">
        <f>AND(ISNUMBER(FIND($E2319,Tables!$I$2)), ISNUMBER(FIND($D2319,Tables!$J$2)), $E2319&lt;&gt;"")</f>
        <v>0</v>
      </c>
    </row>
    <row r="2320" spans="1:18" x14ac:dyDescent="0.3">
      <c r="A2320">
        <f t="shared" si="175"/>
        <v>2303</v>
      </c>
      <c r="B2320" s="4"/>
      <c r="I2320" s="8"/>
      <c r="J2320" s="5"/>
      <c r="K2320" s="3"/>
      <c r="L2320" s="3" t="str">
        <f t="shared" si="177"/>
        <v/>
      </c>
      <c r="N2320" s="3" t="str">
        <f t="shared" si="176"/>
        <v/>
      </c>
      <c r="O2320" s="6" t="str">
        <f t="shared" si="178"/>
        <v/>
      </c>
      <c r="P2320" s="7">
        <f ca="1">SUMIFS($N$2:$N2320,$B$2:$B2320,"&lt;&gt;"&amp;B2320)+SUM($Q$2:$Q2320)</f>
        <v>135.05500000000001</v>
      </c>
      <c r="R2320" t="b">
        <f>AND(ISNUMBER(FIND($E2320,Tables!$I$2)), ISNUMBER(FIND($D2320,Tables!$J$2)), $E2320&lt;&gt;"")</f>
        <v>0</v>
      </c>
    </row>
    <row r="2321" spans="1:18" x14ac:dyDescent="0.3">
      <c r="A2321">
        <f t="shared" si="175"/>
        <v>2304</v>
      </c>
      <c r="B2321" s="4"/>
      <c r="I2321" s="8"/>
      <c r="J2321" s="5"/>
      <c r="K2321" s="3"/>
      <c r="L2321" s="3" t="str">
        <f t="shared" si="177"/>
        <v/>
      </c>
      <c r="N2321" s="3" t="str">
        <f t="shared" si="176"/>
        <v/>
      </c>
      <c r="O2321" s="6" t="str">
        <f t="shared" si="178"/>
        <v/>
      </c>
      <c r="P2321" s="7">
        <f ca="1">SUMIFS($N$2:$N2321,$B$2:$B2321,"&lt;&gt;"&amp;B2321)+SUM($Q$2:$Q2321)</f>
        <v>135.05500000000001</v>
      </c>
      <c r="R2321" t="b">
        <f>AND(ISNUMBER(FIND($E2321,Tables!$I$2)), ISNUMBER(FIND($D2321,Tables!$J$2)), $E2321&lt;&gt;"")</f>
        <v>0</v>
      </c>
    </row>
    <row r="2322" spans="1:18" x14ac:dyDescent="0.3">
      <c r="A2322">
        <f t="shared" si="175"/>
        <v>2305</v>
      </c>
      <c r="B2322" s="4"/>
      <c r="I2322" s="8"/>
      <c r="J2322" s="5"/>
      <c r="K2322" s="3"/>
      <c r="L2322" s="3" t="str">
        <f t="shared" si="177"/>
        <v/>
      </c>
      <c r="N2322" s="3" t="str">
        <f t="shared" si="176"/>
        <v/>
      </c>
      <c r="O2322" s="6" t="str">
        <f t="shared" si="178"/>
        <v/>
      </c>
      <c r="P2322" s="7">
        <f ca="1">SUMIFS($N$2:$N2322,$B$2:$B2322,"&lt;&gt;"&amp;B2322)+SUM($Q$2:$Q2322)</f>
        <v>135.05500000000001</v>
      </c>
      <c r="R2322" t="b">
        <f>AND(ISNUMBER(FIND($E2322,Tables!$I$2)), ISNUMBER(FIND($D2322,Tables!$J$2)), $E2322&lt;&gt;"")</f>
        <v>0</v>
      </c>
    </row>
    <row r="2323" spans="1:18" x14ac:dyDescent="0.3">
      <c r="A2323">
        <f t="shared" si="175"/>
        <v>2306</v>
      </c>
      <c r="B2323" s="4"/>
      <c r="I2323" s="8"/>
      <c r="J2323" s="5"/>
      <c r="K2323" s="3"/>
      <c r="L2323" s="3" t="str">
        <f t="shared" si="177"/>
        <v/>
      </c>
      <c r="N2323" s="3" t="str">
        <f t="shared" si="176"/>
        <v/>
      </c>
      <c r="O2323" s="6" t="str">
        <f t="shared" si="178"/>
        <v/>
      </c>
      <c r="P2323" s="7">
        <f ca="1">SUMIFS($N$2:$N2323,$B$2:$B2323,"&lt;&gt;"&amp;B2323)+SUM($Q$2:$Q2323)</f>
        <v>135.05500000000001</v>
      </c>
      <c r="R2323" t="b">
        <f>AND(ISNUMBER(FIND($E2323,Tables!$I$2)), ISNUMBER(FIND($D2323,Tables!$J$2)), $E2323&lt;&gt;"")</f>
        <v>0</v>
      </c>
    </row>
    <row r="2324" spans="1:18" x14ac:dyDescent="0.3">
      <c r="A2324">
        <f t="shared" si="175"/>
        <v>2307</v>
      </c>
      <c r="B2324" s="4"/>
      <c r="I2324" s="8"/>
      <c r="J2324" s="5"/>
      <c r="K2324" s="3"/>
      <c r="L2324" s="3" t="str">
        <f t="shared" si="177"/>
        <v/>
      </c>
      <c r="N2324" s="3" t="str">
        <f t="shared" si="176"/>
        <v/>
      </c>
      <c r="O2324" s="6" t="str">
        <f t="shared" si="178"/>
        <v/>
      </c>
      <c r="P2324" s="7">
        <f ca="1">SUMIFS($N$2:$N2324,$B$2:$B2324,"&lt;&gt;"&amp;B2324)+SUM($Q$2:$Q2324)</f>
        <v>135.05500000000001</v>
      </c>
      <c r="R2324" t="b">
        <f>AND(ISNUMBER(FIND($E2324,Tables!$I$2)), ISNUMBER(FIND($D2324,Tables!$J$2)), $E2324&lt;&gt;"")</f>
        <v>0</v>
      </c>
    </row>
    <row r="2325" spans="1:18" x14ac:dyDescent="0.3">
      <c r="A2325">
        <f t="shared" si="175"/>
        <v>2308</v>
      </c>
      <c r="B2325" s="4"/>
      <c r="I2325" s="8"/>
      <c r="J2325" s="5"/>
      <c r="K2325" s="3"/>
      <c r="L2325" s="3" t="str">
        <f t="shared" si="177"/>
        <v/>
      </c>
      <c r="N2325" s="3" t="str">
        <f t="shared" si="176"/>
        <v/>
      </c>
      <c r="O2325" s="6" t="str">
        <f t="shared" si="178"/>
        <v/>
      </c>
      <c r="P2325" s="7">
        <f ca="1">SUMIFS($N$2:$N2325,$B$2:$B2325,"&lt;&gt;"&amp;B2325)+SUM($Q$2:$Q2325)</f>
        <v>135.05500000000001</v>
      </c>
      <c r="R2325" t="b">
        <f>AND(ISNUMBER(FIND($E2325,Tables!$I$2)), ISNUMBER(FIND($D2325,Tables!$J$2)), $E2325&lt;&gt;"")</f>
        <v>0</v>
      </c>
    </row>
    <row r="2326" spans="1:18" x14ac:dyDescent="0.3">
      <c r="A2326">
        <f t="shared" si="175"/>
        <v>2309</v>
      </c>
      <c r="B2326" s="4"/>
      <c r="I2326" s="8"/>
      <c r="J2326" s="5"/>
      <c r="K2326" s="3"/>
      <c r="L2326" s="3" t="str">
        <f t="shared" si="177"/>
        <v/>
      </c>
      <c r="N2326" s="3" t="str">
        <f t="shared" si="176"/>
        <v/>
      </c>
      <c r="O2326" s="6" t="str">
        <f t="shared" si="178"/>
        <v/>
      </c>
      <c r="P2326" s="7">
        <f ca="1">SUMIFS($N$2:$N2326,$B$2:$B2326,"&lt;&gt;"&amp;B2326)+SUM($Q$2:$Q2326)</f>
        <v>135.05500000000001</v>
      </c>
      <c r="R2326" t="b">
        <f>AND(ISNUMBER(FIND($E2326,Tables!$I$2)), ISNUMBER(FIND($D2326,Tables!$J$2)), $E2326&lt;&gt;"")</f>
        <v>0</v>
      </c>
    </row>
    <row r="2327" spans="1:18" x14ac:dyDescent="0.3">
      <c r="A2327">
        <f t="shared" si="175"/>
        <v>2310</v>
      </c>
      <c r="B2327" s="4"/>
      <c r="I2327" s="8"/>
      <c r="J2327" s="5"/>
      <c r="K2327" s="3"/>
      <c r="L2327" s="3" t="str">
        <f t="shared" si="177"/>
        <v/>
      </c>
      <c r="N2327" s="3" t="str">
        <f t="shared" si="176"/>
        <v/>
      </c>
      <c r="O2327" s="6" t="str">
        <f t="shared" si="178"/>
        <v/>
      </c>
      <c r="P2327" s="7">
        <f ca="1">SUMIFS($N$2:$N2327,$B$2:$B2327,"&lt;&gt;"&amp;B2327)+SUM($Q$2:$Q2327)</f>
        <v>135.05500000000001</v>
      </c>
      <c r="R2327" t="b">
        <f>AND(ISNUMBER(FIND($E2327,Tables!$I$2)), ISNUMBER(FIND($D2327,Tables!$J$2)), $E2327&lt;&gt;"")</f>
        <v>0</v>
      </c>
    </row>
    <row r="2328" spans="1:18" x14ac:dyDescent="0.3">
      <c r="A2328">
        <f t="shared" si="175"/>
        <v>2311</v>
      </c>
      <c r="B2328" s="4"/>
      <c r="I2328" s="8"/>
      <c r="J2328" s="5"/>
      <c r="K2328" s="3"/>
      <c r="L2328" s="3" t="str">
        <f t="shared" si="177"/>
        <v/>
      </c>
      <c r="N2328" s="3" t="str">
        <f t="shared" si="176"/>
        <v/>
      </c>
      <c r="O2328" s="6" t="str">
        <f t="shared" si="178"/>
        <v/>
      </c>
      <c r="P2328" s="7">
        <f ca="1">SUMIFS($N$2:$N2328,$B$2:$B2328,"&lt;&gt;"&amp;B2328)+SUM($Q$2:$Q2328)</f>
        <v>135.05500000000001</v>
      </c>
      <c r="R2328" t="b">
        <f>AND(ISNUMBER(FIND($E2328,Tables!$I$2)), ISNUMBER(FIND($D2328,Tables!$J$2)), $E2328&lt;&gt;"")</f>
        <v>0</v>
      </c>
    </row>
    <row r="2329" spans="1:18" x14ac:dyDescent="0.3">
      <c r="A2329">
        <f t="shared" si="175"/>
        <v>2312</v>
      </c>
      <c r="B2329" s="4"/>
      <c r="I2329" s="8"/>
      <c r="J2329" s="5"/>
      <c r="K2329" s="3"/>
      <c r="L2329" s="3" t="str">
        <f t="shared" si="177"/>
        <v/>
      </c>
      <c r="N2329" s="3" t="str">
        <f t="shared" si="176"/>
        <v/>
      </c>
      <c r="O2329" s="6" t="str">
        <f t="shared" si="178"/>
        <v/>
      </c>
      <c r="P2329" s="7">
        <f ca="1">SUMIFS($N$2:$N2329,$B$2:$B2329,"&lt;&gt;"&amp;B2329)+SUM($Q$2:$Q2329)</f>
        <v>135.05500000000001</v>
      </c>
      <c r="R2329" t="b">
        <f>AND(ISNUMBER(FIND($E2329,Tables!$I$2)), ISNUMBER(FIND($D2329,Tables!$J$2)), $E2329&lt;&gt;"")</f>
        <v>0</v>
      </c>
    </row>
    <row r="2330" spans="1:18" x14ac:dyDescent="0.3">
      <c r="A2330">
        <f t="shared" si="175"/>
        <v>2313</v>
      </c>
      <c r="B2330" s="4"/>
      <c r="I2330" s="8"/>
      <c r="J2330" s="5"/>
      <c r="K2330" s="3"/>
      <c r="L2330" s="3" t="str">
        <f t="shared" si="177"/>
        <v/>
      </c>
      <c r="N2330" s="3" t="str">
        <f t="shared" si="176"/>
        <v/>
      </c>
      <c r="O2330" s="6" t="str">
        <f t="shared" si="178"/>
        <v/>
      </c>
      <c r="P2330" s="7">
        <f ca="1">SUMIFS($N$2:$N2330,$B$2:$B2330,"&lt;&gt;"&amp;B2330)+SUM($Q$2:$Q2330)</f>
        <v>135.05500000000001</v>
      </c>
      <c r="R2330" t="b">
        <f>AND(ISNUMBER(FIND($E2330,Tables!$I$2)), ISNUMBER(FIND($D2330,Tables!$J$2)), $E2330&lt;&gt;"")</f>
        <v>0</v>
      </c>
    </row>
    <row r="2331" spans="1:18" x14ac:dyDescent="0.3">
      <c r="A2331">
        <f t="shared" si="175"/>
        <v>2314</v>
      </c>
      <c r="B2331" s="4"/>
      <c r="I2331" s="8"/>
      <c r="J2331" s="5"/>
      <c r="K2331" s="3"/>
      <c r="L2331" s="3" t="str">
        <f t="shared" si="177"/>
        <v/>
      </c>
      <c r="N2331" s="3" t="str">
        <f t="shared" si="176"/>
        <v/>
      </c>
      <c r="O2331" s="6" t="str">
        <f t="shared" si="178"/>
        <v/>
      </c>
      <c r="P2331" s="7">
        <f ca="1">SUMIFS($N$2:$N2331,$B$2:$B2331,"&lt;&gt;"&amp;B2331)+SUM($Q$2:$Q2331)</f>
        <v>135.05500000000001</v>
      </c>
      <c r="R2331" t="b">
        <f>AND(ISNUMBER(FIND($E2331,Tables!$I$2)), ISNUMBER(FIND($D2331,Tables!$J$2)), $E2331&lt;&gt;"")</f>
        <v>0</v>
      </c>
    </row>
    <row r="2332" spans="1:18" x14ac:dyDescent="0.3">
      <c r="A2332">
        <f t="shared" si="175"/>
        <v>2315</v>
      </c>
      <c r="B2332" s="4"/>
      <c r="I2332" s="8"/>
      <c r="J2332" s="5"/>
      <c r="K2332" s="3"/>
      <c r="L2332" s="3" t="str">
        <f t="shared" si="177"/>
        <v/>
      </c>
      <c r="N2332" s="3" t="str">
        <f t="shared" si="176"/>
        <v/>
      </c>
      <c r="O2332" s="6" t="str">
        <f t="shared" si="178"/>
        <v/>
      </c>
      <c r="P2332" s="7">
        <f ca="1">SUMIFS($N$2:$N2332,$B$2:$B2332,"&lt;&gt;"&amp;B2332)+SUM($Q$2:$Q2332)</f>
        <v>135.05500000000001</v>
      </c>
      <c r="R2332" t="b">
        <f>AND(ISNUMBER(FIND($E2332,Tables!$I$2)), ISNUMBER(FIND($D2332,Tables!$J$2)), $E2332&lt;&gt;"")</f>
        <v>0</v>
      </c>
    </row>
    <row r="2333" spans="1:18" x14ac:dyDescent="0.3">
      <c r="A2333">
        <f t="shared" si="175"/>
        <v>2316</v>
      </c>
      <c r="B2333" s="4"/>
      <c r="I2333" s="8"/>
      <c r="J2333" s="5"/>
      <c r="K2333" s="3"/>
      <c r="L2333" s="3" t="str">
        <f t="shared" si="177"/>
        <v/>
      </c>
      <c r="N2333" s="3" t="str">
        <f t="shared" si="176"/>
        <v/>
      </c>
      <c r="O2333" s="6" t="str">
        <f t="shared" si="178"/>
        <v/>
      </c>
      <c r="P2333" s="7">
        <f ca="1">SUMIFS($N$2:$N2333,$B$2:$B2333,"&lt;&gt;"&amp;B2333)+SUM($Q$2:$Q2333)</f>
        <v>135.05500000000001</v>
      </c>
      <c r="R2333" t="b">
        <f>AND(ISNUMBER(FIND($E2333,Tables!$I$2)), ISNUMBER(FIND($D2333,Tables!$J$2)), $E2333&lt;&gt;"")</f>
        <v>0</v>
      </c>
    </row>
    <row r="2334" spans="1:18" x14ac:dyDescent="0.3">
      <c r="A2334">
        <f t="shared" si="175"/>
        <v>2317</v>
      </c>
      <c r="B2334" s="4"/>
      <c r="I2334" s="8"/>
      <c r="J2334" s="5"/>
      <c r="K2334" s="3"/>
      <c r="L2334" s="3" t="str">
        <f t="shared" si="177"/>
        <v/>
      </c>
      <c r="N2334" s="3" t="str">
        <f t="shared" si="176"/>
        <v/>
      </c>
      <c r="O2334" s="6" t="str">
        <f t="shared" si="178"/>
        <v/>
      </c>
      <c r="P2334" s="7">
        <f ca="1">SUMIFS($N$2:$N2334,$B$2:$B2334,"&lt;&gt;"&amp;B2334)+SUM($Q$2:$Q2334)</f>
        <v>135.05500000000001</v>
      </c>
      <c r="R2334" t="b">
        <f>AND(ISNUMBER(FIND($E2334,Tables!$I$2)), ISNUMBER(FIND($D2334,Tables!$J$2)), $E2334&lt;&gt;"")</f>
        <v>0</v>
      </c>
    </row>
    <row r="2335" spans="1:18" x14ac:dyDescent="0.3">
      <c r="A2335">
        <f t="shared" si="175"/>
        <v>2318</v>
      </c>
      <c r="B2335" s="4"/>
      <c r="I2335" s="8"/>
      <c r="J2335" s="5"/>
      <c r="K2335" s="3"/>
      <c r="L2335" s="3" t="str">
        <f t="shared" si="177"/>
        <v/>
      </c>
      <c r="N2335" s="3" t="str">
        <f t="shared" si="176"/>
        <v/>
      </c>
      <c r="O2335" s="6" t="str">
        <f t="shared" si="178"/>
        <v/>
      </c>
      <c r="P2335" s="7">
        <f ca="1">SUMIFS($N$2:$N2335,$B$2:$B2335,"&lt;&gt;"&amp;B2335)+SUM($Q$2:$Q2335)</f>
        <v>135.05500000000001</v>
      </c>
      <c r="R2335" t="b">
        <f>AND(ISNUMBER(FIND($E2335,Tables!$I$2)), ISNUMBER(FIND($D2335,Tables!$J$2)), $E2335&lt;&gt;"")</f>
        <v>0</v>
      </c>
    </row>
    <row r="2336" spans="1:18" x14ac:dyDescent="0.3">
      <c r="A2336">
        <f t="shared" si="175"/>
        <v>2319</v>
      </c>
      <c r="B2336" s="4"/>
      <c r="I2336" s="8"/>
      <c r="J2336" s="5"/>
      <c r="K2336" s="3"/>
      <c r="L2336" s="3" t="str">
        <f t="shared" si="177"/>
        <v/>
      </c>
      <c r="N2336" s="3" t="str">
        <f t="shared" si="176"/>
        <v/>
      </c>
      <c r="O2336" s="6" t="str">
        <f t="shared" si="178"/>
        <v/>
      </c>
      <c r="P2336" s="7">
        <f ca="1">SUMIFS($N$2:$N2336,$B$2:$B2336,"&lt;&gt;"&amp;B2336)+SUM($Q$2:$Q2336)</f>
        <v>135.05500000000001</v>
      </c>
      <c r="R2336" t="b">
        <f>AND(ISNUMBER(FIND($E2336,Tables!$I$2)), ISNUMBER(FIND($D2336,Tables!$J$2)), $E2336&lt;&gt;"")</f>
        <v>0</v>
      </c>
    </row>
    <row r="2337" spans="1:18" x14ac:dyDescent="0.3">
      <c r="A2337">
        <f t="shared" si="175"/>
        <v>2320</v>
      </c>
      <c r="B2337" s="4"/>
      <c r="I2337" s="8"/>
      <c r="J2337" s="5"/>
      <c r="K2337" s="3"/>
      <c r="L2337" s="3" t="str">
        <f t="shared" si="177"/>
        <v/>
      </c>
      <c r="N2337" s="3" t="str">
        <f t="shared" si="176"/>
        <v/>
      </c>
      <c r="O2337" s="6" t="str">
        <f t="shared" si="178"/>
        <v/>
      </c>
      <c r="P2337" s="7">
        <f ca="1">SUMIFS($N$2:$N2337,$B$2:$B2337,"&lt;&gt;"&amp;B2337)+SUM($Q$2:$Q2337)</f>
        <v>135.05500000000001</v>
      </c>
      <c r="R2337" t="b">
        <f>AND(ISNUMBER(FIND($E2337,Tables!$I$2)), ISNUMBER(FIND($D2337,Tables!$J$2)), $E2337&lt;&gt;"")</f>
        <v>0</v>
      </c>
    </row>
    <row r="2338" spans="1:18" x14ac:dyDescent="0.3">
      <c r="A2338">
        <f t="shared" ref="A2338:A2401" si="179">IF(AND(B2338="", D2338&lt;&gt;""), A2337, A2337+1)</f>
        <v>2321</v>
      </c>
      <c r="B2338" s="4"/>
      <c r="I2338" s="8"/>
      <c r="J2338" s="5"/>
      <c r="K2338" s="3"/>
      <c r="L2338" s="3" t="str">
        <f t="shared" si="177"/>
        <v/>
      </c>
      <c r="N2338" s="3" t="str">
        <f t="shared" si="176"/>
        <v/>
      </c>
      <c r="O2338" s="6" t="str">
        <f t="shared" si="178"/>
        <v/>
      </c>
      <c r="P2338" s="7">
        <f ca="1">SUMIFS($N$2:$N2338,$B$2:$B2338,"&lt;&gt;"&amp;B2338)+SUM($Q$2:$Q2338)</f>
        <v>135.05500000000001</v>
      </c>
      <c r="R2338" t="b">
        <f>AND(ISNUMBER(FIND($E2338,Tables!$I$2)), ISNUMBER(FIND($D2338,Tables!$J$2)), $E2338&lt;&gt;"")</f>
        <v>0</v>
      </c>
    </row>
    <row r="2339" spans="1:18" x14ac:dyDescent="0.3">
      <c r="A2339">
        <f t="shared" si="179"/>
        <v>2322</v>
      </c>
      <c r="B2339" s="4"/>
      <c r="I2339" s="8"/>
      <c r="J2339" s="5"/>
      <c r="K2339" s="3"/>
      <c r="L2339" s="3" t="str">
        <f t="shared" si="177"/>
        <v/>
      </c>
      <c r="N2339" s="3" t="str">
        <f t="shared" si="176"/>
        <v/>
      </c>
      <c r="O2339" s="6" t="str">
        <f t="shared" si="178"/>
        <v/>
      </c>
      <c r="P2339" s="7">
        <f ca="1">SUMIFS($N$2:$N2339,$B$2:$B2339,"&lt;&gt;"&amp;B2339)+SUM($Q$2:$Q2339)</f>
        <v>135.05500000000001</v>
      </c>
      <c r="R2339" t="b">
        <f>AND(ISNUMBER(FIND($E2339,Tables!$I$2)), ISNUMBER(FIND($D2339,Tables!$J$2)), $E2339&lt;&gt;"")</f>
        <v>0</v>
      </c>
    </row>
    <row r="2340" spans="1:18" x14ac:dyDescent="0.3">
      <c r="A2340">
        <f t="shared" si="179"/>
        <v>2323</v>
      </c>
      <c r="B2340" s="4"/>
      <c r="I2340" s="8"/>
      <c r="J2340" s="5"/>
      <c r="K2340" s="3"/>
      <c r="L2340" s="3" t="str">
        <f t="shared" si="177"/>
        <v/>
      </c>
      <c r="N2340" s="3" t="str">
        <f t="shared" si="176"/>
        <v/>
      </c>
      <c r="O2340" s="6" t="str">
        <f t="shared" si="178"/>
        <v/>
      </c>
      <c r="P2340" s="7">
        <f ca="1">SUMIFS($N$2:$N2340,$B$2:$B2340,"&lt;&gt;"&amp;B2340)+SUM($Q$2:$Q2340)</f>
        <v>135.05500000000001</v>
      </c>
      <c r="R2340" t="b">
        <f>AND(ISNUMBER(FIND($E2340,Tables!$I$2)), ISNUMBER(FIND($D2340,Tables!$J$2)), $E2340&lt;&gt;"")</f>
        <v>0</v>
      </c>
    </row>
    <row r="2341" spans="1:18" x14ac:dyDescent="0.3">
      <c r="A2341">
        <f t="shared" si="179"/>
        <v>2324</v>
      </c>
      <c r="B2341" s="4"/>
      <c r="I2341" s="8"/>
      <c r="J2341" s="5"/>
      <c r="K2341" s="3"/>
      <c r="L2341" s="3" t="str">
        <f t="shared" si="177"/>
        <v/>
      </c>
      <c r="N2341" s="3" t="str">
        <f t="shared" si="176"/>
        <v/>
      </c>
      <c r="O2341" s="6" t="str">
        <f t="shared" si="178"/>
        <v/>
      </c>
      <c r="P2341" s="7">
        <f ca="1">SUMIFS($N$2:$N2341,$B$2:$B2341,"&lt;&gt;"&amp;B2341)+SUM($Q$2:$Q2341)</f>
        <v>135.05500000000001</v>
      </c>
      <c r="R2341" t="b">
        <f>AND(ISNUMBER(FIND($E2341,Tables!$I$2)), ISNUMBER(FIND($D2341,Tables!$J$2)), $E2341&lt;&gt;"")</f>
        <v>0</v>
      </c>
    </row>
    <row r="2342" spans="1:18" x14ac:dyDescent="0.3">
      <c r="A2342">
        <f t="shared" si="179"/>
        <v>2325</v>
      </c>
      <c r="B2342" s="4"/>
      <c r="I2342" s="8"/>
      <c r="J2342" s="5"/>
      <c r="K2342" s="3"/>
      <c r="L2342" s="3" t="str">
        <f t="shared" si="177"/>
        <v/>
      </c>
      <c r="N2342" s="3" t="str">
        <f t="shared" si="176"/>
        <v/>
      </c>
      <c r="O2342" s="6" t="str">
        <f t="shared" si="178"/>
        <v/>
      </c>
      <c r="P2342" s="7">
        <f ca="1">SUMIFS($N$2:$N2342,$B$2:$B2342,"&lt;&gt;"&amp;B2342)+SUM($Q$2:$Q2342)</f>
        <v>135.05500000000001</v>
      </c>
      <c r="R2342" t="b">
        <f>AND(ISNUMBER(FIND($E2342,Tables!$I$2)), ISNUMBER(FIND($D2342,Tables!$J$2)), $E2342&lt;&gt;"")</f>
        <v>0</v>
      </c>
    </row>
    <row r="2343" spans="1:18" x14ac:dyDescent="0.3">
      <c r="A2343">
        <f t="shared" si="179"/>
        <v>2326</v>
      </c>
      <c r="B2343" s="4"/>
      <c r="I2343" s="8"/>
      <c r="J2343" s="5"/>
      <c r="K2343" s="3"/>
      <c r="L2343" s="3" t="str">
        <f t="shared" si="177"/>
        <v/>
      </c>
      <c r="N2343" s="3" t="str">
        <f t="shared" si="176"/>
        <v/>
      </c>
      <c r="O2343" s="6" t="str">
        <f t="shared" si="178"/>
        <v/>
      </c>
      <c r="P2343" s="7">
        <f ca="1">SUMIFS($N$2:$N2343,$B$2:$B2343,"&lt;&gt;"&amp;B2343)+SUM($Q$2:$Q2343)</f>
        <v>135.05500000000001</v>
      </c>
      <c r="R2343" t="b">
        <f>AND(ISNUMBER(FIND($E2343,Tables!$I$2)), ISNUMBER(FIND($D2343,Tables!$J$2)), $E2343&lt;&gt;"")</f>
        <v>0</v>
      </c>
    </row>
    <row r="2344" spans="1:18" x14ac:dyDescent="0.3">
      <c r="A2344">
        <f t="shared" si="179"/>
        <v>2327</v>
      </c>
      <c r="B2344" s="4"/>
      <c r="I2344" s="8"/>
      <c r="J2344" s="5"/>
      <c r="K2344" s="3"/>
      <c r="L2344" s="3" t="str">
        <f t="shared" si="177"/>
        <v/>
      </c>
      <c r="N2344" s="3" t="str">
        <f t="shared" ref="N2344:N2407" si="180">IF(L2344 = "", "", IF(M2344="", "", IF(OR(M2344="Draw",M2344="NC"), 0, IF(M2344="win", L2344, -1*K2344))))</f>
        <v/>
      </c>
      <c r="O2344" s="6" t="str">
        <f t="shared" si="178"/>
        <v/>
      </c>
      <c r="P2344" s="7">
        <f ca="1">SUMIFS($N$2:$N2344,$B$2:$B2344,"&lt;&gt;"&amp;B2344)+SUM($Q$2:$Q2344)</f>
        <v>135.05500000000001</v>
      </c>
      <c r="R2344" t="b">
        <f>AND(ISNUMBER(FIND($E2344,Tables!$I$2)), ISNUMBER(FIND($D2344,Tables!$J$2)), $E2344&lt;&gt;"")</f>
        <v>0</v>
      </c>
    </row>
    <row r="2345" spans="1:18" x14ac:dyDescent="0.3">
      <c r="A2345">
        <f t="shared" si="179"/>
        <v>2328</v>
      </c>
      <c r="B2345" s="4"/>
      <c r="I2345" s="8"/>
      <c r="J2345" s="5"/>
      <c r="K2345" s="3"/>
      <c r="L2345" s="3" t="str">
        <f t="shared" si="177"/>
        <v/>
      </c>
      <c r="N2345" s="3" t="str">
        <f t="shared" si="180"/>
        <v/>
      </c>
      <c r="O2345" s="6" t="str">
        <f t="shared" si="178"/>
        <v/>
      </c>
      <c r="P2345" s="7">
        <f ca="1">SUMIFS($N$2:$N2345,$B$2:$B2345,"&lt;&gt;"&amp;B2345)+SUM($Q$2:$Q2345)</f>
        <v>135.05500000000001</v>
      </c>
      <c r="R2345" t="b">
        <f>AND(ISNUMBER(FIND($E2345,Tables!$I$2)), ISNUMBER(FIND($D2345,Tables!$J$2)), $E2345&lt;&gt;"")</f>
        <v>0</v>
      </c>
    </row>
    <row r="2346" spans="1:18" x14ac:dyDescent="0.3">
      <c r="A2346">
        <f t="shared" si="179"/>
        <v>2329</v>
      </c>
      <c r="B2346" s="4"/>
      <c r="I2346" s="8"/>
      <c r="J2346" s="5"/>
      <c r="K2346" s="3"/>
      <c r="L2346" s="3" t="str">
        <f t="shared" si="177"/>
        <v/>
      </c>
      <c r="N2346" s="3" t="str">
        <f t="shared" si="180"/>
        <v/>
      </c>
      <c r="O2346" s="6" t="str">
        <f t="shared" si="178"/>
        <v/>
      </c>
      <c r="P2346" s="7">
        <f ca="1">SUMIFS($N$2:$N2346,$B$2:$B2346,"&lt;&gt;"&amp;B2346)+SUM($Q$2:$Q2346)</f>
        <v>135.05500000000001</v>
      </c>
      <c r="R2346" t="b">
        <f>AND(ISNUMBER(FIND($E2346,Tables!$I$2)), ISNUMBER(FIND($D2346,Tables!$J$2)), $E2346&lt;&gt;"")</f>
        <v>0</v>
      </c>
    </row>
    <row r="2347" spans="1:18" x14ac:dyDescent="0.3">
      <c r="A2347">
        <f t="shared" si="179"/>
        <v>2330</v>
      </c>
      <c r="B2347" s="4"/>
      <c r="I2347" s="8"/>
      <c r="J2347" s="5"/>
      <c r="K2347" s="3"/>
      <c r="L2347" s="3" t="str">
        <f t="shared" si="177"/>
        <v/>
      </c>
      <c r="N2347" s="3" t="str">
        <f t="shared" si="180"/>
        <v/>
      </c>
      <c r="O2347" s="6" t="str">
        <f t="shared" si="178"/>
        <v/>
      </c>
      <c r="P2347" s="7">
        <f ca="1">SUMIFS($N$2:$N2347,$B$2:$B2347,"&lt;&gt;"&amp;B2347)+SUM($Q$2:$Q2347)</f>
        <v>135.05500000000001</v>
      </c>
      <c r="R2347" t="b">
        <f>AND(ISNUMBER(FIND($E2347,Tables!$I$2)), ISNUMBER(FIND($D2347,Tables!$J$2)), $E2347&lt;&gt;"")</f>
        <v>0</v>
      </c>
    </row>
    <row r="2348" spans="1:18" x14ac:dyDescent="0.3">
      <c r="A2348">
        <f t="shared" si="179"/>
        <v>2331</v>
      </c>
      <c r="B2348" s="4"/>
      <c r="I2348" s="8"/>
      <c r="J2348" s="5"/>
      <c r="K2348" s="3"/>
      <c r="L2348" s="3" t="str">
        <f t="shared" si="177"/>
        <v/>
      </c>
      <c r="N2348" s="3" t="str">
        <f t="shared" si="180"/>
        <v/>
      </c>
      <c r="O2348" s="6" t="str">
        <f t="shared" si="178"/>
        <v/>
      </c>
      <c r="P2348" s="7">
        <f ca="1">SUMIFS($N$2:$N2348,$B$2:$B2348,"&lt;&gt;"&amp;B2348)+SUM($Q$2:$Q2348)</f>
        <v>135.05500000000001</v>
      </c>
      <c r="R2348" t="b">
        <f>AND(ISNUMBER(FIND($E2348,Tables!$I$2)), ISNUMBER(FIND($D2348,Tables!$J$2)), $E2348&lt;&gt;"")</f>
        <v>0</v>
      </c>
    </row>
    <row r="2349" spans="1:18" x14ac:dyDescent="0.3">
      <c r="A2349">
        <f t="shared" si="179"/>
        <v>2332</v>
      </c>
      <c r="B2349" s="4"/>
      <c r="I2349" s="8"/>
      <c r="J2349" s="5"/>
      <c r="K2349" s="3"/>
      <c r="L2349" s="3" t="str">
        <f t="shared" si="177"/>
        <v/>
      </c>
      <c r="N2349" s="3" t="str">
        <f t="shared" si="180"/>
        <v/>
      </c>
      <c r="O2349" s="6" t="str">
        <f t="shared" si="178"/>
        <v/>
      </c>
      <c r="P2349" s="7">
        <f ca="1">SUMIFS($N$2:$N2349,$B$2:$B2349,"&lt;&gt;"&amp;B2349)+SUM($Q$2:$Q2349)</f>
        <v>135.05500000000001</v>
      </c>
      <c r="R2349" t="b">
        <f>AND(ISNUMBER(FIND($E2349,Tables!$I$2)), ISNUMBER(FIND($D2349,Tables!$J$2)), $E2349&lt;&gt;"")</f>
        <v>0</v>
      </c>
    </row>
    <row r="2350" spans="1:18" x14ac:dyDescent="0.3">
      <c r="A2350">
        <f t="shared" si="179"/>
        <v>2333</v>
      </c>
      <c r="B2350" s="4"/>
      <c r="I2350" s="8"/>
      <c r="J2350" s="5"/>
      <c r="K2350" s="3"/>
      <c r="L2350" s="3" t="str">
        <f t="shared" si="177"/>
        <v/>
      </c>
      <c r="N2350" s="3" t="str">
        <f t="shared" si="180"/>
        <v/>
      </c>
      <c r="O2350" s="6" t="str">
        <f t="shared" si="178"/>
        <v/>
      </c>
      <c r="P2350" s="7">
        <f ca="1">SUMIFS($N$2:$N2350,$B$2:$B2350,"&lt;&gt;"&amp;B2350)+SUM($Q$2:$Q2350)</f>
        <v>135.05500000000001</v>
      </c>
      <c r="R2350" t="b">
        <f>AND(ISNUMBER(FIND($E2350,Tables!$I$2)), ISNUMBER(FIND($D2350,Tables!$J$2)), $E2350&lt;&gt;"")</f>
        <v>0</v>
      </c>
    </row>
    <row r="2351" spans="1:18" x14ac:dyDescent="0.3">
      <c r="A2351">
        <f t="shared" si="179"/>
        <v>2334</v>
      </c>
      <c r="B2351" s="4"/>
      <c r="I2351" s="8"/>
      <c r="J2351" s="5"/>
      <c r="K2351" s="3"/>
      <c r="L2351" s="3" t="str">
        <f t="shared" si="177"/>
        <v/>
      </c>
      <c r="N2351" s="3" t="str">
        <f t="shared" si="180"/>
        <v/>
      </c>
      <c r="O2351" s="6" t="str">
        <f t="shared" si="178"/>
        <v/>
      </c>
      <c r="P2351" s="7">
        <f ca="1">SUMIFS($N$2:$N2351,$B$2:$B2351,"&lt;&gt;"&amp;B2351)+SUM($Q$2:$Q2351)</f>
        <v>135.05500000000001</v>
      </c>
      <c r="R2351" t="b">
        <f>AND(ISNUMBER(FIND($E2351,Tables!$I$2)), ISNUMBER(FIND($D2351,Tables!$J$2)), $E2351&lt;&gt;"")</f>
        <v>0</v>
      </c>
    </row>
    <row r="2352" spans="1:18" x14ac:dyDescent="0.3">
      <c r="A2352">
        <f t="shared" si="179"/>
        <v>2335</v>
      </c>
      <c r="B2352" s="4"/>
      <c r="I2352" s="8"/>
      <c r="J2352" s="5"/>
      <c r="K2352" s="3"/>
      <c r="L2352" s="3" t="str">
        <f t="shared" si="177"/>
        <v/>
      </c>
      <c r="N2352" s="3" t="str">
        <f t="shared" si="180"/>
        <v/>
      </c>
      <c r="O2352" s="6" t="str">
        <f t="shared" si="178"/>
        <v/>
      </c>
      <c r="P2352" s="7">
        <f ca="1">SUMIFS($N$2:$N2352,$B$2:$B2352,"&lt;&gt;"&amp;B2352)+SUM($Q$2:$Q2352)</f>
        <v>135.05500000000001</v>
      </c>
      <c r="R2352" t="b">
        <f>AND(ISNUMBER(FIND($E2352,Tables!$I$2)), ISNUMBER(FIND($D2352,Tables!$J$2)), $E2352&lt;&gt;"")</f>
        <v>0</v>
      </c>
    </row>
    <row r="2353" spans="1:18" x14ac:dyDescent="0.3">
      <c r="A2353">
        <f t="shared" si="179"/>
        <v>2336</v>
      </c>
      <c r="B2353" s="4"/>
      <c r="I2353" s="8"/>
      <c r="J2353" s="5"/>
      <c r="K2353" s="3"/>
      <c r="L2353" s="3" t="str">
        <f t="shared" si="177"/>
        <v/>
      </c>
      <c r="N2353" s="3" t="str">
        <f t="shared" si="180"/>
        <v/>
      </c>
      <c r="O2353" s="6" t="str">
        <f t="shared" si="178"/>
        <v/>
      </c>
      <c r="P2353" s="7">
        <f ca="1">SUMIFS($N$2:$N2353,$B$2:$B2353,"&lt;&gt;"&amp;B2353)+SUM($Q$2:$Q2353)</f>
        <v>135.05500000000001</v>
      </c>
      <c r="R2353" t="b">
        <f>AND(ISNUMBER(FIND($E2353,Tables!$I$2)), ISNUMBER(FIND($D2353,Tables!$J$2)), $E2353&lt;&gt;"")</f>
        <v>0</v>
      </c>
    </row>
    <row r="2354" spans="1:18" x14ac:dyDescent="0.3">
      <c r="A2354">
        <f t="shared" si="179"/>
        <v>2337</v>
      </c>
      <c r="B2354" s="4"/>
      <c r="I2354" s="8"/>
      <c r="J2354" s="5"/>
      <c r="K2354" s="3"/>
      <c r="L2354" s="3" t="str">
        <f t="shared" ref="L2354:L2417" si="181">IFERROR(IF(K2354=0, "", IF(I2354&gt;0, K2354/100*I2354,K2354/I2354*-100)), "")</f>
        <v/>
      </c>
      <c r="N2354" s="3" t="str">
        <f t="shared" si="180"/>
        <v/>
      </c>
      <c r="O2354" s="6" t="str">
        <f t="shared" si="178"/>
        <v/>
      </c>
      <c r="P2354" s="7">
        <f ca="1">SUMIFS($N$2:$N2354,$B$2:$B2354,"&lt;&gt;"&amp;B2354)+SUM($Q$2:$Q2354)</f>
        <v>135.05500000000001</v>
      </c>
      <c r="R2354" t="b">
        <f>AND(ISNUMBER(FIND($E2354,Tables!$I$2)), ISNUMBER(FIND($D2354,Tables!$J$2)), $E2354&lt;&gt;"")</f>
        <v>0</v>
      </c>
    </row>
    <row r="2355" spans="1:18" x14ac:dyDescent="0.3">
      <c r="A2355">
        <f t="shared" si="179"/>
        <v>2338</v>
      </c>
      <c r="B2355" s="4"/>
      <c r="I2355" s="8"/>
      <c r="J2355" s="5"/>
      <c r="K2355" s="3"/>
      <c r="L2355" s="3" t="str">
        <f t="shared" si="181"/>
        <v/>
      </c>
      <c r="N2355" s="3" t="str">
        <f t="shared" si="180"/>
        <v/>
      </c>
      <c r="O2355" s="6" t="str">
        <f t="shared" si="178"/>
        <v/>
      </c>
      <c r="P2355" s="7">
        <f ca="1">SUMIFS($N$2:$N2355,$B$2:$B2355,"&lt;&gt;"&amp;B2355)+SUM($Q$2:$Q2355)</f>
        <v>135.05500000000001</v>
      </c>
      <c r="R2355" t="b">
        <f>AND(ISNUMBER(FIND($E2355,Tables!$I$2)), ISNUMBER(FIND($D2355,Tables!$J$2)), $E2355&lt;&gt;"")</f>
        <v>0</v>
      </c>
    </row>
    <row r="2356" spans="1:18" x14ac:dyDescent="0.3">
      <c r="A2356">
        <f t="shared" si="179"/>
        <v>2339</v>
      </c>
      <c r="B2356" s="4"/>
      <c r="I2356" s="8"/>
      <c r="J2356" s="5"/>
      <c r="K2356" s="3"/>
      <c r="L2356" s="3" t="str">
        <f t="shared" si="181"/>
        <v/>
      </c>
      <c r="N2356" s="3" t="str">
        <f t="shared" si="180"/>
        <v/>
      </c>
      <c r="O2356" s="6" t="str">
        <f t="shared" si="178"/>
        <v/>
      </c>
      <c r="P2356" s="7">
        <f ca="1">SUMIFS($N$2:$N2356,$B$2:$B2356,"&lt;&gt;"&amp;B2356)+SUM($Q$2:$Q2356)</f>
        <v>135.05500000000001</v>
      </c>
      <c r="R2356" t="b">
        <f>AND(ISNUMBER(FIND($E2356,Tables!$I$2)), ISNUMBER(FIND($D2356,Tables!$J$2)), $E2356&lt;&gt;"")</f>
        <v>0</v>
      </c>
    </row>
    <row r="2357" spans="1:18" x14ac:dyDescent="0.3">
      <c r="A2357">
        <f t="shared" si="179"/>
        <v>2340</v>
      </c>
      <c r="B2357" s="4"/>
      <c r="I2357" s="8"/>
      <c r="J2357" s="5"/>
      <c r="K2357" s="3"/>
      <c r="L2357" s="3" t="str">
        <f t="shared" si="181"/>
        <v/>
      </c>
      <c r="N2357" s="3" t="str">
        <f t="shared" si="180"/>
        <v/>
      </c>
      <c r="O2357" s="6" t="str">
        <f t="shared" si="178"/>
        <v/>
      </c>
      <c r="P2357" s="7">
        <f ca="1">SUMIFS($N$2:$N2357,$B$2:$B2357,"&lt;&gt;"&amp;B2357)+SUM($Q$2:$Q2357)</f>
        <v>135.05500000000001</v>
      </c>
      <c r="R2357" t="b">
        <f>AND(ISNUMBER(FIND($E2357,Tables!$I$2)), ISNUMBER(FIND($D2357,Tables!$J$2)), $E2357&lt;&gt;"")</f>
        <v>0</v>
      </c>
    </row>
    <row r="2358" spans="1:18" x14ac:dyDescent="0.3">
      <c r="A2358">
        <f t="shared" si="179"/>
        <v>2341</v>
      </c>
      <c r="B2358" s="4"/>
      <c r="I2358" s="8"/>
      <c r="J2358" s="5"/>
      <c r="K2358" s="3"/>
      <c r="L2358" s="3" t="str">
        <f t="shared" si="181"/>
        <v/>
      </c>
      <c r="N2358" s="3" t="str">
        <f t="shared" si="180"/>
        <v/>
      </c>
      <c r="O2358" s="6" t="str">
        <f t="shared" si="178"/>
        <v/>
      </c>
      <c r="P2358" s="7">
        <f ca="1">SUMIFS($N$2:$N2358,$B$2:$B2358,"&lt;&gt;"&amp;B2358)+SUM($Q$2:$Q2358)</f>
        <v>135.05500000000001</v>
      </c>
      <c r="R2358" t="b">
        <f>AND(ISNUMBER(FIND($E2358,Tables!$I$2)), ISNUMBER(FIND($D2358,Tables!$J$2)), $E2358&lt;&gt;"")</f>
        <v>0</v>
      </c>
    </row>
    <row r="2359" spans="1:18" x14ac:dyDescent="0.3">
      <c r="A2359">
        <f t="shared" si="179"/>
        <v>2342</v>
      </c>
      <c r="B2359" s="4"/>
      <c r="I2359" s="8"/>
      <c r="J2359" s="5"/>
      <c r="K2359" s="3"/>
      <c r="L2359" s="3" t="str">
        <f t="shared" si="181"/>
        <v/>
      </c>
      <c r="N2359" s="3" t="str">
        <f t="shared" si="180"/>
        <v/>
      </c>
      <c r="O2359" s="6" t="str">
        <f t="shared" si="178"/>
        <v/>
      </c>
      <c r="P2359" s="7">
        <f ca="1">SUMIFS($N$2:$N2359,$B$2:$B2359,"&lt;&gt;"&amp;B2359)+SUM($Q$2:$Q2359)</f>
        <v>135.05500000000001</v>
      </c>
      <c r="R2359" t="b">
        <f>AND(ISNUMBER(FIND($E2359,Tables!$I$2)), ISNUMBER(FIND($D2359,Tables!$J$2)), $E2359&lt;&gt;"")</f>
        <v>0</v>
      </c>
    </row>
    <row r="2360" spans="1:18" x14ac:dyDescent="0.3">
      <c r="A2360">
        <f t="shared" si="179"/>
        <v>2343</v>
      </c>
      <c r="B2360" s="4"/>
      <c r="I2360" s="8"/>
      <c r="J2360" s="5"/>
      <c r="K2360" s="3"/>
      <c r="L2360" s="3" t="str">
        <f t="shared" si="181"/>
        <v/>
      </c>
      <c r="N2360" s="3" t="str">
        <f t="shared" si="180"/>
        <v/>
      </c>
      <c r="O2360" s="6" t="str">
        <f t="shared" si="178"/>
        <v/>
      </c>
      <c r="P2360" s="7">
        <f ca="1">SUMIFS($N$2:$N2360,$B$2:$B2360,"&lt;&gt;"&amp;B2360)+SUM($Q$2:$Q2360)</f>
        <v>135.05500000000001</v>
      </c>
      <c r="R2360" t="b">
        <f>AND(ISNUMBER(FIND($E2360,Tables!$I$2)), ISNUMBER(FIND($D2360,Tables!$J$2)), $E2360&lt;&gt;"")</f>
        <v>0</v>
      </c>
    </row>
    <row r="2361" spans="1:18" x14ac:dyDescent="0.3">
      <c r="A2361">
        <f t="shared" si="179"/>
        <v>2344</v>
      </c>
      <c r="B2361" s="4"/>
      <c r="I2361" s="8"/>
      <c r="J2361" s="5"/>
      <c r="K2361" s="3"/>
      <c r="L2361" s="3" t="str">
        <f t="shared" si="181"/>
        <v/>
      </c>
      <c r="N2361" s="3" t="str">
        <f t="shared" si="180"/>
        <v/>
      </c>
      <c r="O2361" s="6" t="str">
        <f t="shared" si="178"/>
        <v/>
      </c>
      <c r="P2361" s="7">
        <f ca="1">SUMIFS($N$2:$N2361,$B$2:$B2361,"&lt;&gt;"&amp;B2361)+SUM($Q$2:$Q2361)</f>
        <v>135.05500000000001</v>
      </c>
      <c r="R2361" t="b">
        <f>AND(ISNUMBER(FIND($E2361,Tables!$I$2)), ISNUMBER(FIND($D2361,Tables!$J$2)), $E2361&lt;&gt;"")</f>
        <v>0</v>
      </c>
    </row>
    <row r="2362" spans="1:18" x14ac:dyDescent="0.3">
      <c r="A2362">
        <f t="shared" si="179"/>
        <v>2345</v>
      </c>
      <c r="B2362" s="4"/>
      <c r="I2362" s="8"/>
      <c r="J2362" s="5"/>
      <c r="K2362" s="3"/>
      <c r="L2362" s="3" t="str">
        <f t="shared" si="181"/>
        <v/>
      </c>
      <c r="N2362" s="3" t="str">
        <f t="shared" si="180"/>
        <v/>
      </c>
      <c r="O2362" s="6" t="str">
        <f t="shared" si="178"/>
        <v/>
      </c>
      <c r="P2362" s="7">
        <f ca="1">SUMIFS($N$2:$N2362,$B$2:$B2362,"&lt;&gt;"&amp;B2362)+SUM($Q$2:$Q2362)</f>
        <v>135.05500000000001</v>
      </c>
      <c r="R2362" t="b">
        <f>AND(ISNUMBER(FIND($E2362,Tables!$I$2)), ISNUMBER(FIND($D2362,Tables!$J$2)), $E2362&lt;&gt;"")</f>
        <v>0</v>
      </c>
    </row>
    <row r="2363" spans="1:18" x14ac:dyDescent="0.3">
      <c r="A2363">
        <f t="shared" si="179"/>
        <v>2346</v>
      </c>
      <c r="B2363" s="4"/>
      <c r="I2363" s="8"/>
      <c r="J2363" s="5"/>
      <c r="K2363" s="3"/>
      <c r="L2363" s="3" t="str">
        <f t="shared" si="181"/>
        <v/>
      </c>
      <c r="N2363" s="3" t="str">
        <f t="shared" si="180"/>
        <v/>
      </c>
      <c r="O2363" s="6" t="str">
        <f t="shared" si="178"/>
        <v/>
      </c>
      <c r="P2363" s="7">
        <f ca="1">SUMIFS($N$2:$N2363,$B$2:$B2363,"&lt;&gt;"&amp;B2363)+SUM($Q$2:$Q2363)</f>
        <v>135.05500000000001</v>
      </c>
      <c r="R2363" t="b">
        <f>AND(ISNUMBER(FIND($E2363,Tables!$I$2)), ISNUMBER(FIND($D2363,Tables!$J$2)), $E2363&lt;&gt;"")</f>
        <v>0</v>
      </c>
    </row>
    <row r="2364" spans="1:18" x14ac:dyDescent="0.3">
      <c r="A2364">
        <f t="shared" si="179"/>
        <v>2347</v>
      </c>
      <c r="B2364" s="4"/>
      <c r="I2364" s="8"/>
      <c r="J2364" s="5"/>
      <c r="K2364" s="3"/>
      <c r="L2364" s="3" t="str">
        <f t="shared" si="181"/>
        <v/>
      </c>
      <c r="N2364" s="3" t="str">
        <f t="shared" si="180"/>
        <v/>
      </c>
      <c r="O2364" s="6" t="str">
        <f t="shared" si="178"/>
        <v/>
      </c>
      <c r="P2364" s="7">
        <f ca="1">SUMIFS($N$2:$N2364,$B$2:$B2364,"&lt;&gt;"&amp;B2364)+SUM($Q$2:$Q2364)</f>
        <v>135.05500000000001</v>
      </c>
      <c r="R2364" t="b">
        <f>AND(ISNUMBER(FIND($E2364,Tables!$I$2)), ISNUMBER(FIND($D2364,Tables!$J$2)), $E2364&lt;&gt;"")</f>
        <v>0</v>
      </c>
    </row>
    <row r="2365" spans="1:18" x14ac:dyDescent="0.3">
      <c r="A2365">
        <f t="shared" si="179"/>
        <v>2348</v>
      </c>
      <c r="B2365" s="4"/>
      <c r="I2365" s="8"/>
      <c r="J2365" s="5"/>
      <c r="K2365" s="3"/>
      <c r="L2365" s="3" t="str">
        <f t="shared" si="181"/>
        <v/>
      </c>
      <c r="N2365" s="3" t="str">
        <f t="shared" si="180"/>
        <v/>
      </c>
      <c r="O2365" s="6" t="str">
        <f t="shared" si="178"/>
        <v/>
      </c>
      <c r="P2365" s="7">
        <f ca="1">SUMIFS($N$2:$N2365,$B$2:$B2365,"&lt;&gt;"&amp;B2365)+SUM($Q$2:$Q2365)</f>
        <v>135.05500000000001</v>
      </c>
      <c r="R2365" t="b">
        <f>AND(ISNUMBER(FIND($E2365,Tables!$I$2)), ISNUMBER(FIND($D2365,Tables!$J$2)), $E2365&lt;&gt;"")</f>
        <v>0</v>
      </c>
    </row>
    <row r="2366" spans="1:18" x14ac:dyDescent="0.3">
      <c r="A2366">
        <f t="shared" si="179"/>
        <v>2349</v>
      </c>
      <c r="B2366" s="4"/>
      <c r="I2366" s="8"/>
      <c r="J2366" s="5"/>
      <c r="K2366" s="3"/>
      <c r="L2366" s="3" t="str">
        <f t="shared" si="181"/>
        <v/>
      </c>
      <c r="N2366" s="3" t="str">
        <f t="shared" si="180"/>
        <v/>
      </c>
      <c r="O2366" s="6" t="str">
        <f t="shared" si="178"/>
        <v/>
      </c>
      <c r="P2366" s="7">
        <f ca="1">SUMIFS($N$2:$N2366,$B$2:$B2366,"&lt;&gt;"&amp;B2366)+SUM($Q$2:$Q2366)</f>
        <v>135.05500000000001</v>
      </c>
      <c r="R2366" t="b">
        <f>AND(ISNUMBER(FIND($E2366,Tables!$I$2)), ISNUMBER(FIND($D2366,Tables!$J$2)), $E2366&lt;&gt;"")</f>
        <v>0</v>
      </c>
    </row>
    <row r="2367" spans="1:18" x14ac:dyDescent="0.3">
      <c r="A2367">
        <f t="shared" si="179"/>
        <v>2350</v>
      </c>
      <c r="B2367" s="4"/>
      <c r="I2367" s="8"/>
      <c r="J2367" s="5"/>
      <c r="K2367" s="3"/>
      <c r="L2367" s="3" t="str">
        <f t="shared" si="181"/>
        <v/>
      </c>
      <c r="N2367" s="3" t="str">
        <f t="shared" si="180"/>
        <v/>
      </c>
      <c r="O2367" s="6" t="str">
        <f t="shared" si="178"/>
        <v/>
      </c>
      <c r="P2367" s="7">
        <f ca="1">SUMIFS($N$2:$N2367,$B$2:$B2367,"&lt;&gt;"&amp;B2367)+SUM($Q$2:$Q2367)</f>
        <v>135.05500000000001</v>
      </c>
      <c r="R2367" t="b">
        <f>AND(ISNUMBER(FIND($E2367,Tables!$I$2)), ISNUMBER(FIND($D2367,Tables!$J$2)), $E2367&lt;&gt;"")</f>
        <v>0</v>
      </c>
    </row>
    <row r="2368" spans="1:18" x14ac:dyDescent="0.3">
      <c r="A2368">
        <f t="shared" si="179"/>
        <v>2351</v>
      </c>
      <c r="B2368" s="4"/>
      <c r="I2368" s="8"/>
      <c r="J2368" s="5"/>
      <c r="K2368" s="3"/>
      <c r="L2368" s="3" t="str">
        <f t="shared" si="181"/>
        <v/>
      </c>
      <c r="N2368" s="3" t="str">
        <f t="shared" si="180"/>
        <v/>
      </c>
      <c r="O2368" s="6" t="str">
        <f t="shared" si="178"/>
        <v/>
      </c>
      <c r="P2368" s="7">
        <f ca="1">SUMIFS($N$2:$N2368,$B$2:$B2368,"&lt;&gt;"&amp;B2368)+SUM($Q$2:$Q2368)</f>
        <v>135.05500000000001</v>
      </c>
      <c r="R2368" t="b">
        <f>AND(ISNUMBER(FIND($E2368,Tables!$I$2)), ISNUMBER(FIND($D2368,Tables!$J$2)), $E2368&lt;&gt;"")</f>
        <v>0</v>
      </c>
    </row>
    <row r="2369" spans="1:18" x14ac:dyDescent="0.3">
      <c r="A2369">
        <f t="shared" si="179"/>
        <v>2352</v>
      </c>
      <c r="B2369" s="4"/>
      <c r="I2369" s="8"/>
      <c r="J2369" s="5"/>
      <c r="K2369" s="3"/>
      <c r="L2369" s="3" t="str">
        <f t="shared" si="181"/>
        <v/>
      </c>
      <c r="N2369" s="3" t="str">
        <f t="shared" si="180"/>
        <v/>
      </c>
      <c r="O2369" s="6" t="str">
        <f t="shared" si="178"/>
        <v/>
      </c>
      <c r="P2369" s="7">
        <f ca="1">SUMIFS($N$2:$N2369,$B$2:$B2369,"&lt;&gt;"&amp;B2369)+SUM($Q$2:$Q2369)</f>
        <v>135.05500000000001</v>
      </c>
      <c r="R2369" t="b">
        <f>AND(ISNUMBER(FIND($E2369,Tables!$I$2)), ISNUMBER(FIND($D2369,Tables!$J$2)), $E2369&lt;&gt;"")</f>
        <v>0</v>
      </c>
    </row>
    <row r="2370" spans="1:18" x14ac:dyDescent="0.3">
      <c r="A2370">
        <f t="shared" si="179"/>
        <v>2353</v>
      </c>
      <c r="B2370" s="4"/>
      <c r="I2370" s="8"/>
      <c r="J2370" s="5"/>
      <c r="K2370" s="3"/>
      <c r="L2370" s="3" t="str">
        <f t="shared" si="181"/>
        <v/>
      </c>
      <c r="N2370" s="3" t="str">
        <f t="shared" si="180"/>
        <v/>
      </c>
      <c r="O2370" s="6" t="str">
        <f t="shared" ref="O2370:O2433" si="182">IFERROR(K2370/VLOOKUP(_xlfn.MINIFS(A:A,B:B,B2370,C:C,C2370),A:P,16),"")</f>
        <v/>
      </c>
      <c r="P2370" s="7">
        <f ca="1">SUMIFS($N$2:$N2370,$B$2:$B2370,"&lt;&gt;"&amp;B2370)+SUM($Q$2:$Q2370)</f>
        <v>135.05500000000001</v>
      </c>
      <c r="R2370" t="b">
        <f>AND(ISNUMBER(FIND($E2370,Tables!$I$2)), ISNUMBER(FIND($D2370,Tables!$J$2)), $E2370&lt;&gt;"")</f>
        <v>0</v>
      </c>
    </row>
    <row r="2371" spans="1:18" x14ac:dyDescent="0.3">
      <c r="A2371">
        <f t="shared" si="179"/>
        <v>2354</v>
      </c>
      <c r="B2371" s="4"/>
      <c r="I2371" s="8"/>
      <c r="J2371" s="5"/>
      <c r="K2371" s="3"/>
      <c r="L2371" s="3" t="str">
        <f t="shared" si="181"/>
        <v/>
      </c>
      <c r="N2371" s="3" t="str">
        <f t="shared" si="180"/>
        <v/>
      </c>
      <c r="O2371" s="6" t="str">
        <f t="shared" si="182"/>
        <v/>
      </c>
      <c r="P2371" s="7">
        <f ca="1">SUMIFS($N$2:$N2371,$B$2:$B2371,"&lt;&gt;"&amp;B2371)+SUM($Q$2:$Q2371)</f>
        <v>135.05500000000001</v>
      </c>
      <c r="R2371" t="b">
        <f>AND(ISNUMBER(FIND($E2371,Tables!$I$2)), ISNUMBER(FIND($D2371,Tables!$J$2)), $E2371&lt;&gt;"")</f>
        <v>0</v>
      </c>
    </row>
    <row r="2372" spans="1:18" x14ac:dyDescent="0.3">
      <c r="A2372">
        <f t="shared" si="179"/>
        <v>2355</v>
      </c>
      <c r="B2372" s="4"/>
      <c r="I2372" s="8"/>
      <c r="J2372" s="5"/>
      <c r="K2372" s="3"/>
      <c r="L2372" s="3" t="str">
        <f t="shared" si="181"/>
        <v/>
      </c>
      <c r="N2372" s="3" t="str">
        <f t="shared" si="180"/>
        <v/>
      </c>
      <c r="O2372" s="6" t="str">
        <f t="shared" si="182"/>
        <v/>
      </c>
      <c r="P2372" s="7">
        <f ca="1">SUMIFS($N$2:$N2372,$B$2:$B2372,"&lt;&gt;"&amp;B2372)+SUM($Q$2:$Q2372)</f>
        <v>135.05500000000001</v>
      </c>
      <c r="R2372" t="b">
        <f>AND(ISNUMBER(FIND($E2372,Tables!$I$2)), ISNUMBER(FIND($D2372,Tables!$J$2)), $E2372&lt;&gt;"")</f>
        <v>0</v>
      </c>
    </row>
    <row r="2373" spans="1:18" x14ac:dyDescent="0.3">
      <c r="A2373">
        <f t="shared" si="179"/>
        <v>2356</v>
      </c>
      <c r="B2373" s="4"/>
      <c r="I2373" s="8"/>
      <c r="J2373" s="5"/>
      <c r="K2373" s="3"/>
      <c r="L2373" s="3" t="str">
        <f t="shared" si="181"/>
        <v/>
      </c>
      <c r="N2373" s="3" t="str">
        <f t="shared" si="180"/>
        <v/>
      </c>
      <c r="O2373" s="6" t="str">
        <f t="shared" si="182"/>
        <v/>
      </c>
      <c r="P2373" s="7">
        <f ca="1">SUMIFS($N$2:$N2373,$B$2:$B2373,"&lt;&gt;"&amp;B2373)+SUM($Q$2:$Q2373)</f>
        <v>135.05500000000001</v>
      </c>
      <c r="R2373" t="b">
        <f>AND(ISNUMBER(FIND($E2373,Tables!$I$2)), ISNUMBER(FIND($D2373,Tables!$J$2)), $E2373&lt;&gt;"")</f>
        <v>0</v>
      </c>
    </row>
    <row r="2374" spans="1:18" x14ac:dyDescent="0.3">
      <c r="A2374">
        <f t="shared" si="179"/>
        <v>2357</v>
      </c>
      <c r="B2374" s="4"/>
      <c r="I2374" s="8"/>
      <c r="J2374" s="5"/>
      <c r="K2374" s="3"/>
      <c r="L2374" s="3" t="str">
        <f t="shared" si="181"/>
        <v/>
      </c>
      <c r="N2374" s="3" t="str">
        <f t="shared" si="180"/>
        <v/>
      </c>
      <c r="O2374" s="6" t="str">
        <f t="shared" si="182"/>
        <v/>
      </c>
      <c r="P2374" s="7">
        <f ca="1">SUMIFS($N$2:$N2374,$B$2:$B2374,"&lt;&gt;"&amp;B2374)+SUM($Q$2:$Q2374)</f>
        <v>135.05500000000001</v>
      </c>
      <c r="R2374" t="b">
        <f>AND(ISNUMBER(FIND($E2374,Tables!$I$2)), ISNUMBER(FIND($D2374,Tables!$J$2)), $E2374&lt;&gt;"")</f>
        <v>0</v>
      </c>
    </row>
    <row r="2375" spans="1:18" x14ac:dyDescent="0.3">
      <c r="A2375">
        <f t="shared" si="179"/>
        <v>2358</v>
      </c>
      <c r="B2375" s="4"/>
      <c r="I2375" s="8"/>
      <c r="J2375" s="5"/>
      <c r="K2375" s="3"/>
      <c r="L2375" s="3" t="str">
        <f t="shared" si="181"/>
        <v/>
      </c>
      <c r="N2375" s="3" t="str">
        <f t="shared" si="180"/>
        <v/>
      </c>
      <c r="O2375" s="6" t="str">
        <f t="shared" si="182"/>
        <v/>
      </c>
      <c r="P2375" s="7">
        <f ca="1">SUMIFS($N$2:$N2375,$B$2:$B2375,"&lt;&gt;"&amp;B2375)+SUM($Q$2:$Q2375)</f>
        <v>135.05500000000001</v>
      </c>
      <c r="R2375" t="b">
        <f>AND(ISNUMBER(FIND($E2375,Tables!$I$2)), ISNUMBER(FIND($D2375,Tables!$J$2)), $E2375&lt;&gt;"")</f>
        <v>0</v>
      </c>
    </row>
    <row r="2376" spans="1:18" x14ac:dyDescent="0.3">
      <c r="A2376">
        <f t="shared" si="179"/>
        <v>2359</v>
      </c>
      <c r="B2376" s="4"/>
      <c r="I2376" s="8"/>
      <c r="J2376" s="5"/>
      <c r="K2376" s="3"/>
      <c r="L2376" s="3" t="str">
        <f t="shared" si="181"/>
        <v/>
      </c>
      <c r="N2376" s="3" t="str">
        <f t="shared" si="180"/>
        <v/>
      </c>
      <c r="O2376" s="6" t="str">
        <f t="shared" si="182"/>
        <v/>
      </c>
      <c r="P2376" s="7">
        <f ca="1">SUMIFS($N$2:$N2376,$B$2:$B2376,"&lt;&gt;"&amp;B2376)+SUM($Q$2:$Q2376)</f>
        <v>135.05500000000001</v>
      </c>
      <c r="R2376" t="b">
        <f>AND(ISNUMBER(FIND($E2376,Tables!$I$2)), ISNUMBER(FIND($D2376,Tables!$J$2)), $E2376&lt;&gt;"")</f>
        <v>0</v>
      </c>
    </row>
    <row r="2377" spans="1:18" x14ac:dyDescent="0.3">
      <c r="A2377">
        <f t="shared" si="179"/>
        <v>2360</v>
      </c>
      <c r="B2377" s="4"/>
      <c r="I2377" s="8"/>
      <c r="J2377" s="5"/>
      <c r="K2377" s="3"/>
      <c r="L2377" s="3" t="str">
        <f t="shared" si="181"/>
        <v/>
      </c>
      <c r="N2377" s="3" t="str">
        <f t="shared" si="180"/>
        <v/>
      </c>
      <c r="O2377" s="6" t="str">
        <f t="shared" si="182"/>
        <v/>
      </c>
      <c r="P2377" s="7">
        <f ca="1">SUMIFS($N$2:$N2377,$B$2:$B2377,"&lt;&gt;"&amp;B2377)+SUM($Q$2:$Q2377)</f>
        <v>135.05500000000001</v>
      </c>
      <c r="R2377" t="b">
        <f>AND(ISNUMBER(FIND($E2377,Tables!$I$2)), ISNUMBER(FIND($D2377,Tables!$J$2)), $E2377&lt;&gt;"")</f>
        <v>0</v>
      </c>
    </row>
    <row r="2378" spans="1:18" x14ac:dyDescent="0.3">
      <c r="A2378">
        <f t="shared" si="179"/>
        <v>2361</v>
      </c>
      <c r="B2378" s="4"/>
      <c r="I2378" s="8"/>
      <c r="J2378" s="5"/>
      <c r="K2378" s="3"/>
      <c r="L2378" s="3" t="str">
        <f t="shared" si="181"/>
        <v/>
      </c>
      <c r="N2378" s="3" t="str">
        <f t="shared" si="180"/>
        <v/>
      </c>
      <c r="O2378" s="6" t="str">
        <f t="shared" si="182"/>
        <v/>
      </c>
      <c r="P2378" s="7">
        <f ca="1">SUMIFS($N$2:$N2378,$B$2:$B2378,"&lt;&gt;"&amp;B2378)+SUM($Q$2:$Q2378)</f>
        <v>135.05500000000001</v>
      </c>
      <c r="R2378" t="b">
        <f>AND(ISNUMBER(FIND($E2378,Tables!$I$2)), ISNUMBER(FIND($D2378,Tables!$J$2)), $E2378&lt;&gt;"")</f>
        <v>0</v>
      </c>
    </row>
    <row r="2379" spans="1:18" x14ac:dyDescent="0.3">
      <c r="A2379">
        <f t="shared" si="179"/>
        <v>2362</v>
      </c>
      <c r="B2379" s="4"/>
      <c r="I2379" s="8"/>
      <c r="J2379" s="5"/>
      <c r="K2379" s="3"/>
      <c r="L2379" s="3" t="str">
        <f t="shared" si="181"/>
        <v/>
      </c>
      <c r="N2379" s="3" t="str">
        <f t="shared" si="180"/>
        <v/>
      </c>
      <c r="O2379" s="6" t="str">
        <f t="shared" si="182"/>
        <v/>
      </c>
      <c r="P2379" s="7">
        <f ca="1">SUMIFS($N$2:$N2379,$B$2:$B2379,"&lt;&gt;"&amp;B2379)+SUM($Q$2:$Q2379)</f>
        <v>135.05500000000001</v>
      </c>
      <c r="R2379" t="b">
        <f>AND(ISNUMBER(FIND($E2379,Tables!$I$2)), ISNUMBER(FIND($D2379,Tables!$J$2)), $E2379&lt;&gt;"")</f>
        <v>0</v>
      </c>
    </row>
    <row r="2380" spans="1:18" x14ac:dyDescent="0.3">
      <c r="A2380">
        <f t="shared" si="179"/>
        <v>2363</v>
      </c>
      <c r="B2380" s="4"/>
      <c r="I2380" s="8"/>
      <c r="J2380" s="5"/>
      <c r="K2380" s="3"/>
      <c r="L2380" s="3" t="str">
        <f t="shared" si="181"/>
        <v/>
      </c>
      <c r="N2380" s="3" t="str">
        <f t="shared" si="180"/>
        <v/>
      </c>
      <c r="O2380" s="6" t="str">
        <f t="shared" si="182"/>
        <v/>
      </c>
      <c r="P2380" s="7">
        <f ca="1">SUMIFS($N$2:$N2380,$B$2:$B2380,"&lt;&gt;"&amp;B2380)+SUM($Q$2:$Q2380)</f>
        <v>135.05500000000001</v>
      </c>
      <c r="R2380" t="b">
        <f>AND(ISNUMBER(FIND($E2380,Tables!$I$2)), ISNUMBER(FIND($D2380,Tables!$J$2)), $E2380&lt;&gt;"")</f>
        <v>0</v>
      </c>
    </row>
    <row r="2381" spans="1:18" x14ac:dyDescent="0.3">
      <c r="A2381">
        <f t="shared" si="179"/>
        <v>2364</v>
      </c>
      <c r="B2381" s="4"/>
      <c r="I2381" s="8"/>
      <c r="J2381" s="5"/>
      <c r="K2381" s="3"/>
      <c r="L2381" s="3" t="str">
        <f t="shared" si="181"/>
        <v/>
      </c>
      <c r="N2381" s="3" t="str">
        <f t="shared" si="180"/>
        <v/>
      </c>
      <c r="O2381" s="6" t="str">
        <f t="shared" si="182"/>
        <v/>
      </c>
      <c r="P2381" s="7">
        <f ca="1">SUMIFS($N$2:$N2381,$B$2:$B2381,"&lt;&gt;"&amp;B2381)+SUM($Q$2:$Q2381)</f>
        <v>135.05500000000001</v>
      </c>
      <c r="R2381" t="b">
        <f>AND(ISNUMBER(FIND($E2381,Tables!$I$2)), ISNUMBER(FIND($D2381,Tables!$J$2)), $E2381&lt;&gt;"")</f>
        <v>0</v>
      </c>
    </row>
    <row r="2382" spans="1:18" x14ac:dyDescent="0.3">
      <c r="A2382">
        <f t="shared" si="179"/>
        <v>2365</v>
      </c>
      <c r="B2382" s="4"/>
      <c r="I2382" s="8"/>
      <c r="J2382" s="5"/>
      <c r="K2382" s="3"/>
      <c r="L2382" s="3" t="str">
        <f t="shared" si="181"/>
        <v/>
      </c>
      <c r="N2382" s="3" t="str">
        <f t="shared" si="180"/>
        <v/>
      </c>
      <c r="O2382" s="6" t="str">
        <f t="shared" si="182"/>
        <v/>
      </c>
      <c r="P2382" s="7">
        <f ca="1">SUMIFS($N$2:$N2382,$B$2:$B2382,"&lt;&gt;"&amp;B2382)+SUM($Q$2:$Q2382)</f>
        <v>135.05500000000001</v>
      </c>
      <c r="R2382" t="b">
        <f>AND(ISNUMBER(FIND($E2382,Tables!$I$2)), ISNUMBER(FIND($D2382,Tables!$J$2)), $E2382&lt;&gt;"")</f>
        <v>0</v>
      </c>
    </row>
    <row r="2383" spans="1:18" x14ac:dyDescent="0.3">
      <c r="A2383">
        <f t="shared" si="179"/>
        <v>2366</v>
      </c>
      <c r="B2383" s="4"/>
      <c r="I2383" s="8"/>
      <c r="J2383" s="5"/>
      <c r="K2383" s="3"/>
      <c r="L2383" s="3" t="str">
        <f t="shared" si="181"/>
        <v/>
      </c>
      <c r="N2383" s="3" t="str">
        <f t="shared" si="180"/>
        <v/>
      </c>
      <c r="O2383" s="6" t="str">
        <f t="shared" si="182"/>
        <v/>
      </c>
      <c r="P2383" s="7">
        <f ca="1">SUMIFS($N$2:$N2383,$B$2:$B2383,"&lt;&gt;"&amp;B2383)+SUM($Q$2:$Q2383)</f>
        <v>135.05500000000001</v>
      </c>
      <c r="R2383" t="b">
        <f>AND(ISNUMBER(FIND($E2383,Tables!$I$2)), ISNUMBER(FIND($D2383,Tables!$J$2)), $E2383&lt;&gt;"")</f>
        <v>0</v>
      </c>
    </row>
    <row r="2384" spans="1:18" x14ac:dyDescent="0.3">
      <c r="A2384">
        <f t="shared" si="179"/>
        <v>2367</v>
      </c>
      <c r="B2384" s="4"/>
      <c r="I2384" s="8"/>
      <c r="J2384" s="5"/>
      <c r="K2384" s="3"/>
      <c r="L2384" s="3" t="str">
        <f t="shared" si="181"/>
        <v/>
      </c>
      <c r="N2384" s="3" t="str">
        <f t="shared" si="180"/>
        <v/>
      </c>
      <c r="O2384" s="6" t="str">
        <f t="shared" si="182"/>
        <v/>
      </c>
      <c r="P2384" s="7">
        <f ca="1">SUMIFS($N$2:$N2384,$B$2:$B2384,"&lt;&gt;"&amp;B2384)+SUM($Q$2:$Q2384)</f>
        <v>135.05500000000001</v>
      </c>
      <c r="R2384" t="b">
        <f>AND(ISNUMBER(FIND($E2384,Tables!$I$2)), ISNUMBER(FIND($D2384,Tables!$J$2)), $E2384&lt;&gt;"")</f>
        <v>0</v>
      </c>
    </row>
    <row r="2385" spans="1:18" x14ac:dyDescent="0.3">
      <c r="A2385">
        <f t="shared" si="179"/>
        <v>2368</v>
      </c>
      <c r="B2385" s="4"/>
      <c r="I2385" s="8"/>
      <c r="J2385" s="5"/>
      <c r="K2385" s="3"/>
      <c r="L2385" s="3" t="str">
        <f t="shared" si="181"/>
        <v/>
      </c>
      <c r="N2385" s="3" t="str">
        <f t="shared" si="180"/>
        <v/>
      </c>
      <c r="O2385" s="6" t="str">
        <f t="shared" si="182"/>
        <v/>
      </c>
      <c r="P2385" s="7">
        <f ca="1">SUMIFS($N$2:$N2385,$B$2:$B2385,"&lt;&gt;"&amp;B2385)+SUM($Q$2:$Q2385)</f>
        <v>135.05500000000001</v>
      </c>
      <c r="R2385" t="b">
        <f>AND(ISNUMBER(FIND($E2385,Tables!$I$2)), ISNUMBER(FIND($D2385,Tables!$J$2)), $E2385&lt;&gt;"")</f>
        <v>0</v>
      </c>
    </row>
    <row r="2386" spans="1:18" x14ac:dyDescent="0.3">
      <c r="A2386">
        <f t="shared" si="179"/>
        <v>2369</v>
      </c>
      <c r="B2386" s="4"/>
      <c r="I2386" s="8"/>
      <c r="J2386" s="5"/>
      <c r="K2386" s="3"/>
      <c r="L2386" s="3" t="str">
        <f t="shared" si="181"/>
        <v/>
      </c>
      <c r="N2386" s="3" t="str">
        <f t="shared" si="180"/>
        <v/>
      </c>
      <c r="O2386" s="6" t="str">
        <f t="shared" si="182"/>
        <v/>
      </c>
      <c r="P2386" s="7">
        <f ca="1">SUMIFS($N$2:$N2386,$B$2:$B2386,"&lt;&gt;"&amp;B2386)+SUM($Q$2:$Q2386)</f>
        <v>135.05500000000001</v>
      </c>
      <c r="R2386" t="b">
        <f>AND(ISNUMBER(FIND($E2386,Tables!$I$2)), ISNUMBER(FIND($D2386,Tables!$J$2)), $E2386&lt;&gt;"")</f>
        <v>0</v>
      </c>
    </row>
    <row r="2387" spans="1:18" x14ac:dyDescent="0.3">
      <c r="A2387">
        <f t="shared" si="179"/>
        <v>2370</v>
      </c>
      <c r="B2387" s="4"/>
      <c r="I2387" s="8"/>
      <c r="J2387" s="5"/>
      <c r="K2387" s="3"/>
      <c r="L2387" s="3" t="str">
        <f t="shared" si="181"/>
        <v/>
      </c>
      <c r="N2387" s="3" t="str">
        <f t="shared" si="180"/>
        <v/>
      </c>
      <c r="O2387" s="6" t="str">
        <f t="shared" si="182"/>
        <v/>
      </c>
      <c r="P2387" s="7">
        <f ca="1">SUMIFS($N$2:$N2387,$B$2:$B2387,"&lt;&gt;"&amp;B2387)+SUM($Q$2:$Q2387)</f>
        <v>135.05500000000001</v>
      </c>
      <c r="R2387" t="b">
        <f>AND(ISNUMBER(FIND($E2387,Tables!$I$2)), ISNUMBER(FIND($D2387,Tables!$J$2)), $E2387&lt;&gt;"")</f>
        <v>0</v>
      </c>
    </row>
    <row r="2388" spans="1:18" x14ac:dyDescent="0.3">
      <c r="A2388">
        <f t="shared" si="179"/>
        <v>2371</v>
      </c>
      <c r="B2388" s="4"/>
      <c r="I2388" s="8"/>
      <c r="J2388" s="5"/>
      <c r="K2388" s="3"/>
      <c r="L2388" s="3" t="str">
        <f t="shared" si="181"/>
        <v/>
      </c>
      <c r="N2388" s="3" t="str">
        <f t="shared" si="180"/>
        <v/>
      </c>
      <c r="O2388" s="6" t="str">
        <f t="shared" si="182"/>
        <v/>
      </c>
      <c r="P2388" s="7">
        <f ca="1">SUMIFS($N$2:$N2388,$B$2:$B2388,"&lt;&gt;"&amp;B2388)+SUM($Q$2:$Q2388)</f>
        <v>135.05500000000001</v>
      </c>
      <c r="R2388" t="b">
        <f>AND(ISNUMBER(FIND($E2388,Tables!$I$2)), ISNUMBER(FIND($D2388,Tables!$J$2)), $E2388&lt;&gt;"")</f>
        <v>0</v>
      </c>
    </row>
    <row r="2389" spans="1:18" x14ac:dyDescent="0.3">
      <c r="A2389">
        <f t="shared" si="179"/>
        <v>2372</v>
      </c>
      <c r="B2389" s="4"/>
      <c r="I2389" s="8"/>
      <c r="J2389" s="5"/>
      <c r="K2389" s="3"/>
      <c r="L2389" s="3" t="str">
        <f t="shared" si="181"/>
        <v/>
      </c>
      <c r="N2389" s="3" t="str">
        <f t="shared" si="180"/>
        <v/>
      </c>
      <c r="O2389" s="6" t="str">
        <f t="shared" si="182"/>
        <v/>
      </c>
      <c r="P2389" s="7">
        <f ca="1">SUMIFS($N$2:$N2389,$B$2:$B2389,"&lt;&gt;"&amp;B2389)+SUM($Q$2:$Q2389)</f>
        <v>135.05500000000001</v>
      </c>
      <c r="R2389" t="b">
        <f>AND(ISNUMBER(FIND($E2389,Tables!$I$2)), ISNUMBER(FIND($D2389,Tables!$J$2)), $E2389&lt;&gt;"")</f>
        <v>0</v>
      </c>
    </row>
    <row r="2390" spans="1:18" x14ac:dyDescent="0.3">
      <c r="A2390">
        <f t="shared" si="179"/>
        <v>2373</v>
      </c>
      <c r="B2390" s="4"/>
      <c r="I2390" s="8"/>
      <c r="J2390" s="5"/>
      <c r="K2390" s="3"/>
      <c r="L2390" s="3" t="str">
        <f t="shared" si="181"/>
        <v/>
      </c>
      <c r="N2390" s="3" t="str">
        <f t="shared" si="180"/>
        <v/>
      </c>
      <c r="O2390" s="6" t="str">
        <f t="shared" si="182"/>
        <v/>
      </c>
      <c r="P2390" s="7">
        <f ca="1">SUMIFS($N$2:$N2390,$B$2:$B2390,"&lt;&gt;"&amp;B2390)+SUM($Q$2:$Q2390)</f>
        <v>135.05500000000001</v>
      </c>
      <c r="R2390" t="b">
        <f>AND(ISNUMBER(FIND($E2390,Tables!$I$2)), ISNUMBER(FIND($D2390,Tables!$J$2)), $E2390&lt;&gt;"")</f>
        <v>0</v>
      </c>
    </row>
    <row r="2391" spans="1:18" x14ac:dyDescent="0.3">
      <c r="A2391">
        <f t="shared" si="179"/>
        <v>2374</v>
      </c>
      <c r="B2391" s="4"/>
      <c r="I2391" s="8"/>
      <c r="J2391" s="5"/>
      <c r="K2391" s="3"/>
      <c r="L2391" s="3" t="str">
        <f t="shared" si="181"/>
        <v/>
      </c>
      <c r="N2391" s="3" t="str">
        <f t="shared" si="180"/>
        <v/>
      </c>
      <c r="O2391" s="6" t="str">
        <f t="shared" si="182"/>
        <v/>
      </c>
      <c r="P2391" s="7">
        <f ca="1">SUMIFS($N$2:$N2391,$B$2:$B2391,"&lt;&gt;"&amp;B2391)+SUM($Q$2:$Q2391)</f>
        <v>135.05500000000001</v>
      </c>
      <c r="R2391" t="b">
        <f>AND(ISNUMBER(FIND($E2391,Tables!$I$2)), ISNUMBER(FIND($D2391,Tables!$J$2)), $E2391&lt;&gt;"")</f>
        <v>0</v>
      </c>
    </row>
    <row r="2392" spans="1:18" x14ac:dyDescent="0.3">
      <c r="A2392">
        <f t="shared" si="179"/>
        <v>2375</v>
      </c>
      <c r="B2392" s="4"/>
      <c r="I2392" s="8"/>
      <c r="J2392" s="5"/>
      <c r="K2392" s="3"/>
      <c r="L2392" s="3" t="str">
        <f t="shared" si="181"/>
        <v/>
      </c>
      <c r="N2392" s="3" t="str">
        <f t="shared" si="180"/>
        <v/>
      </c>
      <c r="O2392" s="6" t="str">
        <f t="shared" si="182"/>
        <v/>
      </c>
      <c r="P2392" s="7">
        <f ca="1">SUMIFS($N$2:$N2392,$B$2:$B2392,"&lt;&gt;"&amp;B2392)+SUM($Q$2:$Q2392)</f>
        <v>135.05500000000001</v>
      </c>
      <c r="R2392" t="b">
        <f>AND(ISNUMBER(FIND($E2392,Tables!$I$2)), ISNUMBER(FIND($D2392,Tables!$J$2)), $E2392&lt;&gt;"")</f>
        <v>0</v>
      </c>
    </row>
    <row r="2393" spans="1:18" x14ac:dyDescent="0.3">
      <c r="A2393">
        <f t="shared" si="179"/>
        <v>2376</v>
      </c>
      <c r="B2393" s="4"/>
      <c r="I2393" s="8"/>
      <c r="J2393" s="5"/>
      <c r="K2393" s="3"/>
      <c r="L2393" s="3" t="str">
        <f t="shared" si="181"/>
        <v/>
      </c>
      <c r="N2393" s="3" t="str">
        <f t="shared" si="180"/>
        <v/>
      </c>
      <c r="O2393" s="6" t="str">
        <f t="shared" si="182"/>
        <v/>
      </c>
      <c r="P2393" s="7">
        <f ca="1">SUMIFS($N$2:$N2393,$B$2:$B2393,"&lt;&gt;"&amp;B2393)+SUM($Q$2:$Q2393)</f>
        <v>135.05500000000001</v>
      </c>
      <c r="R2393" t="b">
        <f>AND(ISNUMBER(FIND($E2393,Tables!$I$2)), ISNUMBER(FIND($D2393,Tables!$J$2)), $E2393&lt;&gt;"")</f>
        <v>0</v>
      </c>
    </row>
    <row r="2394" spans="1:18" x14ac:dyDescent="0.3">
      <c r="A2394">
        <f t="shared" si="179"/>
        <v>2377</v>
      </c>
      <c r="B2394" s="4"/>
      <c r="I2394" s="8"/>
      <c r="J2394" s="5"/>
      <c r="K2394" s="3"/>
      <c r="L2394" s="3" t="str">
        <f t="shared" si="181"/>
        <v/>
      </c>
      <c r="N2394" s="3" t="str">
        <f t="shared" si="180"/>
        <v/>
      </c>
      <c r="O2394" s="6" t="str">
        <f t="shared" si="182"/>
        <v/>
      </c>
      <c r="P2394" s="7">
        <f ca="1">SUMIFS($N$2:$N2394,$B$2:$B2394,"&lt;&gt;"&amp;B2394)+SUM($Q$2:$Q2394)</f>
        <v>135.05500000000001</v>
      </c>
      <c r="R2394" t="b">
        <f>AND(ISNUMBER(FIND($E2394,Tables!$I$2)), ISNUMBER(FIND($D2394,Tables!$J$2)), $E2394&lt;&gt;"")</f>
        <v>0</v>
      </c>
    </row>
    <row r="2395" spans="1:18" x14ac:dyDescent="0.3">
      <c r="A2395">
        <f t="shared" si="179"/>
        <v>2378</v>
      </c>
      <c r="B2395" s="4"/>
      <c r="I2395" s="8"/>
      <c r="J2395" s="5"/>
      <c r="K2395" s="3"/>
      <c r="L2395" s="3" t="str">
        <f t="shared" si="181"/>
        <v/>
      </c>
      <c r="N2395" s="3" t="str">
        <f t="shared" si="180"/>
        <v/>
      </c>
      <c r="O2395" s="6" t="str">
        <f t="shared" si="182"/>
        <v/>
      </c>
      <c r="P2395" s="7">
        <f ca="1">SUMIFS($N$2:$N2395,$B$2:$B2395,"&lt;&gt;"&amp;B2395)+SUM($Q$2:$Q2395)</f>
        <v>135.05500000000001</v>
      </c>
      <c r="R2395" t="b">
        <f>AND(ISNUMBER(FIND($E2395,Tables!$I$2)), ISNUMBER(FIND($D2395,Tables!$J$2)), $E2395&lt;&gt;"")</f>
        <v>0</v>
      </c>
    </row>
    <row r="2396" spans="1:18" x14ac:dyDescent="0.3">
      <c r="A2396">
        <f t="shared" si="179"/>
        <v>2379</v>
      </c>
      <c r="B2396" s="4"/>
      <c r="I2396" s="8"/>
      <c r="J2396" s="5"/>
      <c r="K2396" s="3"/>
      <c r="L2396" s="3" t="str">
        <f t="shared" si="181"/>
        <v/>
      </c>
      <c r="N2396" s="3" t="str">
        <f t="shared" si="180"/>
        <v/>
      </c>
      <c r="O2396" s="6" t="str">
        <f t="shared" si="182"/>
        <v/>
      </c>
      <c r="P2396" s="7">
        <f ca="1">SUMIFS($N$2:$N2396,$B$2:$B2396,"&lt;&gt;"&amp;B2396)+SUM($Q$2:$Q2396)</f>
        <v>135.05500000000001</v>
      </c>
      <c r="R2396" t="b">
        <f>AND(ISNUMBER(FIND($E2396,Tables!$I$2)), ISNUMBER(FIND($D2396,Tables!$J$2)), $E2396&lt;&gt;"")</f>
        <v>0</v>
      </c>
    </row>
    <row r="2397" spans="1:18" x14ac:dyDescent="0.3">
      <c r="A2397">
        <f t="shared" si="179"/>
        <v>2380</v>
      </c>
      <c r="B2397" s="4"/>
      <c r="I2397" s="8"/>
      <c r="J2397" s="5"/>
      <c r="K2397" s="3"/>
      <c r="L2397" s="3" t="str">
        <f t="shared" si="181"/>
        <v/>
      </c>
      <c r="N2397" s="3" t="str">
        <f t="shared" si="180"/>
        <v/>
      </c>
      <c r="O2397" s="6" t="str">
        <f t="shared" si="182"/>
        <v/>
      </c>
      <c r="P2397" s="7">
        <f ca="1">SUMIFS($N$2:$N2397,$B$2:$B2397,"&lt;&gt;"&amp;B2397)+SUM($Q$2:$Q2397)</f>
        <v>135.05500000000001</v>
      </c>
      <c r="R2397" t="b">
        <f>AND(ISNUMBER(FIND($E2397,Tables!$I$2)), ISNUMBER(FIND($D2397,Tables!$J$2)), $E2397&lt;&gt;"")</f>
        <v>0</v>
      </c>
    </row>
    <row r="2398" spans="1:18" x14ac:dyDescent="0.3">
      <c r="A2398">
        <f t="shared" si="179"/>
        <v>2381</v>
      </c>
      <c r="B2398" s="4"/>
      <c r="I2398" s="8"/>
      <c r="J2398" s="5"/>
      <c r="K2398" s="3"/>
      <c r="L2398" s="3" t="str">
        <f t="shared" si="181"/>
        <v/>
      </c>
      <c r="N2398" s="3" t="str">
        <f t="shared" si="180"/>
        <v/>
      </c>
      <c r="O2398" s="6" t="str">
        <f t="shared" si="182"/>
        <v/>
      </c>
      <c r="P2398" s="7">
        <f ca="1">SUMIFS($N$2:$N2398,$B$2:$B2398,"&lt;&gt;"&amp;B2398)+SUM($Q$2:$Q2398)</f>
        <v>135.05500000000001</v>
      </c>
      <c r="R2398" t="b">
        <f>AND(ISNUMBER(FIND($E2398,Tables!$I$2)), ISNUMBER(FIND($D2398,Tables!$J$2)), $E2398&lt;&gt;"")</f>
        <v>0</v>
      </c>
    </row>
    <row r="2399" spans="1:18" x14ac:dyDescent="0.3">
      <c r="A2399">
        <f t="shared" si="179"/>
        <v>2382</v>
      </c>
      <c r="B2399" s="4"/>
      <c r="I2399" s="8"/>
      <c r="J2399" s="5"/>
      <c r="K2399" s="3"/>
      <c r="L2399" s="3" t="str">
        <f t="shared" si="181"/>
        <v/>
      </c>
      <c r="N2399" s="3" t="str">
        <f t="shared" si="180"/>
        <v/>
      </c>
      <c r="O2399" s="6" t="str">
        <f t="shared" si="182"/>
        <v/>
      </c>
      <c r="P2399" s="7">
        <f ca="1">SUMIFS($N$2:$N2399,$B$2:$B2399,"&lt;&gt;"&amp;B2399)+SUM($Q$2:$Q2399)</f>
        <v>135.05500000000001</v>
      </c>
      <c r="R2399" t="b">
        <f>AND(ISNUMBER(FIND($E2399,Tables!$I$2)), ISNUMBER(FIND($D2399,Tables!$J$2)), $E2399&lt;&gt;"")</f>
        <v>0</v>
      </c>
    </row>
    <row r="2400" spans="1:18" x14ac:dyDescent="0.3">
      <c r="A2400">
        <f t="shared" si="179"/>
        <v>2383</v>
      </c>
      <c r="B2400" s="4"/>
      <c r="I2400" s="8"/>
      <c r="J2400" s="5"/>
      <c r="K2400" s="3"/>
      <c r="L2400" s="3" t="str">
        <f t="shared" si="181"/>
        <v/>
      </c>
      <c r="N2400" s="3" t="str">
        <f t="shared" si="180"/>
        <v/>
      </c>
      <c r="O2400" s="6" t="str">
        <f t="shared" si="182"/>
        <v/>
      </c>
      <c r="P2400" s="7">
        <f ca="1">SUMIFS($N$2:$N2400,$B$2:$B2400,"&lt;&gt;"&amp;B2400)+SUM($Q$2:$Q2400)</f>
        <v>135.05500000000001</v>
      </c>
      <c r="R2400" t="b">
        <f>AND(ISNUMBER(FIND($E2400,Tables!$I$2)), ISNUMBER(FIND($D2400,Tables!$J$2)), $E2400&lt;&gt;"")</f>
        <v>0</v>
      </c>
    </row>
    <row r="2401" spans="1:18" x14ac:dyDescent="0.3">
      <c r="A2401">
        <f t="shared" si="179"/>
        <v>2384</v>
      </c>
      <c r="B2401" s="4"/>
      <c r="I2401" s="8"/>
      <c r="J2401" s="5"/>
      <c r="K2401" s="3"/>
      <c r="L2401" s="3" t="str">
        <f t="shared" si="181"/>
        <v/>
      </c>
      <c r="N2401" s="3" t="str">
        <f t="shared" si="180"/>
        <v/>
      </c>
      <c r="O2401" s="6" t="str">
        <f t="shared" si="182"/>
        <v/>
      </c>
      <c r="P2401" s="7">
        <f ca="1">SUMIFS($N$2:$N2401,$B$2:$B2401,"&lt;&gt;"&amp;B2401)+SUM($Q$2:$Q2401)</f>
        <v>135.05500000000001</v>
      </c>
      <c r="R2401" t="b">
        <f>AND(ISNUMBER(FIND($E2401,Tables!$I$2)), ISNUMBER(FIND($D2401,Tables!$J$2)), $E2401&lt;&gt;"")</f>
        <v>0</v>
      </c>
    </row>
    <row r="2402" spans="1:18" x14ac:dyDescent="0.3">
      <c r="A2402">
        <f t="shared" ref="A2402:A2465" si="183">IF(AND(B2402="", D2402&lt;&gt;""), A2401, A2401+1)</f>
        <v>2385</v>
      </c>
      <c r="B2402" s="4"/>
      <c r="I2402" s="8"/>
      <c r="J2402" s="5"/>
      <c r="K2402" s="3"/>
      <c r="L2402" s="3" t="str">
        <f t="shared" si="181"/>
        <v/>
      </c>
      <c r="N2402" s="3" t="str">
        <f t="shared" si="180"/>
        <v/>
      </c>
      <c r="O2402" s="6" t="str">
        <f t="shared" si="182"/>
        <v/>
      </c>
      <c r="P2402" s="7">
        <f ca="1">SUMIFS($N$2:$N2402,$B$2:$B2402,"&lt;&gt;"&amp;B2402)+SUM($Q$2:$Q2402)</f>
        <v>135.05500000000001</v>
      </c>
      <c r="R2402" t="b">
        <f>AND(ISNUMBER(FIND($E2402,Tables!$I$2)), ISNUMBER(FIND($D2402,Tables!$J$2)), $E2402&lt;&gt;"")</f>
        <v>0</v>
      </c>
    </row>
    <row r="2403" spans="1:18" x14ac:dyDescent="0.3">
      <c r="A2403">
        <f t="shared" si="183"/>
        <v>2386</v>
      </c>
      <c r="B2403" s="4"/>
      <c r="I2403" s="8"/>
      <c r="J2403" s="5"/>
      <c r="K2403" s="3"/>
      <c r="L2403" s="3" t="str">
        <f t="shared" si="181"/>
        <v/>
      </c>
      <c r="N2403" s="3" t="str">
        <f t="shared" si="180"/>
        <v/>
      </c>
      <c r="O2403" s="6" t="str">
        <f t="shared" si="182"/>
        <v/>
      </c>
      <c r="P2403" s="7">
        <f ca="1">SUMIFS($N$2:$N2403,$B$2:$B2403,"&lt;&gt;"&amp;B2403)+SUM($Q$2:$Q2403)</f>
        <v>135.05500000000001</v>
      </c>
      <c r="R2403" t="b">
        <f>AND(ISNUMBER(FIND($E2403,Tables!$I$2)), ISNUMBER(FIND($D2403,Tables!$J$2)), $E2403&lt;&gt;"")</f>
        <v>0</v>
      </c>
    </row>
    <row r="2404" spans="1:18" x14ac:dyDescent="0.3">
      <c r="A2404">
        <f t="shared" si="183"/>
        <v>2387</v>
      </c>
      <c r="B2404" s="4"/>
      <c r="I2404" s="8"/>
      <c r="J2404" s="5"/>
      <c r="K2404" s="3"/>
      <c r="L2404" s="3" t="str">
        <f t="shared" si="181"/>
        <v/>
      </c>
      <c r="N2404" s="3" t="str">
        <f t="shared" si="180"/>
        <v/>
      </c>
      <c r="O2404" s="6" t="str">
        <f t="shared" si="182"/>
        <v/>
      </c>
      <c r="P2404" s="7">
        <f ca="1">SUMIFS($N$2:$N2404,$B$2:$B2404,"&lt;&gt;"&amp;B2404)+SUM($Q$2:$Q2404)</f>
        <v>135.05500000000001</v>
      </c>
      <c r="R2404" t="b">
        <f>AND(ISNUMBER(FIND($E2404,Tables!$I$2)), ISNUMBER(FIND($D2404,Tables!$J$2)), $E2404&lt;&gt;"")</f>
        <v>0</v>
      </c>
    </row>
    <row r="2405" spans="1:18" x14ac:dyDescent="0.3">
      <c r="A2405">
        <f t="shared" si="183"/>
        <v>2388</v>
      </c>
      <c r="B2405" s="4"/>
      <c r="I2405" s="8"/>
      <c r="J2405" s="5"/>
      <c r="K2405" s="3"/>
      <c r="L2405" s="3" t="str">
        <f t="shared" si="181"/>
        <v/>
      </c>
      <c r="N2405" s="3" t="str">
        <f t="shared" si="180"/>
        <v/>
      </c>
      <c r="O2405" s="6" t="str">
        <f t="shared" si="182"/>
        <v/>
      </c>
      <c r="P2405" s="7">
        <f ca="1">SUMIFS($N$2:$N2405,$B$2:$B2405,"&lt;&gt;"&amp;B2405)+SUM($Q$2:$Q2405)</f>
        <v>135.05500000000001</v>
      </c>
      <c r="R2405" t="b">
        <f>AND(ISNUMBER(FIND($E2405,Tables!$I$2)), ISNUMBER(FIND($D2405,Tables!$J$2)), $E2405&lt;&gt;"")</f>
        <v>0</v>
      </c>
    </row>
    <row r="2406" spans="1:18" x14ac:dyDescent="0.3">
      <c r="A2406">
        <f t="shared" si="183"/>
        <v>2389</v>
      </c>
      <c r="B2406" s="4"/>
      <c r="I2406" s="8"/>
      <c r="J2406" s="5"/>
      <c r="K2406" s="3"/>
      <c r="L2406" s="3" t="str">
        <f t="shared" si="181"/>
        <v/>
      </c>
      <c r="N2406" s="3" t="str">
        <f t="shared" si="180"/>
        <v/>
      </c>
      <c r="O2406" s="6" t="str">
        <f t="shared" si="182"/>
        <v/>
      </c>
      <c r="P2406" s="7">
        <f ca="1">SUMIFS($N$2:$N2406,$B$2:$B2406,"&lt;&gt;"&amp;B2406)+SUM($Q$2:$Q2406)</f>
        <v>135.05500000000001</v>
      </c>
      <c r="R2406" t="b">
        <f>AND(ISNUMBER(FIND($E2406,Tables!$I$2)), ISNUMBER(FIND($D2406,Tables!$J$2)), $E2406&lt;&gt;"")</f>
        <v>0</v>
      </c>
    </row>
    <row r="2407" spans="1:18" x14ac:dyDescent="0.3">
      <c r="A2407">
        <f t="shared" si="183"/>
        <v>2390</v>
      </c>
      <c r="B2407" s="4"/>
      <c r="I2407" s="8"/>
      <c r="J2407" s="5"/>
      <c r="K2407" s="3"/>
      <c r="L2407" s="3" t="str">
        <f t="shared" si="181"/>
        <v/>
      </c>
      <c r="N2407" s="3" t="str">
        <f t="shared" si="180"/>
        <v/>
      </c>
      <c r="O2407" s="6" t="str">
        <f t="shared" si="182"/>
        <v/>
      </c>
      <c r="P2407" s="7">
        <f ca="1">SUMIFS($N$2:$N2407,$B$2:$B2407,"&lt;&gt;"&amp;B2407)+SUM($Q$2:$Q2407)</f>
        <v>135.05500000000001</v>
      </c>
      <c r="R2407" t="b">
        <f>AND(ISNUMBER(FIND($E2407,Tables!$I$2)), ISNUMBER(FIND($D2407,Tables!$J$2)), $E2407&lt;&gt;"")</f>
        <v>0</v>
      </c>
    </row>
    <row r="2408" spans="1:18" x14ac:dyDescent="0.3">
      <c r="A2408">
        <f t="shared" si="183"/>
        <v>2391</v>
      </c>
      <c r="B2408" s="4"/>
      <c r="I2408" s="8"/>
      <c r="J2408" s="5"/>
      <c r="K2408" s="3"/>
      <c r="L2408" s="3" t="str">
        <f t="shared" si="181"/>
        <v/>
      </c>
      <c r="N2408" s="3" t="str">
        <f t="shared" ref="N2408:N2471" si="184">IF(L2408 = "", "", IF(M2408="", "", IF(OR(M2408="Draw",M2408="NC"), 0, IF(M2408="win", L2408, -1*K2408))))</f>
        <v/>
      </c>
      <c r="O2408" s="6" t="str">
        <f t="shared" si="182"/>
        <v/>
      </c>
      <c r="P2408" s="7">
        <f ca="1">SUMIFS($N$2:$N2408,$B$2:$B2408,"&lt;&gt;"&amp;B2408)+SUM($Q$2:$Q2408)</f>
        <v>135.05500000000001</v>
      </c>
      <c r="R2408" t="b">
        <f>AND(ISNUMBER(FIND($E2408,Tables!$I$2)), ISNUMBER(FIND($D2408,Tables!$J$2)), $E2408&lt;&gt;"")</f>
        <v>0</v>
      </c>
    </row>
    <row r="2409" spans="1:18" x14ac:dyDescent="0.3">
      <c r="A2409">
        <f t="shared" si="183"/>
        <v>2392</v>
      </c>
      <c r="B2409" s="4"/>
      <c r="I2409" s="8"/>
      <c r="J2409" s="5"/>
      <c r="K2409" s="3"/>
      <c r="L2409" s="3" t="str">
        <f t="shared" si="181"/>
        <v/>
      </c>
      <c r="N2409" s="3" t="str">
        <f t="shared" si="184"/>
        <v/>
      </c>
      <c r="O2409" s="6" t="str">
        <f t="shared" si="182"/>
        <v/>
      </c>
      <c r="P2409" s="7">
        <f ca="1">SUMIFS($N$2:$N2409,$B$2:$B2409,"&lt;&gt;"&amp;B2409)+SUM($Q$2:$Q2409)</f>
        <v>135.05500000000001</v>
      </c>
      <c r="R2409" t="b">
        <f>AND(ISNUMBER(FIND($E2409,Tables!$I$2)), ISNUMBER(FIND($D2409,Tables!$J$2)), $E2409&lt;&gt;"")</f>
        <v>0</v>
      </c>
    </row>
    <row r="2410" spans="1:18" x14ac:dyDescent="0.3">
      <c r="A2410">
        <f t="shared" si="183"/>
        <v>2393</v>
      </c>
      <c r="B2410" s="4"/>
      <c r="I2410" s="8"/>
      <c r="J2410" s="5"/>
      <c r="K2410" s="3"/>
      <c r="L2410" s="3" t="str">
        <f t="shared" si="181"/>
        <v/>
      </c>
      <c r="N2410" s="3" t="str">
        <f t="shared" si="184"/>
        <v/>
      </c>
      <c r="O2410" s="6" t="str">
        <f t="shared" si="182"/>
        <v/>
      </c>
      <c r="P2410" s="7">
        <f ca="1">SUMIFS($N$2:$N2410,$B$2:$B2410,"&lt;&gt;"&amp;B2410)+SUM($Q$2:$Q2410)</f>
        <v>135.05500000000001</v>
      </c>
      <c r="R2410" t="b">
        <f>AND(ISNUMBER(FIND($E2410,Tables!$I$2)), ISNUMBER(FIND($D2410,Tables!$J$2)), $E2410&lt;&gt;"")</f>
        <v>0</v>
      </c>
    </row>
    <row r="2411" spans="1:18" x14ac:dyDescent="0.3">
      <c r="A2411">
        <f t="shared" si="183"/>
        <v>2394</v>
      </c>
      <c r="B2411" s="4"/>
      <c r="I2411" s="8"/>
      <c r="J2411" s="5"/>
      <c r="K2411" s="3"/>
      <c r="L2411" s="3" t="str">
        <f t="shared" si="181"/>
        <v/>
      </c>
      <c r="N2411" s="3" t="str">
        <f t="shared" si="184"/>
        <v/>
      </c>
      <c r="O2411" s="6" t="str">
        <f t="shared" si="182"/>
        <v/>
      </c>
      <c r="P2411" s="7">
        <f ca="1">SUMIFS($N$2:$N2411,$B$2:$B2411,"&lt;&gt;"&amp;B2411)+SUM($Q$2:$Q2411)</f>
        <v>135.05500000000001</v>
      </c>
      <c r="R2411" t="b">
        <f>AND(ISNUMBER(FIND($E2411,Tables!$I$2)), ISNUMBER(FIND($D2411,Tables!$J$2)), $E2411&lt;&gt;"")</f>
        <v>0</v>
      </c>
    </row>
    <row r="2412" spans="1:18" x14ac:dyDescent="0.3">
      <c r="A2412">
        <f t="shared" si="183"/>
        <v>2395</v>
      </c>
      <c r="B2412" s="4"/>
      <c r="I2412" s="8"/>
      <c r="J2412" s="5"/>
      <c r="K2412" s="3"/>
      <c r="L2412" s="3" t="str">
        <f t="shared" si="181"/>
        <v/>
      </c>
      <c r="N2412" s="3" t="str">
        <f t="shared" si="184"/>
        <v/>
      </c>
      <c r="O2412" s="6" t="str">
        <f t="shared" si="182"/>
        <v/>
      </c>
      <c r="P2412" s="7">
        <f ca="1">SUMIFS($N$2:$N2412,$B$2:$B2412,"&lt;&gt;"&amp;B2412)+SUM($Q$2:$Q2412)</f>
        <v>135.05500000000001</v>
      </c>
      <c r="R2412" t="b">
        <f>AND(ISNUMBER(FIND($E2412,Tables!$I$2)), ISNUMBER(FIND($D2412,Tables!$J$2)), $E2412&lt;&gt;"")</f>
        <v>0</v>
      </c>
    </row>
    <row r="2413" spans="1:18" x14ac:dyDescent="0.3">
      <c r="A2413">
        <f t="shared" si="183"/>
        <v>2396</v>
      </c>
      <c r="B2413" s="4"/>
      <c r="I2413" s="8"/>
      <c r="J2413" s="5"/>
      <c r="K2413" s="3"/>
      <c r="L2413" s="3" t="str">
        <f t="shared" si="181"/>
        <v/>
      </c>
      <c r="N2413" s="3" t="str">
        <f t="shared" si="184"/>
        <v/>
      </c>
      <c r="O2413" s="6" t="str">
        <f t="shared" si="182"/>
        <v/>
      </c>
      <c r="P2413" s="7">
        <f ca="1">SUMIFS($N$2:$N2413,$B$2:$B2413,"&lt;&gt;"&amp;B2413)+SUM($Q$2:$Q2413)</f>
        <v>135.05500000000001</v>
      </c>
      <c r="R2413" t="b">
        <f>AND(ISNUMBER(FIND($E2413,Tables!$I$2)), ISNUMBER(FIND($D2413,Tables!$J$2)), $E2413&lt;&gt;"")</f>
        <v>0</v>
      </c>
    </row>
    <row r="2414" spans="1:18" x14ac:dyDescent="0.3">
      <c r="A2414">
        <f t="shared" si="183"/>
        <v>2397</v>
      </c>
      <c r="B2414" s="4"/>
      <c r="I2414" s="8"/>
      <c r="J2414" s="5"/>
      <c r="K2414" s="3"/>
      <c r="L2414" s="3" t="str">
        <f t="shared" si="181"/>
        <v/>
      </c>
      <c r="N2414" s="3" t="str">
        <f t="shared" si="184"/>
        <v/>
      </c>
      <c r="O2414" s="6" t="str">
        <f t="shared" si="182"/>
        <v/>
      </c>
      <c r="P2414" s="7">
        <f ca="1">SUMIFS($N$2:$N2414,$B$2:$B2414,"&lt;&gt;"&amp;B2414)+SUM($Q$2:$Q2414)</f>
        <v>135.05500000000001</v>
      </c>
      <c r="R2414" t="b">
        <f>AND(ISNUMBER(FIND($E2414,Tables!$I$2)), ISNUMBER(FIND($D2414,Tables!$J$2)), $E2414&lt;&gt;"")</f>
        <v>0</v>
      </c>
    </row>
    <row r="2415" spans="1:18" x14ac:dyDescent="0.3">
      <c r="A2415">
        <f t="shared" si="183"/>
        <v>2398</v>
      </c>
      <c r="B2415" s="4"/>
      <c r="I2415" s="8"/>
      <c r="J2415" s="5"/>
      <c r="K2415" s="3"/>
      <c r="L2415" s="3" t="str">
        <f t="shared" si="181"/>
        <v/>
      </c>
      <c r="N2415" s="3" t="str">
        <f t="shared" si="184"/>
        <v/>
      </c>
      <c r="O2415" s="6" t="str">
        <f t="shared" si="182"/>
        <v/>
      </c>
      <c r="P2415" s="7">
        <f ca="1">SUMIFS($N$2:$N2415,$B$2:$B2415,"&lt;&gt;"&amp;B2415)+SUM($Q$2:$Q2415)</f>
        <v>135.05500000000001</v>
      </c>
      <c r="R2415" t="b">
        <f>AND(ISNUMBER(FIND($E2415,Tables!$I$2)), ISNUMBER(FIND($D2415,Tables!$J$2)), $E2415&lt;&gt;"")</f>
        <v>0</v>
      </c>
    </row>
    <row r="2416" spans="1:18" x14ac:dyDescent="0.3">
      <c r="A2416">
        <f t="shared" si="183"/>
        <v>2399</v>
      </c>
      <c r="B2416" s="4"/>
      <c r="I2416" s="8"/>
      <c r="J2416" s="5"/>
      <c r="K2416" s="3"/>
      <c r="L2416" s="3" t="str">
        <f t="shared" si="181"/>
        <v/>
      </c>
      <c r="N2416" s="3" t="str">
        <f t="shared" si="184"/>
        <v/>
      </c>
      <c r="O2416" s="6" t="str">
        <f t="shared" si="182"/>
        <v/>
      </c>
      <c r="P2416" s="7">
        <f ca="1">SUMIFS($N$2:$N2416,$B$2:$B2416,"&lt;&gt;"&amp;B2416)+SUM($Q$2:$Q2416)</f>
        <v>135.05500000000001</v>
      </c>
      <c r="R2416" t="b">
        <f>AND(ISNUMBER(FIND($E2416,Tables!$I$2)), ISNUMBER(FIND($D2416,Tables!$J$2)), $E2416&lt;&gt;"")</f>
        <v>0</v>
      </c>
    </row>
    <row r="2417" spans="1:18" x14ac:dyDescent="0.3">
      <c r="A2417">
        <f t="shared" si="183"/>
        <v>2400</v>
      </c>
      <c r="B2417" s="4"/>
      <c r="I2417" s="8"/>
      <c r="J2417" s="5"/>
      <c r="K2417" s="3"/>
      <c r="L2417" s="3" t="str">
        <f t="shared" si="181"/>
        <v/>
      </c>
      <c r="N2417" s="3" t="str">
        <f t="shared" si="184"/>
        <v/>
      </c>
      <c r="O2417" s="6" t="str">
        <f t="shared" si="182"/>
        <v/>
      </c>
      <c r="P2417" s="7">
        <f ca="1">SUMIFS($N$2:$N2417,$B$2:$B2417,"&lt;&gt;"&amp;B2417)+SUM($Q$2:$Q2417)</f>
        <v>135.05500000000001</v>
      </c>
      <c r="R2417" t="b">
        <f>AND(ISNUMBER(FIND($E2417,Tables!$I$2)), ISNUMBER(FIND($D2417,Tables!$J$2)), $E2417&lt;&gt;"")</f>
        <v>0</v>
      </c>
    </row>
    <row r="2418" spans="1:18" x14ac:dyDescent="0.3">
      <c r="A2418">
        <f t="shared" si="183"/>
        <v>2401</v>
      </c>
      <c r="B2418" s="4"/>
      <c r="I2418" s="8"/>
      <c r="J2418" s="5"/>
      <c r="K2418" s="3"/>
      <c r="L2418" s="3" t="str">
        <f t="shared" ref="L2418:L2481" si="185">IFERROR(IF(K2418=0, "", IF(I2418&gt;0, K2418/100*I2418,K2418/I2418*-100)), "")</f>
        <v/>
      </c>
      <c r="N2418" s="3" t="str">
        <f t="shared" si="184"/>
        <v/>
      </c>
      <c r="O2418" s="6" t="str">
        <f t="shared" si="182"/>
        <v/>
      </c>
      <c r="P2418" s="7">
        <f ca="1">SUMIFS($N$2:$N2418,$B$2:$B2418,"&lt;&gt;"&amp;B2418)+SUM($Q$2:$Q2418)</f>
        <v>135.05500000000001</v>
      </c>
      <c r="R2418" t="b">
        <f>AND(ISNUMBER(FIND($E2418,Tables!$I$2)), ISNUMBER(FIND($D2418,Tables!$J$2)), $E2418&lt;&gt;"")</f>
        <v>0</v>
      </c>
    </row>
    <row r="2419" spans="1:18" x14ac:dyDescent="0.3">
      <c r="A2419">
        <f t="shared" si="183"/>
        <v>2402</v>
      </c>
      <c r="B2419" s="4"/>
      <c r="I2419" s="8"/>
      <c r="J2419" s="5"/>
      <c r="K2419" s="3"/>
      <c r="L2419" s="3" t="str">
        <f t="shared" si="185"/>
        <v/>
      </c>
      <c r="N2419" s="3" t="str">
        <f t="shared" si="184"/>
        <v/>
      </c>
      <c r="O2419" s="6" t="str">
        <f t="shared" si="182"/>
        <v/>
      </c>
      <c r="P2419" s="7">
        <f ca="1">SUMIFS($N$2:$N2419,$B$2:$B2419,"&lt;&gt;"&amp;B2419)+SUM($Q$2:$Q2419)</f>
        <v>135.05500000000001</v>
      </c>
      <c r="R2419" t="b">
        <f>AND(ISNUMBER(FIND($E2419,Tables!$I$2)), ISNUMBER(FIND($D2419,Tables!$J$2)), $E2419&lt;&gt;"")</f>
        <v>0</v>
      </c>
    </row>
    <row r="2420" spans="1:18" x14ac:dyDescent="0.3">
      <c r="A2420">
        <f t="shared" si="183"/>
        <v>2403</v>
      </c>
      <c r="B2420" s="4"/>
      <c r="I2420" s="8"/>
      <c r="J2420" s="5"/>
      <c r="K2420" s="3"/>
      <c r="L2420" s="3" t="str">
        <f t="shared" si="185"/>
        <v/>
      </c>
      <c r="N2420" s="3" t="str">
        <f t="shared" si="184"/>
        <v/>
      </c>
      <c r="O2420" s="6" t="str">
        <f t="shared" si="182"/>
        <v/>
      </c>
      <c r="P2420" s="7">
        <f ca="1">SUMIFS($N$2:$N2420,$B$2:$B2420,"&lt;&gt;"&amp;B2420)+SUM($Q$2:$Q2420)</f>
        <v>135.05500000000001</v>
      </c>
      <c r="R2420" t="b">
        <f>AND(ISNUMBER(FIND($E2420,Tables!$I$2)), ISNUMBER(FIND($D2420,Tables!$J$2)), $E2420&lt;&gt;"")</f>
        <v>0</v>
      </c>
    </row>
    <row r="2421" spans="1:18" x14ac:dyDescent="0.3">
      <c r="A2421">
        <f t="shared" si="183"/>
        <v>2404</v>
      </c>
      <c r="B2421" s="4"/>
      <c r="I2421" s="8"/>
      <c r="J2421" s="5"/>
      <c r="K2421" s="3"/>
      <c r="L2421" s="3" t="str">
        <f t="shared" si="185"/>
        <v/>
      </c>
      <c r="N2421" s="3" t="str">
        <f t="shared" si="184"/>
        <v/>
      </c>
      <c r="O2421" s="6" t="str">
        <f t="shared" si="182"/>
        <v/>
      </c>
      <c r="P2421" s="7">
        <f ca="1">SUMIFS($N$2:$N2421,$B$2:$B2421,"&lt;&gt;"&amp;B2421)+SUM($Q$2:$Q2421)</f>
        <v>135.05500000000001</v>
      </c>
      <c r="R2421" t="b">
        <f>AND(ISNUMBER(FIND($E2421,Tables!$I$2)), ISNUMBER(FIND($D2421,Tables!$J$2)), $E2421&lt;&gt;"")</f>
        <v>0</v>
      </c>
    </row>
    <row r="2422" spans="1:18" x14ac:dyDescent="0.3">
      <c r="A2422">
        <f t="shared" si="183"/>
        <v>2405</v>
      </c>
      <c r="B2422" s="4"/>
      <c r="I2422" s="8"/>
      <c r="J2422" s="5"/>
      <c r="K2422" s="3"/>
      <c r="L2422" s="3" t="str">
        <f t="shared" si="185"/>
        <v/>
      </c>
      <c r="N2422" s="3" t="str">
        <f t="shared" si="184"/>
        <v/>
      </c>
      <c r="O2422" s="6" t="str">
        <f t="shared" si="182"/>
        <v/>
      </c>
      <c r="P2422" s="7">
        <f ca="1">SUMIFS($N$2:$N2422,$B$2:$B2422,"&lt;&gt;"&amp;B2422)+SUM($Q$2:$Q2422)</f>
        <v>135.05500000000001</v>
      </c>
      <c r="R2422" t="b">
        <f>AND(ISNUMBER(FIND($E2422,Tables!$I$2)), ISNUMBER(FIND($D2422,Tables!$J$2)), $E2422&lt;&gt;"")</f>
        <v>0</v>
      </c>
    </row>
    <row r="2423" spans="1:18" x14ac:dyDescent="0.3">
      <c r="A2423">
        <f t="shared" si="183"/>
        <v>2406</v>
      </c>
      <c r="B2423" s="4"/>
      <c r="I2423" s="8"/>
      <c r="J2423" s="5"/>
      <c r="K2423" s="3"/>
      <c r="L2423" s="3" t="str">
        <f t="shared" si="185"/>
        <v/>
      </c>
      <c r="N2423" s="3" t="str">
        <f t="shared" si="184"/>
        <v/>
      </c>
      <c r="O2423" s="6" t="str">
        <f t="shared" si="182"/>
        <v/>
      </c>
      <c r="P2423" s="7">
        <f ca="1">SUMIFS($N$2:$N2423,$B$2:$B2423,"&lt;&gt;"&amp;B2423)+SUM($Q$2:$Q2423)</f>
        <v>135.05500000000001</v>
      </c>
      <c r="R2423" t="b">
        <f>AND(ISNUMBER(FIND($E2423,Tables!$I$2)), ISNUMBER(FIND($D2423,Tables!$J$2)), $E2423&lt;&gt;"")</f>
        <v>0</v>
      </c>
    </row>
    <row r="2424" spans="1:18" x14ac:dyDescent="0.3">
      <c r="A2424">
        <f t="shared" si="183"/>
        <v>2407</v>
      </c>
      <c r="B2424" s="4"/>
      <c r="I2424" s="8"/>
      <c r="J2424" s="5"/>
      <c r="K2424" s="3"/>
      <c r="L2424" s="3" t="str">
        <f t="shared" si="185"/>
        <v/>
      </c>
      <c r="N2424" s="3" t="str">
        <f t="shared" si="184"/>
        <v/>
      </c>
      <c r="O2424" s="6" t="str">
        <f t="shared" si="182"/>
        <v/>
      </c>
      <c r="P2424" s="7">
        <f ca="1">SUMIFS($N$2:$N2424,$B$2:$B2424,"&lt;&gt;"&amp;B2424)+SUM($Q$2:$Q2424)</f>
        <v>135.05500000000001</v>
      </c>
      <c r="R2424" t="b">
        <f>AND(ISNUMBER(FIND($E2424,Tables!$I$2)), ISNUMBER(FIND($D2424,Tables!$J$2)), $E2424&lt;&gt;"")</f>
        <v>0</v>
      </c>
    </row>
    <row r="2425" spans="1:18" x14ac:dyDescent="0.3">
      <c r="A2425">
        <f t="shared" si="183"/>
        <v>2408</v>
      </c>
      <c r="B2425" s="4"/>
      <c r="I2425" s="8"/>
      <c r="J2425" s="5"/>
      <c r="K2425" s="3"/>
      <c r="L2425" s="3" t="str">
        <f t="shared" si="185"/>
        <v/>
      </c>
      <c r="N2425" s="3" t="str">
        <f t="shared" si="184"/>
        <v/>
      </c>
      <c r="O2425" s="6" t="str">
        <f t="shared" si="182"/>
        <v/>
      </c>
      <c r="P2425" s="7">
        <f ca="1">SUMIFS($N$2:$N2425,$B$2:$B2425,"&lt;&gt;"&amp;B2425)+SUM($Q$2:$Q2425)</f>
        <v>135.05500000000001</v>
      </c>
      <c r="R2425" t="b">
        <f>AND(ISNUMBER(FIND($E2425,Tables!$I$2)), ISNUMBER(FIND($D2425,Tables!$J$2)), $E2425&lt;&gt;"")</f>
        <v>0</v>
      </c>
    </row>
    <row r="2426" spans="1:18" x14ac:dyDescent="0.3">
      <c r="A2426">
        <f t="shared" si="183"/>
        <v>2409</v>
      </c>
      <c r="B2426" s="4"/>
      <c r="I2426" s="8"/>
      <c r="J2426" s="5"/>
      <c r="K2426" s="3"/>
      <c r="L2426" s="3" t="str">
        <f t="shared" si="185"/>
        <v/>
      </c>
      <c r="N2426" s="3" t="str">
        <f t="shared" si="184"/>
        <v/>
      </c>
      <c r="O2426" s="6" t="str">
        <f t="shared" si="182"/>
        <v/>
      </c>
      <c r="P2426" s="7">
        <f ca="1">SUMIFS($N$2:$N2426,$B$2:$B2426,"&lt;&gt;"&amp;B2426)+SUM($Q$2:$Q2426)</f>
        <v>135.05500000000001</v>
      </c>
      <c r="R2426" t="b">
        <f>AND(ISNUMBER(FIND($E2426,Tables!$I$2)), ISNUMBER(FIND($D2426,Tables!$J$2)), $E2426&lt;&gt;"")</f>
        <v>0</v>
      </c>
    </row>
    <row r="2427" spans="1:18" x14ac:dyDescent="0.3">
      <c r="A2427">
        <f t="shared" si="183"/>
        <v>2410</v>
      </c>
      <c r="B2427" s="4"/>
      <c r="I2427" s="8"/>
      <c r="J2427" s="5"/>
      <c r="K2427" s="3"/>
      <c r="L2427" s="3" t="str">
        <f t="shared" si="185"/>
        <v/>
      </c>
      <c r="N2427" s="3" t="str">
        <f t="shared" si="184"/>
        <v/>
      </c>
      <c r="O2427" s="6" t="str">
        <f t="shared" si="182"/>
        <v/>
      </c>
      <c r="P2427" s="7">
        <f ca="1">SUMIFS($N$2:$N2427,$B$2:$B2427,"&lt;&gt;"&amp;B2427)+SUM($Q$2:$Q2427)</f>
        <v>135.05500000000001</v>
      </c>
      <c r="R2427" t="b">
        <f>AND(ISNUMBER(FIND($E2427,Tables!$I$2)), ISNUMBER(FIND($D2427,Tables!$J$2)), $E2427&lt;&gt;"")</f>
        <v>0</v>
      </c>
    </row>
    <row r="2428" spans="1:18" x14ac:dyDescent="0.3">
      <c r="A2428">
        <f t="shared" si="183"/>
        <v>2411</v>
      </c>
      <c r="B2428" s="4"/>
      <c r="I2428" s="8"/>
      <c r="J2428" s="5"/>
      <c r="K2428" s="3"/>
      <c r="L2428" s="3" t="str">
        <f t="shared" si="185"/>
        <v/>
      </c>
      <c r="N2428" s="3" t="str">
        <f t="shared" si="184"/>
        <v/>
      </c>
      <c r="O2428" s="6" t="str">
        <f t="shared" si="182"/>
        <v/>
      </c>
      <c r="P2428" s="7">
        <f ca="1">SUMIFS($N$2:$N2428,$B$2:$B2428,"&lt;&gt;"&amp;B2428)+SUM($Q$2:$Q2428)</f>
        <v>135.05500000000001</v>
      </c>
      <c r="R2428" t="b">
        <f>AND(ISNUMBER(FIND($E2428,Tables!$I$2)), ISNUMBER(FIND($D2428,Tables!$J$2)), $E2428&lt;&gt;"")</f>
        <v>0</v>
      </c>
    </row>
    <row r="2429" spans="1:18" x14ac:dyDescent="0.3">
      <c r="A2429">
        <f t="shared" si="183"/>
        <v>2412</v>
      </c>
      <c r="B2429" s="4"/>
      <c r="I2429" s="8"/>
      <c r="J2429" s="5"/>
      <c r="K2429" s="3"/>
      <c r="L2429" s="3" t="str">
        <f t="shared" si="185"/>
        <v/>
      </c>
      <c r="N2429" s="3" t="str">
        <f t="shared" si="184"/>
        <v/>
      </c>
      <c r="O2429" s="6" t="str">
        <f t="shared" si="182"/>
        <v/>
      </c>
      <c r="P2429" s="7">
        <f ca="1">SUMIFS($N$2:$N2429,$B$2:$B2429,"&lt;&gt;"&amp;B2429)+SUM($Q$2:$Q2429)</f>
        <v>135.05500000000001</v>
      </c>
      <c r="R2429" t="b">
        <f>AND(ISNUMBER(FIND($E2429,Tables!$I$2)), ISNUMBER(FIND($D2429,Tables!$J$2)), $E2429&lt;&gt;"")</f>
        <v>0</v>
      </c>
    </row>
    <row r="2430" spans="1:18" x14ac:dyDescent="0.3">
      <c r="A2430">
        <f t="shared" si="183"/>
        <v>2413</v>
      </c>
      <c r="B2430" s="4"/>
      <c r="I2430" s="8"/>
      <c r="J2430" s="5"/>
      <c r="K2430" s="3"/>
      <c r="L2430" s="3" t="str">
        <f t="shared" si="185"/>
        <v/>
      </c>
      <c r="N2430" s="3" t="str">
        <f t="shared" si="184"/>
        <v/>
      </c>
      <c r="O2430" s="6" t="str">
        <f t="shared" si="182"/>
        <v/>
      </c>
      <c r="P2430" s="7">
        <f ca="1">SUMIFS($N$2:$N2430,$B$2:$B2430,"&lt;&gt;"&amp;B2430)+SUM($Q$2:$Q2430)</f>
        <v>135.05500000000001</v>
      </c>
      <c r="R2430" t="b">
        <f>AND(ISNUMBER(FIND($E2430,Tables!$I$2)), ISNUMBER(FIND($D2430,Tables!$J$2)), $E2430&lt;&gt;"")</f>
        <v>0</v>
      </c>
    </row>
    <row r="2431" spans="1:18" x14ac:dyDescent="0.3">
      <c r="A2431">
        <f t="shared" si="183"/>
        <v>2414</v>
      </c>
      <c r="B2431" s="4"/>
      <c r="I2431" s="8"/>
      <c r="J2431" s="5"/>
      <c r="K2431" s="3"/>
      <c r="L2431" s="3" t="str">
        <f t="shared" si="185"/>
        <v/>
      </c>
      <c r="N2431" s="3" t="str">
        <f t="shared" si="184"/>
        <v/>
      </c>
      <c r="O2431" s="6" t="str">
        <f t="shared" si="182"/>
        <v/>
      </c>
      <c r="P2431" s="7">
        <f ca="1">SUMIFS($N$2:$N2431,$B$2:$B2431,"&lt;&gt;"&amp;B2431)+SUM($Q$2:$Q2431)</f>
        <v>135.05500000000001</v>
      </c>
      <c r="R2431" t="b">
        <f>AND(ISNUMBER(FIND($E2431,Tables!$I$2)), ISNUMBER(FIND($D2431,Tables!$J$2)), $E2431&lt;&gt;"")</f>
        <v>0</v>
      </c>
    </row>
    <row r="2432" spans="1:18" x14ac:dyDescent="0.3">
      <c r="A2432">
        <f t="shared" si="183"/>
        <v>2415</v>
      </c>
      <c r="B2432" s="4"/>
      <c r="I2432" s="8"/>
      <c r="J2432" s="5"/>
      <c r="K2432" s="3"/>
      <c r="L2432" s="3" t="str">
        <f t="shared" si="185"/>
        <v/>
      </c>
      <c r="N2432" s="3" t="str">
        <f t="shared" si="184"/>
        <v/>
      </c>
      <c r="O2432" s="6" t="str">
        <f t="shared" si="182"/>
        <v/>
      </c>
      <c r="P2432" s="7">
        <f ca="1">SUMIFS($N$2:$N2432,$B$2:$B2432,"&lt;&gt;"&amp;B2432)+SUM($Q$2:$Q2432)</f>
        <v>135.05500000000001</v>
      </c>
      <c r="R2432" t="b">
        <f>AND(ISNUMBER(FIND($E2432,Tables!$I$2)), ISNUMBER(FIND($D2432,Tables!$J$2)), $E2432&lt;&gt;"")</f>
        <v>0</v>
      </c>
    </row>
    <row r="2433" spans="1:18" x14ac:dyDescent="0.3">
      <c r="A2433">
        <f t="shared" si="183"/>
        <v>2416</v>
      </c>
      <c r="B2433" s="4"/>
      <c r="I2433" s="8"/>
      <c r="J2433" s="5"/>
      <c r="K2433" s="3"/>
      <c r="L2433" s="3" t="str">
        <f t="shared" si="185"/>
        <v/>
      </c>
      <c r="N2433" s="3" t="str">
        <f t="shared" si="184"/>
        <v/>
      </c>
      <c r="O2433" s="6" t="str">
        <f t="shared" si="182"/>
        <v/>
      </c>
      <c r="P2433" s="7">
        <f ca="1">SUMIFS($N$2:$N2433,$B$2:$B2433,"&lt;&gt;"&amp;B2433)+SUM($Q$2:$Q2433)</f>
        <v>135.05500000000001</v>
      </c>
      <c r="R2433" t="b">
        <f>AND(ISNUMBER(FIND($E2433,Tables!$I$2)), ISNUMBER(FIND($D2433,Tables!$J$2)), $E2433&lt;&gt;"")</f>
        <v>0</v>
      </c>
    </row>
    <row r="2434" spans="1:18" x14ac:dyDescent="0.3">
      <c r="A2434">
        <f t="shared" si="183"/>
        <v>2417</v>
      </c>
      <c r="B2434" s="4"/>
      <c r="I2434" s="8"/>
      <c r="J2434" s="5"/>
      <c r="K2434" s="3"/>
      <c r="L2434" s="3" t="str">
        <f t="shared" si="185"/>
        <v/>
      </c>
      <c r="N2434" s="3" t="str">
        <f t="shared" si="184"/>
        <v/>
      </c>
      <c r="O2434" s="6" t="str">
        <f t="shared" ref="O2434:O2497" si="186">IFERROR(K2434/VLOOKUP(_xlfn.MINIFS(A:A,B:B,B2434,C:C,C2434),A:P,16),"")</f>
        <v/>
      </c>
      <c r="P2434" s="7">
        <f ca="1">SUMIFS($N$2:$N2434,$B$2:$B2434,"&lt;&gt;"&amp;B2434)+SUM($Q$2:$Q2434)</f>
        <v>135.05500000000001</v>
      </c>
      <c r="R2434" t="b">
        <f>AND(ISNUMBER(FIND($E2434,Tables!$I$2)), ISNUMBER(FIND($D2434,Tables!$J$2)), $E2434&lt;&gt;"")</f>
        <v>0</v>
      </c>
    </row>
    <row r="2435" spans="1:18" x14ac:dyDescent="0.3">
      <c r="A2435">
        <f t="shared" si="183"/>
        <v>2418</v>
      </c>
      <c r="B2435" s="4"/>
      <c r="I2435" s="8"/>
      <c r="J2435" s="5"/>
      <c r="K2435" s="3"/>
      <c r="L2435" s="3" t="str">
        <f t="shared" si="185"/>
        <v/>
      </c>
      <c r="N2435" s="3" t="str">
        <f t="shared" si="184"/>
        <v/>
      </c>
      <c r="O2435" s="6" t="str">
        <f t="shared" si="186"/>
        <v/>
      </c>
      <c r="P2435" s="7">
        <f ca="1">SUMIFS($N$2:$N2435,$B$2:$B2435,"&lt;&gt;"&amp;B2435)+SUM($Q$2:$Q2435)</f>
        <v>135.05500000000001</v>
      </c>
      <c r="R2435" t="b">
        <f>AND(ISNUMBER(FIND($E2435,Tables!$I$2)), ISNUMBER(FIND($D2435,Tables!$J$2)), $E2435&lt;&gt;"")</f>
        <v>0</v>
      </c>
    </row>
    <row r="2436" spans="1:18" x14ac:dyDescent="0.3">
      <c r="A2436">
        <f t="shared" si="183"/>
        <v>2419</v>
      </c>
      <c r="B2436" s="4"/>
      <c r="I2436" s="8"/>
      <c r="J2436" s="5"/>
      <c r="K2436" s="3"/>
      <c r="L2436" s="3" t="str">
        <f t="shared" si="185"/>
        <v/>
      </c>
      <c r="N2436" s="3" t="str">
        <f t="shared" si="184"/>
        <v/>
      </c>
      <c r="O2436" s="6" t="str">
        <f t="shared" si="186"/>
        <v/>
      </c>
      <c r="P2436" s="7">
        <f ca="1">SUMIFS($N$2:$N2436,$B$2:$B2436,"&lt;&gt;"&amp;B2436)+SUM($Q$2:$Q2436)</f>
        <v>135.05500000000001</v>
      </c>
      <c r="R2436" t="b">
        <f>AND(ISNUMBER(FIND($E2436,Tables!$I$2)), ISNUMBER(FIND($D2436,Tables!$J$2)), $E2436&lt;&gt;"")</f>
        <v>0</v>
      </c>
    </row>
    <row r="2437" spans="1:18" x14ac:dyDescent="0.3">
      <c r="A2437">
        <f t="shared" si="183"/>
        <v>2420</v>
      </c>
      <c r="B2437" s="4"/>
      <c r="I2437" s="8"/>
      <c r="J2437" s="5"/>
      <c r="K2437" s="3"/>
      <c r="L2437" s="3" t="str">
        <f t="shared" si="185"/>
        <v/>
      </c>
      <c r="N2437" s="3" t="str">
        <f t="shared" si="184"/>
        <v/>
      </c>
      <c r="O2437" s="6" t="str">
        <f t="shared" si="186"/>
        <v/>
      </c>
      <c r="P2437" s="7">
        <f ca="1">SUMIFS($N$2:$N2437,$B$2:$B2437,"&lt;&gt;"&amp;B2437)+SUM($Q$2:$Q2437)</f>
        <v>135.05500000000001</v>
      </c>
      <c r="R2437" t="b">
        <f>AND(ISNUMBER(FIND($E2437,Tables!$I$2)), ISNUMBER(FIND($D2437,Tables!$J$2)), $E2437&lt;&gt;"")</f>
        <v>0</v>
      </c>
    </row>
    <row r="2438" spans="1:18" x14ac:dyDescent="0.3">
      <c r="A2438">
        <f t="shared" si="183"/>
        <v>2421</v>
      </c>
      <c r="B2438" s="4"/>
      <c r="I2438" s="8"/>
      <c r="J2438" s="5"/>
      <c r="K2438" s="3"/>
      <c r="L2438" s="3" t="str">
        <f t="shared" si="185"/>
        <v/>
      </c>
      <c r="N2438" s="3" t="str">
        <f t="shared" si="184"/>
        <v/>
      </c>
      <c r="O2438" s="6" t="str">
        <f t="shared" si="186"/>
        <v/>
      </c>
      <c r="P2438" s="7">
        <f ca="1">SUMIFS($N$2:$N2438,$B$2:$B2438,"&lt;&gt;"&amp;B2438)+SUM($Q$2:$Q2438)</f>
        <v>135.05500000000001</v>
      </c>
      <c r="R2438" t="b">
        <f>AND(ISNUMBER(FIND($E2438,Tables!$I$2)), ISNUMBER(FIND($D2438,Tables!$J$2)), $E2438&lt;&gt;"")</f>
        <v>0</v>
      </c>
    </row>
    <row r="2439" spans="1:18" x14ac:dyDescent="0.3">
      <c r="A2439">
        <f t="shared" si="183"/>
        <v>2422</v>
      </c>
      <c r="B2439" s="4"/>
      <c r="I2439" s="8"/>
      <c r="J2439" s="5"/>
      <c r="K2439" s="3"/>
      <c r="L2439" s="3" t="str">
        <f t="shared" si="185"/>
        <v/>
      </c>
      <c r="N2439" s="3" t="str">
        <f t="shared" si="184"/>
        <v/>
      </c>
      <c r="O2439" s="6" t="str">
        <f t="shared" si="186"/>
        <v/>
      </c>
      <c r="P2439" s="7">
        <f ca="1">SUMIFS($N$2:$N2439,$B$2:$B2439,"&lt;&gt;"&amp;B2439)+SUM($Q$2:$Q2439)</f>
        <v>135.05500000000001</v>
      </c>
      <c r="R2439" t="b">
        <f>AND(ISNUMBER(FIND($E2439,Tables!$I$2)), ISNUMBER(FIND($D2439,Tables!$J$2)), $E2439&lt;&gt;"")</f>
        <v>0</v>
      </c>
    </row>
    <row r="2440" spans="1:18" x14ac:dyDescent="0.3">
      <c r="A2440">
        <f t="shared" si="183"/>
        <v>2423</v>
      </c>
      <c r="B2440" s="4"/>
      <c r="I2440" s="8"/>
      <c r="J2440" s="5"/>
      <c r="K2440" s="3"/>
      <c r="L2440" s="3" t="str">
        <f t="shared" si="185"/>
        <v/>
      </c>
      <c r="N2440" s="3" t="str">
        <f t="shared" si="184"/>
        <v/>
      </c>
      <c r="O2440" s="6" t="str">
        <f t="shared" si="186"/>
        <v/>
      </c>
      <c r="P2440" s="7">
        <f ca="1">SUMIFS($N$2:$N2440,$B$2:$B2440,"&lt;&gt;"&amp;B2440)+SUM($Q$2:$Q2440)</f>
        <v>135.05500000000001</v>
      </c>
      <c r="R2440" t="b">
        <f>AND(ISNUMBER(FIND($E2440,Tables!$I$2)), ISNUMBER(FIND($D2440,Tables!$J$2)), $E2440&lt;&gt;"")</f>
        <v>0</v>
      </c>
    </row>
    <row r="2441" spans="1:18" x14ac:dyDescent="0.3">
      <c r="A2441">
        <f t="shared" si="183"/>
        <v>2424</v>
      </c>
      <c r="B2441" s="4"/>
      <c r="I2441" s="8"/>
      <c r="J2441" s="5"/>
      <c r="K2441" s="3"/>
      <c r="L2441" s="3" t="str">
        <f t="shared" si="185"/>
        <v/>
      </c>
      <c r="N2441" s="3" t="str">
        <f t="shared" si="184"/>
        <v/>
      </c>
      <c r="O2441" s="6" t="str">
        <f t="shared" si="186"/>
        <v/>
      </c>
      <c r="P2441" s="7">
        <f ca="1">SUMIFS($N$2:$N2441,$B$2:$B2441,"&lt;&gt;"&amp;B2441)+SUM($Q$2:$Q2441)</f>
        <v>135.05500000000001</v>
      </c>
      <c r="R2441" t="b">
        <f>AND(ISNUMBER(FIND($E2441,Tables!$I$2)), ISNUMBER(FIND($D2441,Tables!$J$2)), $E2441&lt;&gt;"")</f>
        <v>0</v>
      </c>
    </row>
    <row r="2442" spans="1:18" x14ac:dyDescent="0.3">
      <c r="A2442">
        <f t="shared" si="183"/>
        <v>2425</v>
      </c>
      <c r="B2442" s="4"/>
      <c r="I2442" s="8"/>
      <c r="J2442" s="5"/>
      <c r="K2442" s="3"/>
      <c r="L2442" s="3" t="str">
        <f t="shared" si="185"/>
        <v/>
      </c>
      <c r="N2442" s="3" t="str">
        <f t="shared" si="184"/>
        <v/>
      </c>
      <c r="O2442" s="6" t="str">
        <f t="shared" si="186"/>
        <v/>
      </c>
      <c r="P2442" s="7">
        <f ca="1">SUMIFS($N$2:$N2442,$B$2:$B2442,"&lt;&gt;"&amp;B2442)+SUM($Q$2:$Q2442)</f>
        <v>135.05500000000001</v>
      </c>
      <c r="R2442" t="b">
        <f>AND(ISNUMBER(FIND($E2442,Tables!$I$2)), ISNUMBER(FIND($D2442,Tables!$J$2)), $E2442&lt;&gt;"")</f>
        <v>0</v>
      </c>
    </row>
    <row r="2443" spans="1:18" x14ac:dyDescent="0.3">
      <c r="A2443">
        <f t="shared" si="183"/>
        <v>2426</v>
      </c>
      <c r="B2443" s="4"/>
      <c r="I2443" s="8"/>
      <c r="J2443" s="5"/>
      <c r="K2443" s="3"/>
      <c r="L2443" s="3" t="str">
        <f t="shared" si="185"/>
        <v/>
      </c>
      <c r="N2443" s="3" t="str">
        <f t="shared" si="184"/>
        <v/>
      </c>
      <c r="O2443" s="6" t="str">
        <f t="shared" si="186"/>
        <v/>
      </c>
      <c r="P2443" s="7">
        <f ca="1">SUMIFS($N$2:$N2443,$B$2:$B2443,"&lt;&gt;"&amp;B2443)+SUM($Q$2:$Q2443)</f>
        <v>135.05500000000001</v>
      </c>
      <c r="R2443" t="b">
        <f>AND(ISNUMBER(FIND($E2443,Tables!$I$2)), ISNUMBER(FIND($D2443,Tables!$J$2)), $E2443&lt;&gt;"")</f>
        <v>0</v>
      </c>
    </row>
    <row r="2444" spans="1:18" x14ac:dyDescent="0.3">
      <c r="A2444">
        <f t="shared" si="183"/>
        <v>2427</v>
      </c>
      <c r="B2444" s="4"/>
      <c r="I2444" s="8"/>
      <c r="J2444" s="5"/>
      <c r="K2444" s="3"/>
      <c r="L2444" s="3" t="str">
        <f t="shared" si="185"/>
        <v/>
      </c>
      <c r="N2444" s="3" t="str">
        <f t="shared" si="184"/>
        <v/>
      </c>
      <c r="O2444" s="6" t="str">
        <f t="shared" si="186"/>
        <v/>
      </c>
      <c r="P2444" s="7">
        <f ca="1">SUMIFS($N$2:$N2444,$B$2:$B2444,"&lt;&gt;"&amp;B2444)+SUM($Q$2:$Q2444)</f>
        <v>135.05500000000001</v>
      </c>
      <c r="R2444" t="b">
        <f>AND(ISNUMBER(FIND($E2444,Tables!$I$2)), ISNUMBER(FIND($D2444,Tables!$J$2)), $E2444&lt;&gt;"")</f>
        <v>0</v>
      </c>
    </row>
    <row r="2445" spans="1:18" x14ac:dyDescent="0.3">
      <c r="A2445">
        <f t="shared" si="183"/>
        <v>2428</v>
      </c>
      <c r="B2445" s="4"/>
      <c r="I2445" s="8"/>
      <c r="J2445" s="5"/>
      <c r="K2445" s="3"/>
      <c r="L2445" s="3" t="str">
        <f t="shared" si="185"/>
        <v/>
      </c>
      <c r="N2445" s="3" t="str">
        <f t="shared" si="184"/>
        <v/>
      </c>
      <c r="O2445" s="6" t="str">
        <f t="shared" si="186"/>
        <v/>
      </c>
      <c r="P2445" s="7">
        <f ca="1">SUMIFS($N$2:$N2445,$B$2:$B2445,"&lt;&gt;"&amp;B2445)+SUM($Q$2:$Q2445)</f>
        <v>135.05500000000001</v>
      </c>
      <c r="R2445" t="b">
        <f>AND(ISNUMBER(FIND($E2445,Tables!$I$2)), ISNUMBER(FIND($D2445,Tables!$J$2)), $E2445&lt;&gt;"")</f>
        <v>0</v>
      </c>
    </row>
    <row r="2446" spans="1:18" x14ac:dyDescent="0.3">
      <c r="A2446">
        <f t="shared" si="183"/>
        <v>2429</v>
      </c>
      <c r="B2446" s="4"/>
      <c r="I2446" s="8"/>
      <c r="J2446" s="5"/>
      <c r="K2446" s="3"/>
      <c r="L2446" s="3" t="str">
        <f t="shared" si="185"/>
        <v/>
      </c>
      <c r="N2446" s="3" t="str">
        <f t="shared" si="184"/>
        <v/>
      </c>
      <c r="O2446" s="6" t="str">
        <f t="shared" si="186"/>
        <v/>
      </c>
      <c r="P2446" s="7">
        <f ca="1">SUMIFS($N$2:$N2446,$B$2:$B2446,"&lt;&gt;"&amp;B2446)+SUM($Q$2:$Q2446)</f>
        <v>135.05500000000001</v>
      </c>
      <c r="R2446" t="b">
        <f>AND(ISNUMBER(FIND($E2446,Tables!$I$2)), ISNUMBER(FIND($D2446,Tables!$J$2)), $E2446&lt;&gt;"")</f>
        <v>0</v>
      </c>
    </row>
    <row r="2447" spans="1:18" x14ac:dyDescent="0.3">
      <c r="A2447">
        <f t="shared" si="183"/>
        <v>2430</v>
      </c>
      <c r="B2447" s="4"/>
      <c r="I2447" s="8"/>
      <c r="J2447" s="5"/>
      <c r="K2447" s="3"/>
      <c r="L2447" s="3" t="str">
        <f t="shared" si="185"/>
        <v/>
      </c>
      <c r="N2447" s="3" t="str">
        <f t="shared" si="184"/>
        <v/>
      </c>
      <c r="O2447" s="6" t="str">
        <f t="shared" si="186"/>
        <v/>
      </c>
      <c r="P2447" s="7">
        <f ca="1">SUMIFS($N$2:$N2447,$B$2:$B2447,"&lt;&gt;"&amp;B2447)+SUM($Q$2:$Q2447)</f>
        <v>135.05500000000001</v>
      </c>
      <c r="R2447" t="b">
        <f>AND(ISNUMBER(FIND($E2447,Tables!$I$2)), ISNUMBER(FIND($D2447,Tables!$J$2)), $E2447&lt;&gt;"")</f>
        <v>0</v>
      </c>
    </row>
    <row r="2448" spans="1:18" x14ac:dyDescent="0.3">
      <c r="A2448">
        <f t="shared" si="183"/>
        <v>2431</v>
      </c>
      <c r="B2448" s="4"/>
      <c r="I2448" s="8"/>
      <c r="J2448" s="5"/>
      <c r="K2448" s="3"/>
      <c r="L2448" s="3" t="str">
        <f t="shared" si="185"/>
        <v/>
      </c>
      <c r="N2448" s="3" t="str">
        <f t="shared" si="184"/>
        <v/>
      </c>
      <c r="O2448" s="6" t="str">
        <f t="shared" si="186"/>
        <v/>
      </c>
      <c r="P2448" s="7">
        <f ca="1">SUMIFS($N$2:$N2448,$B$2:$B2448,"&lt;&gt;"&amp;B2448)+SUM($Q$2:$Q2448)</f>
        <v>135.05500000000001</v>
      </c>
      <c r="R2448" t="b">
        <f>AND(ISNUMBER(FIND($E2448,Tables!$I$2)), ISNUMBER(FIND($D2448,Tables!$J$2)), $E2448&lt;&gt;"")</f>
        <v>0</v>
      </c>
    </row>
    <row r="2449" spans="1:18" x14ac:dyDescent="0.3">
      <c r="A2449">
        <f t="shared" si="183"/>
        <v>2432</v>
      </c>
      <c r="B2449" s="4"/>
      <c r="I2449" s="8"/>
      <c r="J2449" s="5"/>
      <c r="K2449" s="3"/>
      <c r="L2449" s="3" t="str">
        <f t="shared" si="185"/>
        <v/>
      </c>
      <c r="N2449" s="3" t="str">
        <f t="shared" si="184"/>
        <v/>
      </c>
      <c r="O2449" s="6" t="str">
        <f t="shared" si="186"/>
        <v/>
      </c>
      <c r="P2449" s="7">
        <f ca="1">SUMIFS($N$2:$N2449,$B$2:$B2449,"&lt;&gt;"&amp;B2449)+SUM($Q$2:$Q2449)</f>
        <v>135.05500000000001</v>
      </c>
      <c r="R2449" t="b">
        <f>AND(ISNUMBER(FIND($E2449,Tables!$I$2)), ISNUMBER(FIND($D2449,Tables!$J$2)), $E2449&lt;&gt;"")</f>
        <v>0</v>
      </c>
    </row>
    <row r="2450" spans="1:18" x14ac:dyDescent="0.3">
      <c r="A2450">
        <f t="shared" si="183"/>
        <v>2433</v>
      </c>
      <c r="B2450" s="4"/>
      <c r="I2450" s="8"/>
      <c r="J2450" s="5"/>
      <c r="K2450" s="3"/>
      <c r="L2450" s="3" t="str">
        <f t="shared" si="185"/>
        <v/>
      </c>
      <c r="N2450" s="3" t="str">
        <f t="shared" si="184"/>
        <v/>
      </c>
      <c r="O2450" s="6" t="str">
        <f t="shared" si="186"/>
        <v/>
      </c>
      <c r="P2450" s="7">
        <f ca="1">SUMIFS($N$2:$N2450,$B$2:$B2450,"&lt;&gt;"&amp;B2450)+SUM($Q$2:$Q2450)</f>
        <v>135.05500000000001</v>
      </c>
      <c r="R2450" t="b">
        <f>AND(ISNUMBER(FIND($E2450,Tables!$I$2)), ISNUMBER(FIND($D2450,Tables!$J$2)), $E2450&lt;&gt;"")</f>
        <v>0</v>
      </c>
    </row>
    <row r="2451" spans="1:18" x14ac:dyDescent="0.3">
      <c r="A2451">
        <f t="shared" si="183"/>
        <v>2434</v>
      </c>
      <c r="B2451" s="4"/>
      <c r="I2451" s="8"/>
      <c r="J2451" s="5"/>
      <c r="K2451" s="3"/>
      <c r="L2451" s="3" t="str">
        <f t="shared" si="185"/>
        <v/>
      </c>
      <c r="N2451" s="3" t="str">
        <f t="shared" si="184"/>
        <v/>
      </c>
      <c r="O2451" s="6" t="str">
        <f t="shared" si="186"/>
        <v/>
      </c>
      <c r="P2451" s="7">
        <f ca="1">SUMIFS($N$2:$N2451,$B$2:$B2451,"&lt;&gt;"&amp;B2451)+SUM($Q$2:$Q2451)</f>
        <v>135.05500000000001</v>
      </c>
      <c r="R2451" t="b">
        <f>AND(ISNUMBER(FIND($E2451,Tables!$I$2)), ISNUMBER(FIND($D2451,Tables!$J$2)), $E2451&lt;&gt;"")</f>
        <v>0</v>
      </c>
    </row>
    <row r="2452" spans="1:18" x14ac:dyDescent="0.3">
      <c r="A2452">
        <f t="shared" si="183"/>
        <v>2435</v>
      </c>
      <c r="B2452" s="4"/>
      <c r="I2452" s="8"/>
      <c r="J2452" s="5"/>
      <c r="K2452" s="3"/>
      <c r="L2452" s="3" t="str">
        <f t="shared" si="185"/>
        <v/>
      </c>
      <c r="N2452" s="3" t="str">
        <f t="shared" si="184"/>
        <v/>
      </c>
      <c r="O2452" s="6" t="str">
        <f t="shared" si="186"/>
        <v/>
      </c>
      <c r="P2452" s="7">
        <f ca="1">SUMIFS($N$2:$N2452,$B$2:$B2452,"&lt;&gt;"&amp;B2452)+SUM($Q$2:$Q2452)</f>
        <v>135.05500000000001</v>
      </c>
      <c r="R2452" t="b">
        <f>AND(ISNUMBER(FIND($E2452,Tables!$I$2)), ISNUMBER(FIND($D2452,Tables!$J$2)), $E2452&lt;&gt;"")</f>
        <v>0</v>
      </c>
    </row>
    <row r="2453" spans="1:18" x14ac:dyDescent="0.3">
      <c r="A2453">
        <f t="shared" si="183"/>
        <v>2436</v>
      </c>
      <c r="B2453" s="4"/>
      <c r="I2453" s="8"/>
      <c r="J2453" s="5"/>
      <c r="K2453" s="3"/>
      <c r="L2453" s="3" t="str">
        <f t="shared" si="185"/>
        <v/>
      </c>
      <c r="N2453" s="3" t="str">
        <f t="shared" si="184"/>
        <v/>
      </c>
      <c r="O2453" s="6" t="str">
        <f t="shared" si="186"/>
        <v/>
      </c>
      <c r="P2453" s="7">
        <f ca="1">SUMIFS($N$2:$N2453,$B$2:$B2453,"&lt;&gt;"&amp;B2453)+SUM($Q$2:$Q2453)</f>
        <v>135.05500000000001</v>
      </c>
      <c r="R2453" t="b">
        <f>AND(ISNUMBER(FIND($E2453,Tables!$I$2)), ISNUMBER(FIND($D2453,Tables!$J$2)), $E2453&lt;&gt;"")</f>
        <v>0</v>
      </c>
    </row>
    <row r="2454" spans="1:18" x14ac:dyDescent="0.3">
      <c r="A2454">
        <f t="shared" si="183"/>
        <v>2437</v>
      </c>
      <c r="B2454" s="4"/>
      <c r="I2454" s="8"/>
      <c r="J2454" s="5"/>
      <c r="K2454" s="3"/>
      <c r="L2454" s="3" t="str">
        <f t="shared" si="185"/>
        <v/>
      </c>
      <c r="N2454" s="3" t="str">
        <f t="shared" si="184"/>
        <v/>
      </c>
      <c r="O2454" s="6" t="str">
        <f t="shared" si="186"/>
        <v/>
      </c>
      <c r="P2454" s="7">
        <f ca="1">SUMIFS($N$2:$N2454,$B$2:$B2454,"&lt;&gt;"&amp;B2454)+SUM($Q$2:$Q2454)</f>
        <v>135.05500000000001</v>
      </c>
      <c r="R2454" t="b">
        <f>AND(ISNUMBER(FIND($E2454,Tables!$I$2)), ISNUMBER(FIND($D2454,Tables!$J$2)), $E2454&lt;&gt;"")</f>
        <v>0</v>
      </c>
    </row>
    <row r="2455" spans="1:18" x14ac:dyDescent="0.3">
      <c r="A2455">
        <f t="shared" si="183"/>
        <v>2438</v>
      </c>
      <c r="B2455" s="4"/>
      <c r="I2455" s="8"/>
      <c r="J2455" s="5"/>
      <c r="K2455" s="3"/>
      <c r="L2455" s="3" t="str">
        <f t="shared" si="185"/>
        <v/>
      </c>
      <c r="N2455" s="3" t="str">
        <f t="shared" si="184"/>
        <v/>
      </c>
      <c r="O2455" s="6" t="str">
        <f t="shared" si="186"/>
        <v/>
      </c>
      <c r="P2455" s="7">
        <f ca="1">SUMIFS($N$2:$N2455,$B$2:$B2455,"&lt;&gt;"&amp;B2455)+SUM($Q$2:$Q2455)</f>
        <v>135.05500000000001</v>
      </c>
      <c r="R2455" t="b">
        <f>AND(ISNUMBER(FIND($E2455,Tables!$I$2)), ISNUMBER(FIND($D2455,Tables!$J$2)), $E2455&lt;&gt;"")</f>
        <v>0</v>
      </c>
    </row>
    <row r="2456" spans="1:18" x14ac:dyDescent="0.3">
      <c r="A2456">
        <f t="shared" si="183"/>
        <v>2439</v>
      </c>
      <c r="B2456" s="4"/>
      <c r="I2456" s="8"/>
      <c r="J2456" s="5"/>
      <c r="K2456" s="3"/>
      <c r="L2456" s="3" t="str">
        <f t="shared" si="185"/>
        <v/>
      </c>
      <c r="N2456" s="3" t="str">
        <f t="shared" si="184"/>
        <v/>
      </c>
      <c r="O2456" s="6" t="str">
        <f t="shared" si="186"/>
        <v/>
      </c>
      <c r="P2456" s="7">
        <f ca="1">SUMIFS($N$2:$N2456,$B$2:$B2456,"&lt;&gt;"&amp;B2456)+SUM($Q$2:$Q2456)</f>
        <v>135.05500000000001</v>
      </c>
      <c r="R2456" t="b">
        <f>AND(ISNUMBER(FIND($E2456,Tables!$I$2)), ISNUMBER(FIND($D2456,Tables!$J$2)), $E2456&lt;&gt;"")</f>
        <v>0</v>
      </c>
    </row>
    <row r="2457" spans="1:18" x14ac:dyDescent="0.3">
      <c r="A2457">
        <f t="shared" si="183"/>
        <v>2440</v>
      </c>
      <c r="B2457" s="4"/>
      <c r="I2457" s="8"/>
      <c r="J2457" s="5"/>
      <c r="K2457" s="3"/>
      <c r="L2457" s="3" t="str">
        <f t="shared" si="185"/>
        <v/>
      </c>
      <c r="N2457" s="3" t="str">
        <f t="shared" si="184"/>
        <v/>
      </c>
      <c r="O2457" s="6" t="str">
        <f t="shared" si="186"/>
        <v/>
      </c>
      <c r="P2457" s="7">
        <f ca="1">SUMIFS($N$2:$N2457,$B$2:$B2457,"&lt;&gt;"&amp;B2457)+SUM($Q$2:$Q2457)</f>
        <v>135.05500000000001</v>
      </c>
      <c r="R2457" t="b">
        <f>AND(ISNUMBER(FIND($E2457,Tables!$I$2)), ISNUMBER(FIND($D2457,Tables!$J$2)), $E2457&lt;&gt;"")</f>
        <v>0</v>
      </c>
    </row>
    <row r="2458" spans="1:18" x14ac:dyDescent="0.3">
      <c r="A2458">
        <f t="shared" si="183"/>
        <v>2441</v>
      </c>
      <c r="B2458" s="4"/>
      <c r="I2458" s="8"/>
      <c r="J2458" s="5"/>
      <c r="K2458" s="3"/>
      <c r="L2458" s="3" t="str">
        <f t="shared" si="185"/>
        <v/>
      </c>
      <c r="N2458" s="3" t="str">
        <f t="shared" si="184"/>
        <v/>
      </c>
      <c r="O2458" s="6" t="str">
        <f t="shared" si="186"/>
        <v/>
      </c>
      <c r="P2458" s="7">
        <f ca="1">SUMIFS($N$2:$N2458,$B$2:$B2458,"&lt;&gt;"&amp;B2458)+SUM($Q$2:$Q2458)</f>
        <v>135.05500000000001</v>
      </c>
      <c r="R2458" t="b">
        <f>AND(ISNUMBER(FIND($E2458,Tables!$I$2)), ISNUMBER(FIND($D2458,Tables!$J$2)), $E2458&lt;&gt;"")</f>
        <v>0</v>
      </c>
    </row>
    <row r="2459" spans="1:18" x14ac:dyDescent="0.3">
      <c r="A2459">
        <f t="shared" si="183"/>
        <v>2442</v>
      </c>
      <c r="B2459" s="4"/>
      <c r="I2459" s="8"/>
      <c r="J2459" s="5"/>
      <c r="K2459" s="3"/>
      <c r="L2459" s="3" t="str">
        <f t="shared" si="185"/>
        <v/>
      </c>
      <c r="N2459" s="3" t="str">
        <f t="shared" si="184"/>
        <v/>
      </c>
      <c r="O2459" s="6" t="str">
        <f t="shared" si="186"/>
        <v/>
      </c>
      <c r="P2459" s="7">
        <f ca="1">SUMIFS($N$2:$N2459,$B$2:$B2459,"&lt;&gt;"&amp;B2459)+SUM($Q$2:$Q2459)</f>
        <v>135.05500000000001</v>
      </c>
      <c r="R2459" t="b">
        <f>AND(ISNUMBER(FIND($E2459,Tables!$I$2)), ISNUMBER(FIND($D2459,Tables!$J$2)), $E2459&lt;&gt;"")</f>
        <v>0</v>
      </c>
    </row>
    <row r="2460" spans="1:18" x14ac:dyDescent="0.3">
      <c r="A2460">
        <f t="shared" si="183"/>
        <v>2443</v>
      </c>
      <c r="B2460" s="4"/>
      <c r="I2460" s="8"/>
      <c r="J2460" s="5"/>
      <c r="K2460" s="3"/>
      <c r="L2460" s="3" t="str">
        <f t="shared" si="185"/>
        <v/>
      </c>
      <c r="N2460" s="3" t="str">
        <f t="shared" si="184"/>
        <v/>
      </c>
      <c r="O2460" s="6" t="str">
        <f t="shared" si="186"/>
        <v/>
      </c>
      <c r="P2460" s="7">
        <f ca="1">SUMIFS($N$2:$N2460,$B$2:$B2460,"&lt;&gt;"&amp;B2460)+SUM($Q$2:$Q2460)</f>
        <v>135.05500000000001</v>
      </c>
      <c r="R2460" t="b">
        <f>AND(ISNUMBER(FIND($E2460,Tables!$I$2)), ISNUMBER(FIND($D2460,Tables!$J$2)), $E2460&lt;&gt;"")</f>
        <v>0</v>
      </c>
    </row>
    <row r="2461" spans="1:18" x14ac:dyDescent="0.3">
      <c r="A2461">
        <f t="shared" si="183"/>
        <v>2444</v>
      </c>
      <c r="B2461" s="4"/>
      <c r="I2461" s="8"/>
      <c r="J2461" s="5"/>
      <c r="K2461" s="3"/>
      <c r="L2461" s="3" t="str">
        <f t="shared" si="185"/>
        <v/>
      </c>
      <c r="N2461" s="3" t="str">
        <f t="shared" si="184"/>
        <v/>
      </c>
      <c r="O2461" s="6" t="str">
        <f t="shared" si="186"/>
        <v/>
      </c>
      <c r="P2461" s="7">
        <f ca="1">SUMIFS($N$2:$N2461,$B$2:$B2461,"&lt;&gt;"&amp;B2461)+SUM($Q$2:$Q2461)</f>
        <v>135.05500000000001</v>
      </c>
      <c r="R2461" t="b">
        <f>AND(ISNUMBER(FIND($E2461,Tables!$I$2)), ISNUMBER(FIND($D2461,Tables!$J$2)), $E2461&lt;&gt;"")</f>
        <v>0</v>
      </c>
    </row>
    <row r="2462" spans="1:18" x14ac:dyDescent="0.3">
      <c r="A2462">
        <f t="shared" si="183"/>
        <v>2445</v>
      </c>
      <c r="B2462" s="4"/>
      <c r="I2462" s="8"/>
      <c r="J2462" s="5"/>
      <c r="K2462" s="3"/>
      <c r="L2462" s="3" t="str">
        <f t="shared" si="185"/>
        <v/>
      </c>
      <c r="N2462" s="3" t="str">
        <f t="shared" si="184"/>
        <v/>
      </c>
      <c r="O2462" s="6" t="str">
        <f t="shared" si="186"/>
        <v/>
      </c>
      <c r="P2462" s="7">
        <f ca="1">SUMIFS($N$2:$N2462,$B$2:$B2462,"&lt;&gt;"&amp;B2462)+SUM($Q$2:$Q2462)</f>
        <v>135.05500000000001</v>
      </c>
      <c r="R2462" t="b">
        <f>AND(ISNUMBER(FIND($E2462,Tables!$I$2)), ISNUMBER(FIND($D2462,Tables!$J$2)), $E2462&lt;&gt;"")</f>
        <v>0</v>
      </c>
    </row>
    <row r="2463" spans="1:18" x14ac:dyDescent="0.3">
      <c r="A2463">
        <f t="shared" si="183"/>
        <v>2446</v>
      </c>
      <c r="B2463" s="4"/>
      <c r="I2463" s="8"/>
      <c r="J2463" s="5"/>
      <c r="K2463" s="3"/>
      <c r="L2463" s="3" t="str">
        <f t="shared" si="185"/>
        <v/>
      </c>
      <c r="N2463" s="3" t="str">
        <f t="shared" si="184"/>
        <v/>
      </c>
      <c r="O2463" s="6" t="str">
        <f t="shared" si="186"/>
        <v/>
      </c>
      <c r="P2463" s="7">
        <f ca="1">SUMIFS($N$2:$N2463,$B$2:$B2463,"&lt;&gt;"&amp;B2463)+SUM($Q$2:$Q2463)</f>
        <v>135.05500000000001</v>
      </c>
      <c r="R2463" t="b">
        <f>AND(ISNUMBER(FIND($E2463,Tables!$I$2)), ISNUMBER(FIND($D2463,Tables!$J$2)), $E2463&lt;&gt;"")</f>
        <v>0</v>
      </c>
    </row>
    <row r="2464" spans="1:18" x14ac:dyDescent="0.3">
      <c r="A2464">
        <f t="shared" si="183"/>
        <v>2447</v>
      </c>
      <c r="B2464" s="4"/>
      <c r="I2464" s="8"/>
      <c r="J2464" s="5"/>
      <c r="K2464" s="3"/>
      <c r="L2464" s="3" t="str">
        <f t="shared" si="185"/>
        <v/>
      </c>
      <c r="N2464" s="3" t="str">
        <f t="shared" si="184"/>
        <v/>
      </c>
      <c r="O2464" s="6" t="str">
        <f t="shared" si="186"/>
        <v/>
      </c>
      <c r="P2464" s="7">
        <f ca="1">SUMIFS($N$2:$N2464,$B$2:$B2464,"&lt;&gt;"&amp;B2464)+SUM($Q$2:$Q2464)</f>
        <v>135.05500000000001</v>
      </c>
      <c r="R2464" t="b">
        <f>AND(ISNUMBER(FIND($E2464,Tables!$I$2)), ISNUMBER(FIND($D2464,Tables!$J$2)), $E2464&lt;&gt;"")</f>
        <v>0</v>
      </c>
    </row>
    <row r="2465" spans="1:18" x14ac:dyDescent="0.3">
      <c r="A2465">
        <f t="shared" si="183"/>
        <v>2448</v>
      </c>
      <c r="B2465" s="4"/>
      <c r="I2465" s="8"/>
      <c r="J2465" s="5"/>
      <c r="K2465" s="3"/>
      <c r="L2465" s="3" t="str">
        <f t="shared" si="185"/>
        <v/>
      </c>
      <c r="N2465" s="3" t="str">
        <f t="shared" si="184"/>
        <v/>
      </c>
      <c r="O2465" s="6" t="str">
        <f t="shared" si="186"/>
        <v/>
      </c>
      <c r="P2465" s="7">
        <f ca="1">SUMIFS($N$2:$N2465,$B$2:$B2465,"&lt;&gt;"&amp;B2465)+SUM($Q$2:$Q2465)</f>
        <v>135.05500000000001</v>
      </c>
      <c r="R2465" t="b">
        <f>AND(ISNUMBER(FIND($E2465,Tables!$I$2)), ISNUMBER(FIND($D2465,Tables!$J$2)), $E2465&lt;&gt;"")</f>
        <v>0</v>
      </c>
    </row>
    <row r="2466" spans="1:18" x14ac:dyDescent="0.3">
      <c r="A2466">
        <f t="shared" ref="A2466:A2529" si="187">IF(AND(B2466="", D2466&lt;&gt;""), A2465, A2465+1)</f>
        <v>2449</v>
      </c>
      <c r="B2466" s="4"/>
      <c r="I2466" s="8"/>
      <c r="J2466" s="5"/>
      <c r="K2466" s="3"/>
      <c r="L2466" s="3" t="str">
        <f t="shared" si="185"/>
        <v/>
      </c>
      <c r="N2466" s="3" t="str">
        <f t="shared" si="184"/>
        <v/>
      </c>
      <c r="O2466" s="6" t="str">
        <f t="shared" si="186"/>
        <v/>
      </c>
      <c r="P2466" s="7">
        <f ca="1">SUMIFS($N$2:$N2466,$B$2:$B2466,"&lt;&gt;"&amp;B2466)+SUM($Q$2:$Q2466)</f>
        <v>135.05500000000001</v>
      </c>
      <c r="R2466" t="b">
        <f>AND(ISNUMBER(FIND($E2466,Tables!$I$2)), ISNUMBER(FIND($D2466,Tables!$J$2)), $E2466&lt;&gt;"")</f>
        <v>0</v>
      </c>
    </row>
    <row r="2467" spans="1:18" x14ac:dyDescent="0.3">
      <c r="A2467">
        <f t="shared" si="187"/>
        <v>2450</v>
      </c>
      <c r="B2467" s="4"/>
      <c r="I2467" s="8"/>
      <c r="J2467" s="5"/>
      <c r="K2467" s="3"/>
      <c r="L2467" s="3" t="str">
        <f t="shared" si="185"/>
        <v/>
      </c>
      <c r="N2467" s="3" t="str">
        <f t="shared" si="184"/>
        <v/>
      </c>
      <c r="O2467" s="6" t="str">
        <f t="shared" si="186"/>
        <v/>
      </c>
      <c r="P2467" s="7">
        <f ca="1">SUMIFS($N$2:$N2467,$B$2:$B2467,"&lt;&gt;"&amp;B2467)+SUM($Q$2:$Q2467)</f>
        <v>135.05500000000001</v>
      </c>
      <c r="R2467" t="b">
        <f>AND(ISNUMBER(FIND($E2467,Tables!$I$2)), ISNUMBER(FIND($D2467,Tables!$J$2)), $E2467&lt;&gt;"")</f>
        <v>0</v>
      </c>
    </row>
    <row r="2468" spans="1:18" x14ac:dyDescent="0.3">
      <c r="A2468">
        <f t="shared" si="187"/>
        <v>2451</v>
      </c>
      <c r="B2468" s="4"/>
      <c r="I2468" s="8"/>
      <c r="J2468" s="5"/>
      <c r="K2468" s="3"/>
      <c r="L2468" s="3" t="str">
        <f t="shared" si="185"/>
        <v/>
      </c>
      <c r="N2468" s="3" t="str">
        <f t="shared" si="184"/>
        <v/>
      </c>
      <c r="O2468" s="6" t="str">
        <f t="shared" si="186"/>
        <v/>
      </c>
      <c r="P2468" s="7">
        <f ca="1">SUMIFS($N$2:$N2468,$B$2:$B2468,"&lt;&gt;"&amp;B2468)+SUM($Q$2:$Q2468)</f>
        <v>135.05500000000001</v>
      </c>
      <c r="R2468" t="b">
        <f>AND(ISNUMBER(FIND($E2468,Tables!$I$2)), ISNUMBER(FIND($D2468,Tables!$J$2)), $E2468&lt;&gt;"")</f>
        <v>0</v>
      </c>
    </row>
    <row r="2469" spans="1:18" x14ac:dyDescent="0.3">
      <c r="A2469">
        <f t="shared" si="187"/>
        <v>2452</v>
      </c>
      <c r="B2469" s="4"/>
      <c r="I2469" s="8"/>
      <c r="J2469" s="5"/>
      <c r="K2469" s="3"/>
      <c r="L2469" s="3" t="str">
        <f t="shared" si="185"/>
        <v/>
      </c>
      <c r="N2469" s="3" t="str">
        <f t="shared" si="184"/>
        <v/>
      </c>
      <c r="O2469" s="6" t="str">
        <f t="shared" si="186"/>
        <v/>
      </c>
      <c r="P2469" s="7">
        <f ca="1">SUMIFS($N$2:$N2469,$B$2:$B2469,"&lt;&gt;"&amp;B2469)+SUM($Q$2:$Q2469)</f>
        <v>135.05500000000001</v>
      </c>
      <c r="R2469" t="b">
        <f>AND(ISNUMBER(FIND($E2469,Tables!$I$2)), ISNUMBER(FIND($D2469,Tables!$J$2)), $E2469&lt;&gt;"")</f>
        <v>0</v>
      </c>
    </row>
    <row r="2470" spans="1:18" x14ac:dyDescent="0.3">
      <c r="A2470">
        <f t="shared" si="187"/>
        <v>2453</v>
      </c>
      <c r="B2470" s="4"/>
      <c r="I2470" s="8"/>
      <c r="J2470" s="5"/>
      <c r="K2470" s="3"/>
      <c r="L2470" s="3" t="str">
        <f t="shared" si="185"/>
        <v/>
      </c>
      <c r="N2470" s="3" t="str">
        <f t="shared" si="184"/>
        <v/>
      </c>
      <c r="O2470" s="6" t="str">
        <f t="shared" si="186"/>
        <v/>
      </c>
      <c r="P2470" s="7">
        <f ca="1">SUMIFS($N$2:$N2470,$B$2:$B2470,"&lt;&gt;"&amp;B2470)+SUM($Q$2:$Q2470)</f>
        <v>135.05500000000001</v>
      </c>
      <c r="R2470" t="b">
        <f>AND(ISNUMBER(FIND($E2470,Tables!$I$2)), ISNUMBER(FIND($D2470,Tables!$J$2)), $E2470&lt;&gt;"")</f>
        <v>0</v>
      </c>
    </row>
    <row r="2471" spans="1:18" x14ac:dyDescent="0.3">
      <c r="A2471">
        <f t="shared" si="187"/>
        <v>2454</v>
      </c>
      <c r="B2471" s="4"/>
      <c r="I2471" s="8"/>
      <c r="J2471" s="5"/>
      <c r="K2471" s="3"/>
      <c r="L2471" s="3" t="str">
        <f t="shared" si="185"/>
        <v/>
      </c>
      <c r="N2471" s="3" t="str">
        <f t="shared" si="184"/>
        <v/>
      </c>
      <c r="O2471" s="6" t="str">
        <f t="shared" si="186"/>
        <v/>
      </c>
      <c r="P2471" s="7">
        <f ca="1">SUMIFS($N$2:$N2471,$B$2:$B2471,"&lt;&gt;"&amp;B2471)+SUM($Q$2:$Q2471)</f>
        <v>135.05500000000001</v>
      </c>
      <c r="R2471" t="b">
        <f>AND(ISNUMBER(FIND($E2471,Tables!$I$2)), ISNUMBER(FIND($D2471,Tables!$J$2)), $E2471&lt;&gt;"")</f>
        <v>0</v>
      </c>
    </row>
    <row r="2472" spans="1:18" x14ac:dyDescent="0.3">
      <c r="A2472">
        <f t="shared" si="187"/>
        <v>2455</v>
      </c>
      <c r="B2472" s="4"/>
      <c r="I2472" s="8"/>
      <c r="J2472" s="5"/>
      <c r="K2472" s="3"/>
      <c r="L2472" s="3" t="str">
        <f t="shared" si="185"/>
        <v/>
      </c>
      <c r="N2472" s="3" t="str">
        <f t="shared" ref="N2472:N2535" si="188">IF(L2472 = "", "", IF(M2472="", "", IF(OR(M2472="Draw",M2472="NC"), 0, IF(M2472="win", L2472, -1*K2472))))</f>
        <v/>
      </c>
      <c r="O2472" s="6" t="str">
        <f t="shared" si="186"/>
        <v/>
      </c>
      <c r="P2472" s="7">
        <f ca="1">SUMIFS($N$2:$N2472,$B$2:$B2472,"&lt;&gt;"&amp;B2472)+SUM($Q$2:$Q2472)</f>
        <v>135.05500000000001</v>
      </c>
      <c r="R2472" t="b">
        <f>AND(ISNUMBER(FIND($E2472,Tables!$I$2)), ISNUMBER(FIND($D2472,Tables!$J$2)), $E2472&lt;&gt;"")</f>
        <v>0</v>
      </c>
    </row>
    <row r="2473" spans="1:18" x14ac:dyDescent="0.3">
      <c r="A2473">
        <f t="shared" si="187"/>
        <v>2456</v>
      </c>
      <c r="B2473" s="4"/>
      <c r="I2473" s="8"/>
      <c r="J2473" s="5"/>
      <c r="K2473" s="3"/>
      <c r="L2473" s="3" t="str">
        <f t="shared" si="185"/>
        <v/>
      </c>
      <c r="N2473" s="3" t="str">
        <f t="shared" si="188"/>
        <v/>
      </c>
      <c r="O2473" s="6" t="str">
        <f t="shared" si="186"/>
        <v/>
      </c>
      <c r="P2473" s="7">
        <f ca="1">SUMIFS($N$2:$N2473,$B$2:$B2473,"&lt;&gt;"&amp;B2473)+SUM($Q$2:$Q2473)</f>
        <v>135.05500000000001</v>
      </c>
      <c r="R2473" t="b">
        <f>AND(ISNUMBER(FIND($E2473,Tables!$I$2)), ISNUMBER(FIND($D2473,Tables!$J$2)), $E2473&lt;&gt;"")</f>
        <v>0</v>
      </c>
    </row>
    <row r="2474" spans="1:18" x14ac:dyDescent="0.3">
      <c r="A2474">
        <f t="shared" si="187"/>
        <v>2457</v>
      </c>
      <c r="B2474" s="4"/>
      <c r="I2474" s="8"/>
      <c r="J2474" s="5"/>
      <c r="K2474" s="3"/>
      <c r="L2474" s="3" t="str">
        <f t="shared" si="185"/>
        <v/>
      </c>
      <c r="N2474" s="3" t="str">
        <f t="shared" si="188"/>
        <v/>
      </c>
      <c r="O2474" s="6" t="str">
        <f t="shared" si="186"/>
        <v/>
      </c>
      <c r="P2474" s="7">
        <f ca="1">SUMIFS($N$2:$N2474,$B$2:$B2474,"&lt;&gt;"&amp;B2474)+SUM($Q$2:$Q2474)</f>
        <v>135.05500000000001</v>
      </c>
      <c r="R2474" t="b">
        <f>AND(ISNUMBER(FIND($E2474,Tables!$I$2)), ISNUMBER(FIND($D2474,Tables!$J$2)), $E2474&lt;&gt;"")</f>
        <v>0</v>
      </c>
    </row>
    <row r="2475" spans="1:18" x14ac:dyDescent="0.3">
      <c r="A2475">
        <f t="shared" si="187"/>
        <v>2458</v>
      </c>
      <c r="B2475" s="4"/>
      <c r="I2475" s="8"/>
      <c r="J2475" s="5"/>
      <c r="K2475" s="3"/>
      <c r="L2475" s="3" t="str">
        <f t="shared" si="185"/>
        <v/>
      </c>
      <c r="N2475" s="3" t="str">
        <f t="shared" si="188"/>
        <v/>
      </c>
      <c r="O2475" s="6" t="str">
        <f t="shared" si="186"/>
        <v/>
      </c>
      <c r="P2475" s="7">
        <f ca="1">SUMIFS($N$2:$N2475,$B$2:$B2475,"&lt;&gt;"&amp;B2475)+SUM($Q$2:$Q2475)</f>
        <v>135.05500000000001</v>
      </c>
      <c r="R2475" t="b">
        <f>AND(ISNUMBER(FIND($E2475,Tables!$I$2)), ISNUMBER(FIND($D2475,Tables!$J$2)), $E2475&lt;&gt;"")</f>
        <v>0</v>
      </c>
    </row>
    <row r="2476" spans="1:18" x14ac:dyDescent="0.3">
      <c r="A2476">
        <f t="shared" si="187"/>
        <v>2459</v>
      </c>
      <c r="B2476" s="4"/>
      <c r="I2476" s="8"/>
      <c r="J2476" s="5"/>
      <c r="K2476" s="3"/>
      <c r="L2476" s="3" t="str">
        <f t="shared" si="185"/>
        <v/>
      </c>
      <c r="N2476" s="3" t="str">
        <f t="shared" si="188"/>
        <v/>
      </c>
      <c r="O2476" s="6" t="str">
        <f t="shared" si="186"/>
        <v/>
      </c>
      <c r="P2476" s="7">
        <f ca="1">SUMIFS($N$2:$N2476,$B$2:$B2476,"&lt;&gt;"&amp;B2476)+SUM($Q$2:$Q2476)</f>
        <v>135.05500000000001</v>
      </c>
      <c r="R2476" t="b">
        <f>AND(ISNUMBER(FIND($E2476,Tables!$I$2)), ISNUMBER(FIND($D2476,Tables!$J$2)), $E2476&lt;&gt;"")</f>
        <v>0</v>
      </c>
    </row>
    <row r="2477" spans="1:18" x14ac:dyDescent="0.3">
      <c r="A2477">
        <f t="shared" si="187"/>
        <v>2460</v>
      </c>
      <c r="B2477" s="4"/>
      <c r="I2477" s="8"/>
      <c r="J2477" s="5"/>
      <c r="K2477" s="3"/>
      <c r="L2477" s="3" t="str">
        <f t="shared" si="185"/>
        <v/>
      </c>
      <c r="N2477" s="3" t="str">
        <f t="shared" si="188"/>
        <v/>
      </c>
      <c r="O2477" s="6" t="str">
        <f t="shared" si="186"/>
        <v/>
      </c>
      <c r="P2477" s="7">
        <f ca="1">SUMIFS($N$2:$N2477,$B$2:$B2477,"&lt;&gt;"&amp;B2477)+SUM($Q$2:$Q2477)</f>
        <v>135.05500000000001</v>
      </c>
      <c r="R2477" t="b">
        <f>AND(ISNUMBER(FIND($E2477,Tables!$I$2)), ISNUMBER(FIND($D2477,Tables!$J$2)), $E2477&lt;&gt;"")</f>
        <v>0</v>
      </c>
    </row>
    <row r="2478" spans="1:18" x14ac:dyDescent="0.3">
      <c r="A2478">
        <f t="shared" si="187"/>
        <v>2461</v>
      </c>
      <c r="B2478" s="4"/>
      <c r="I2478" s="8"/>
      <c r="J2478" s="5"/>
      <c r="K2478" s="3"/>
      <c r="L2478" s="3" t="str">
        <f t="shared" si="185"/>
        <v/>
      </c>
      <c r="N2478" s="3" t="str">
        <f t="shared" si="188"/>
        <v/>
      </c>
      <c r="O2478" s="6" t="str">
        <f t="shared" si="186"/>
        <v/>
      </c>
      <c r="P2478" s="7">
        <f ca="1">SUMIFS($N$2:$N2478,$B$2:$B2478,"&lt;&gt;"&amp;B2478)+SUM($Q$2:$Q2478)</f>
        <v>135.05500000000001</v>
      </c>
      <c r="R2478" t="b">
        <f>AND(ISNUMBER(FIND($E2478,Tables!$I$2)), ISNUMBER(FIND($D2478,Tables!$J$2)), $E2478&lt;&gt;"")</f>
        <v>0</v>
      </c>
    </row>
    <row r="2479" spans="1:18" x14ac:dyDescent="0.3">
      <c r="A2479">
        <f t="shared" si="187"/>
        <v>2462</v>
      </c>
      <c r="B2479" s="4"/>
      <c r="I2479" s="8"/>
      <c r="J2479" s="5"/>
      <c r="K2479" s="3"/>
      <c r="L2479" s="3" t="str">
        <f t="shared" si="185"/>
        <v/>
      </c>
      <c r="N2479" s="3" t="str">
        <f t="shared" si="188"/>
        <v/>
      </c>
      <c r="O2479" s="6" t="str">
        <f t="shared" si="186"/>
        <v/>
      </c>
      <c r="P2479" s="7">
        <f ca="1">SUMIFS($N$2:$N2479,$B$2:$B2479,"&lt;&gt;"&amp;B2479)+SUM($Q$2:$Q2479)</f>
        <v>135.05500000000001</v>
      </c>
      <c r="R2479" t="b">
        <f>AND(ISNUMBER(FIND($E2479,Tables!$I$2)), ISNUMBER(FIND($D2479,Tables!$J$2)), $E2479&lt;&gt;"")</f>
        <v>0</v>
      </c>
    </row>
    <row r="2480" spans="1:18" x14ac:dyDescent="0.3">
      <c r="A2480">
        <f t="shared" si="187"/>
        <v>2463</v>
      </c>
      <c r="B2480" s="4"/>
      <c r="I2480" s="8"/>
      <c r="J2480" s="5"/>
      <c r="K2480" s="3"/>
      <c r="L2480" s="3" t="str">
        <f t="shared" si="185"/>
        <v/>
      </c>
      <c r="N2480" s="3" t="str">
        <f t="shared" si="188"/>
        <v/>
      </c>
      <c r="O2480" s="6" t="str">
        <f t="shared" si="186"/>
        <v/>
      </c>
      <c r="P2480" s="7">
        <f ca="1">SUMIFS($N$2:$N2480,$B$2:$B2480,"&lt;&gt;"&amp;B2480)+SUM($Q$2:$Q2480)</f>
        <v>135.05500000000001</v>
      </c>
      <c r="R2480" t="b">
        <f>AND(ISNUMBER(FIND($E2480,Tables!$I$2)), ISNUMBER(FIND($D2480,Tables!$J$2)), $E2480&lt;&gt;"")</f>
        <v>0</v>
      </c>
    </row>
    <row r="2481" spans="1:18" x14ac:dyDescent="0.3">
      <c r="A2481">
        <f t="shared" si="187"/>
        <v>2464</v>
      </c>
      <c r="B2481" s="4"/>
      <c r="I2481" s="8"/>
      <c r="J2481" s="5"/>
      <c r="K2481" s="3"/>
      <c r="L2481" s="3" t="str">
        <f t="shared" si="185"/>
        <v/>
      </c>
      <c r="N2481" s="3" t="str">
        <f t="shared" si="188"/>
        <v/>
      </c>
      <c r="O2481" s="6" t="str">
        <f t="shared" si="186"/>
        <v/>
      </c>
      <c r="P2481" s="7">
        <f ca="1">SUMIFS($N$2:$N2481,$B$2:$B2481,"&lt;&gt;"&amp;B2481)+SUM($Q$2:$Q2481)</f>
        <v>135.05500000000001</v>
      </c>
      <c r="R2481" t="b">
        <f>AND(ISNUMBER(FIND($E2481,Tables!$I$2)), ISNUMBER(FIND($D2481,Tables!$J$2)), $E2481&lt;&gt;"")</f>
        <v>0</v>
      </c>
    </row>
    <row r="2482" spans="1:18" x14ac:dyDescent="0.3">
      <c r="A2482">
        <f t="shared" si="187"/>
        <v>2465</v>
      </c>
      <c r="B2482" s="4"/>
      <c r="I2482" s="8"/>
      <c r="J2482" s="5"/>
      <c r="K2482" s="3"/>
      <c r="L2482" s="3" t="str">
        <f t="shared" ref="L2482:L2545" si="189">IFERROR(IF(K2482=0, "", IF(I2482&gt;0, K2482/100*I2482,K2482/I2482*-100)), "")</f>
        <v/>
      </c>
      <c r="N2482" s="3" t="str">
        <f t="shared" si="188"/>
        <v/>
      </c>
      <c r="O2482" s="6" t="str">
        <f t="shared" si="186"/>
        <v/>
      </c>
      <c r="P2482" s="7">
        <f ca="1">SUMIFS($N$2:$N2482,$B$2:$B2482,"&lt;&gt;"&amp;B2482)+SUM($Q$2:$Q2482)</f>
        <v>135.05500000000001</v>
      </c>
      <c r="R2482" t="b">
        <f>AND(ISNUMBER(FIND($E2482,Tables!$I$2)), ISNUMBER(FIND($D2482,Tables!$J$2)), $E2482&lt;&gt;"")</f>
        <v>0</v>
      </c>
    </row>
    <row r="2483" spans="1:18" x14ac:dyDescent="0.3">
      <c r="A2483">
        <f t="shared" si="187"/>
        <v>2466</v>
      </c>
      <c r="B2483" s="4"/>
      <c r="I2483" s="8"/>
      <c r="J2483" s="5"/>
      <c r="K2483" s="3"/>
      <c r="L2483" s="3" t="str">
        <f t="shared" si="189"/>
        <v/>
      </c>
      <c r="N2483" s="3" t="str">
        <f t="shared" si="188"/>
        <v/>
      </c>
      <c r="O2483" s="6" t="str">
        <f t="shared" si="186"/>
        <v/>
      </c>
      <c r="P2483" s="7">
        <f ca="1">SUMIFS($N$2:$N2483,$B$2:$B2483,"&lt;&gt;"&amp;B2483)+SUM($Q$2:$Q2483)</f>
        <v>135.05500000000001</v>
      </c>
      <c r="R2483" t="b">
        <f>AND(ISNUMBER(FIND($E2483,Tables!$I$2)), ISNUMBER(FIND($D2483,Tables!$J$2)), $E2483&lt;&gt;"")</f>
        <v>0</v>
      </c>
    </row>
    <row r="2484" spans="1:18" x14ac:dyDescent="0.3">
      <c r="A2484">
        <f t="shared" si="187"/>
        <v>2467</v>
      </c>
      <c r="B2484" s="4"/>
      <c r="I2484" s="8"/>
      <c r="J2484" s="5"/>
      <c r="K2484" s="3"/>
      <c r="L2484" s="3" t="str">
        <f t="shared" si="189"/>
        <v/>
      </c>
      <c r="N2484" s="3" t="str">
        <f t="shared" si="188"/>
        <v/>
      </c>
      <c r="O2484" s="6" t="str">
        <f t="shared" si="186"/>
        <v/>
      </c>
      <c r="P2484" s="7">
        <f ca="1">SUMIFS($N$2:$N2484,$B$2:$B2484,"&lt;&gt;"&amp;B2484)+SUM($Q$2:$Q2484)</f>
        <v>135.05500000000001</v>
      </c>
      <c r="R2484" t="b">
        <f>AND(ISNUMBER(FIND($E2484,Tables!$I$2)), ISNUMBER(FIND($D2484,Tables!$J$2)), $E2484&lt;&gt;"")</f>
        <v>0</v>
      </c>
    </row>
    <row r="2485" spans="1:18" x14ac:dyDescent="0.3">
      <c r="A2485">
        <f t="shared" si="187"/>
        <v>2468</v>
      </c>
      <c r="B2485" s="4"/>
      <c r="I2485" s="8"/>
      <c r="J2485" s="5"/>
      <c r="K2485" s="3"/>
      <c r="L2485" s="3" t="str">
        <f t="shared" si="189"/>
        <v/>
      </c>
      <c r="N2485" s="3" t="str">
        <f t="shared" si="188"/>
        <v/>
      </c>
      <c r="O2485" s="6" t="str">
        <f t="shared" si="186"/>
        <v/>
      </c>
      <c r="P2485" s="7">
        <f ca="1">SUMIFS($N$2:$N2485,$B$2:$B2485,"&lt;&gt;"&amp;B2485)+SUM($Q$2:$Q2485)</f>
        <v>135.05500000000001</v>
      </c>
      <c r="R2485" t="b">
        <f>AND(ISNUMBER(FIND($E2485,Tables!$I$2)), ISNUMBER(FIND($D2485,Tables!$J$2)), $E2485&lt;&gt;"")</f>
        <v>0</v>
      </c>
    </row>
    <row r="2486" spans="1:18" x14ac:dyDescent="0.3">
      <c r="A2486">
        <f t="shared" si="187"/>
        <v>2469</v>
      </c>
      <c r="B2486" s="4"/>
      <c r="I2486" s="8"/>
      <c r="J2486" s="5"/>
      <c r="K2486" s="3"/>
      <c r="L2486" s="3" t="str">
        <f t="shared" si="189"/>
        <v/>
      </c>
      <c r="N2486" s="3" t="str">
        <f t="shared" si="188"/>
        <v/>
      </c>
      <c r="O2486" s="6" t="str">
        <f t="shared" si="186"/>
        <v/>
      </c>
      <c r="P2486" s="7">
        <f ca="1">SUMIFS($N$2:$N2486,$B$2:$B2486,"&lt;&gt;"&amp;B2486)+SUM($Q$2:$Q2486)</f>
        <v>135.05500000000001</v>
      </c>
      <c r="R2486" t="b">
        <f>AND(ISNUMBER(FIND($E2486,Tables!$I$2)), ISNUMBER(FIND($D2486,Tables!$J$2)), $E2486&lt;&gt;"")</f>
        <v>0</v>
      </c>
    </row>
    <row r="2487" spans="1:18" x14ac:dyDescent="0.3">
      <c r="A2487">
        <f t="shared" si="187"/>
        <v>2470</v>
      </c>
      <c r="B2487" s="4"/>
      <c r="I2487" s="8"/>
      <c r="J2487" s="5"/>
      <c r="K2487" s="3"/>
      <c r="L2487" s="3" t="str">
        <f t="shared" si="189"/>
        <v/>
      </c>
      <c r="N2487" s="3" t="str">
        <f t="shared" si="188"/>
        <v/>
      </c>
      <c r="O2487" s="6" t="str">
        <f t="shared" si="186"/>
        <v/>
      </c>
      <c r="P2487" s="7">
        <f ca="1">SUMIFS($N$2:$N2487,$B$2:$B2487,"&lt;&gt;"&amp;B2487)+SUM($Q$2:$Q2487)</f>
        <v>135.05500000000001</v>
      </c>
      <c r="R2487" t="b">
        <f>AND(ISNUMBER(FIND($E2487,Tables!$I$2)), ISNUMBER(FIND($D2487,Tables!$J$2)), $E2487&lt;&gt;"")</f>
        <v>0</v>
      </c>
    </row>
    <row r="2488" spans="1:18" x14ac:dyDescent="0.3">
      <c r="A2488">
        <f t="shared" si="187"/>
        <v>2471</v>
      </c>
      <c r="B2488" s="4"/>
      <c r="I2488" s="8"/>
      <c r="J2488" s="5"/>
      <c r="K2488" s="3"/>
      <c r="L2488" s="3" t="str">
        <f t="shared" si="189"/>
        <v/>
      </c>
      <c r="N2488" s="3" t="str">
        <f t="shared" si="188"/>
        <v/>
      </c>
      <c r="O2488" s="6" t="str">
        <f t="shared" si="186"/>
        <v/>
      </c>
      <c r="P2488" s="7">
        <f ca="1">SUMIFS($N$2:$N2488,$B$2:$B2488,"&lt;&gt;"&amp;B2488)+SUM($Q$2:$Q2488)</f>
        <v>135.05500000000001</v>
      </c>
      <c r="R2488" t="b">
        <f>AND(ISNUMBER(FIND($E2488,Tables!$I$2)), ISNUMBER(FIND($D2488,Tables!$J$2)), $E2488&lt;&gt;"")</f>
        <v>0</v>
      </c>
    </row>
    <row r="2489" spans="1:18" x14ac:dyDescent="0.3">
      <c r="A2489">
        <f t="shared" si="187"/>
        <v>2472</v>
      </c>
      <c r="B2489" s="4"/>
      <c r="I2489" s="8"/>
      <c r="J2489" s="5"/>
      <c r="K2489" s="3"/>
      <c r="L2489" s="3" t="str">
        <f t="shared" si="189"/>
        <v/>
      </c>
      <c r="N2489" s="3" t="str">
        <f t="shared" si="188"/>
        <v/>
      </c>
      <c r="O2489" s="6" t="str">
        <f t="shared" si="186"/>
        <v/>
      </c>
      <c r="P2489" s="7">
        <f ca="1">SUMIFS($N$2:$N2489,$B$2:$B2489,"&lt;&gt;"&amp;B2489)+SUM($Q$2:$Q2489)</f>
        <v>135.05500000000001</v>
      </c>
      <c r="R2489" t="b">
        <f>AND(ISNUMBER(FIND($E2489,Tables!$I$2)), ISNUMBER(FIND($D2489,Tables!$J$2)), $E2489&lt;&gt;"")</f>
        <v>0</v>
      </c>
    </row>
    <row r="2490" spans="1:18" x14ac:dyDescent="0.3">
      <c r="A2490">
        <f t="shared" si="187"/>
        <v>2473</v>
      </c>
      <c r="B2490" s="4"/>
      <c r="I2490" s="8"/>
      <c r="J2490" s="5"/>
      <c r="K2490" s="3"/>
      <c r="L2490" s="3" t="str">
        <f t="shared" si="189"/>
        <v/>
      </c>
      <c r="N2490" s="3" t="str">
        <f t="shared" si="188"/>
        <v/>
      </c>
      <c r="O2490" s="6" t="str">
        <f t="shared" si="186"/>
        <v/>
      </c>
      <c r="P2490" s="7">
        <f ca="1">SUMIFS($N$2:$N2490,$B$2:$B2490,"&lt;&gt;"&amp;B2490)+SUM($Q$2:$Q2490)</f>
        <v>135.05500000000001</v>
      </c>
      <c r="R2490" t="b">
        <f>AND(ISNUMBER(FIND($E2490,Tables!$I$2)), ISNUMBER(FIND($D2490,Tables!$J$2)), $E2490&lt;&gt;"")</f>
        <v>0</v>
      </c>
    </row>
    <row r="2491" spans="1:18" x14ac:dyDescent="0.3">
      <c r="A2491">
        <f t="shared" si="187"/>
        <v>2474</v>
      </c>
      <c r="B2491" s="4"/>
      <c r="I2491" s="8"/>
      <c r="J2491" s="5"/>
      <c r="K2491" s="3"/>
      <c r="L2491" s="3" t="str">
        <f t="shared" si="189"/>
        <v/>
      </c>
      <c r="N2491" s="3" t="str">
        <f t="shared" si="188"/>
        <v/>
      </c>
      <c r="O2491" s="6" t="str">
        <f t="shared" si="186"/>
        <v/>
      </c>
      <c r="P2491" s="7">
        <f ca="1">SUMIFS($N$2:$N2491,$B$2:$B2491,"&lt;&gt;"&amp;B2491)+SUM($Q$2:$Q2491)</f>
        <v>135.05500000000001</v>
      </c>
      <c r="R2491" t="b">
        <f>AND(ISNUMBER(FIND($E2491,Tables!$I$2)), ISNUMBER(FIND($D2491,Tables!$J$2)), $E2491&lt;&gt;"")</f>
        <v>0</v>
      </c>
    </row>
    <row r="2492" spans="1:18" x14ac:dyDescent="0.3">
      <c r="A2492">
        <f t="shared" si="187"/>
        <v>2475</v>
      </c>
      <c r="B2492" s="4"/>
      <c r="I2492" s="8"/>
      <c r="J2492" s="5"/>
      <c r="K2492" s="3"/>
      <c r="L2492" s="3" t="str">
        <f t="shared" si="189"/>
        <v/>
      </c>
      <c r="N2492" s="3" t="str">
        <f t="shared" si="188"/>
        <v/>
      </c>
      <c r="O2492" s="6" t="str">
        <f t="shared" si="186"/>
        <v/>
      </c>
      <c r="P2492" s="7">
        <f ca="1">SUMIFS($N$2:$N2492,$B$2:$B2492,"&lt;&gt;"&amp;B2492)+SUM($Q$2:$Q2492)</f>
        <v>135.05500000000001</v>
      </c>
      <c r="R2492" t="b">
        <f>AND(ISNUMBER(FIND($E2492,Tables!$I$2)), ISNUMBER(FIND($D2492,Tables!$J$2)), $E2492&lt;&gt;"")</f>
        <v>0</v>
      </c>
    </row>
    <row r="2493" spans="1:18" x14ac:dyDescent="0.3">
      <c r="A2493">
        <f t="shared" si="187"/>
        <v>2476</v>
      </c>
      <c r="B2493" s="4"/>
      <c r="I2493" s="8"/>
      <c r="J2493" s="5"/>
      <c r="K2493" s="3"/>
      <c r="L2493" s="3" t="str">
        <f t="shared" si="189"/>
        <v/>
      </c>
      <c r="N2493" s="3" t="str">
        <f t="shared" si="188"/>
        <v/>
      </c>
      <c r="O2493" s="6" t="str">
        <f t="shared" si="186"/>
        <v/>
      </c>
      <c r="P2493" s="7">
        <f ca="1">SUMIFS($N$2:$N2493,$B$2:$B2493,"&lt;&gt;"&amp;B2493)+SUM($Q$2:$Q2493)</f>
        <v>135.05500000000001</v>
      </c>
      <c r="R2493" t="b">
        <f>AND(ISNUMBER(FIND($E2493,Tables!$I$2)), ISNUMBER(FIND($D2493,Tables!$J$2)), $E2493&lt;&gt;"")</f>
        <v>0</v>
      </c>
    </row>
    <row r="2494" spans="1:18" x14ac:dyDescent="0.3">
      <c r="A2494">
        <f t="shared" si="187"/>
        <v>2477</v>
      </c>
      <c r="B2494" s="4"/>
      <c r="I2494" s="8"/>
      <c r="J2494" s="5"/>
      <c r="K2494" s="3"/>
      <c r="L2494" s="3" t="str">
        <f t="shared" si="189"/>
        <v/>
      </c>
      <c r="N2494" s="3" t="str">
        <f t="shared" si="188"/>
        <v/>
      </c>
      <c r="O2494" s="6" t="str">
        <f t="shared" si="186"/>
        <v/>
      </c>
      <c r="P2494" s="7">
        <f ca="1">SUMIFS($N$2:$N2494,$B$2:$B2494,"&lt;&gt;"&amp;B2494)+SUM($Q$2:$Q2494)</f>
        <v>135.05500000000001</v>
      </c>
      <c r="R2494" t="b">
        <f>AND(ISNUMBER(FIND($E2494,Tables!$I$2)), ISNUMBER(FIND($D2494,Tables!$J$2)), $E2494&lt;&gt;"")</f>
        <v>0</v>
      </c>
    </row>
    <row r="2495" spans="1:18" x14ac:dyDescent="0.3">
      <c r="A2495">
        <f t="shared" si="187"/>
        <v>2478</v>
      </c>
      <c r="B2495" s="4"/>
      <c r="I2495" s="8"/>
      <c r="J2495" s="5"/>
      <c r="K2495" s="3"/>
      <c r="L2495" s="3" t="str">
        <f t="shared" si="189"/>
        <v/>
      </c>
      <c r="N2495" s="3" t="str">
        <f t="shared" si="188"/>
        <v/>
      </c>
      <c r="O2495" s="6" t="str">
        <f t="shared" si="186"/>
        <v/>
      </c>
      <c r="P2495" s="7">
        <f ca="1">SUMIFS($N$2:$N2495,$B$2:$B2495,"&lt;&gt;"&amp;B2495)+SUM($Q$2:$Q2495)</f>
        <v>135.05500000000001</v>
      </c>
      <c r="R2495" t="b">
        <f>AND(ISNUMBER(FIND($E2495,Tables!$I$2)), ISNUMBER(FIND($D2495,Tables!$J$2)), $E2495&lt;&gt;"")</f>
        <v>0</v>
      </c>
    </row>
    <row r="2496" spans="1:18" x14ac:dyDescent="0.3">
      <c r="A2496">
        <f t="shared" si="187"/>
        <v>2479</v>
      </c>
      <c r="B2496" s="4"/>
      <c r="I2496" s="8"/>
      <c r="J2496" s="5"/>
      <c r="K2496" s="3"/>
      <c r="L2496" s="3" t="str">
        <f t="shared" si="189"/>
        <v/>
      </c>
      <c r="N2496" s="3" t="str">
        <f t="shared" si="188"/>
        <v/>
      </c>
      <c r="O2496" s="6" t="str">
        <f t="shared" si="186"/>
        <v/>
      </c>
      <c r="P2496" s="7">
        <f ca="1">SUMIFS($N$2:$N2496,$B$2:$B2496,"&lt;&gt;"&amp;B2496)+SUM($Q$2:$Q2496)</f>
        <v>135.05500000000001</v>
      </c>
      <c r="R2496" t="b">
        <f>AND(ISNUMBER(FIND($E2496,Tables!$I$2)), ISNUMBER(FIND($D2496,Tables!$J$2)), $E2496&lt;&gt;"")</f>
        <v>0</v>
      </c>
    </row>
    <row r="2497" spans="1:18" x14ac:dyDescent="0.3">
      <c r="A2497">
        <f t="shared" si="187"/>
        <v>2480</v>
      </c>
      <c r="B2497" s="4"/>
      <c r="I2497" s="8"/>
      <c r="J2497" s="5"/>
      <c r="K2497" s="3"/>
      <c r="L2497" s="3" t="str">
        <f t="shared" si="189"/>
        <v/>
      </c>
      <c r="N2497" s="3" t="str">
        <f t="shared" si="188"/>
        <v/>
      </c>
      <c r="O2497" s="6" t="str">
        <f t="shared" si="186"/>
        <v/>
      </c>
      <c r="P2497" s="7">
        <f ca="1">SUMIFS($N$2:$N2497,$B$2:$B2497,"&lt;&gt;"&amp;B2497)+SUM($Q$2:$Q2497)</f>
        <v>135.05500000000001</v>
      </c>
      <c r="R2497" t="b">
        <f>AND(ISNUMBER(FIND($E2497,Tables!$I$2)), ISNUMBER(FIND($D2497,Tables!$J$2)), $E2497&lt;&gt;"")</f>
        <v>0</v>
      </c>
    </row>
    <row r="2498" spans="1:18" x14ac:dyDescent="0.3">
      <c r="A2498">
        <f t="shared" si="187"/>
        <v>2481</v>
      </c>
      <c r="B2498" s="4"/>
      <c r="I2498" s="8"/>
      <c r="J2498" s="5"/>
      <c r="K2498" s="3"/>
      <c r="L2498" s="3" t="str">
        <f t="shared" si="189"/>
        <v/>
      </c>
      <c r="N2498" s="3" t="str">
        <f t="shared" si="188"/>
        <v/>
      </c>
      <c r="O2498" s="6" t="str">
        <f t="shared" ref="O2498:O2561" si="190">IFERROR(K2498/VLOOKUP(_xlfn.MINIFS(A:A,B:B,B2498,C:C,C2498),A:P,16),"")</f>
        <v/>
      </c>
      <c r="P2498" s="7">
        <f ca="1">SUMIFS($N$2:$N2498,$B$2:$B2498,"&lt;&gt;"&amp;B2498)+SUM($Q$2:$Q2498)</f>
        <v>135.05500000000001</v>
      </c>
      <c r="R2498" t="b">
        <f>AND(ISNUMBER(FIND($E2498,Tables!$I$2)), ISNUMBER(FIND($D2498,Tables!$J$2)), $E2498&lt;&gt;"")</f>
        <v>0</v>
      </c>
    </row>
    <row r="2499" spans="1:18" x14ac:dyDescent="0.3">
      <c r="A2499">
        <f t="shared" si="187"/>
        <v>2482</v>
      </c>
      <c r="B2499" s="4"/>
      <c r="I2499" s="8"/>
      <c r="J2499" s="5"/>
      <c r="K2499" s="3"/>
      <c r="L2499" s="3" t="str">
        <f t="shared" si="189"/>
        <v/>
      </c>
      <c r="N2499" s="3" t="str">
        <f t="shared" si="188"/>
        <v/>
      </c>
      <c r="O2499" s="6" t="str">
        <f t="shared" si="190"/>
        <v/>
      </c>
      <c r="P2499" s="7">
        <f ca="1">SUMIFS($N$2:$N2499,$B$2:$B2499,"&lt;&gt;"&amp;B2499)+SUM($Q$2:$Q2499)</f>
        <v>135.05500000000001</v>
      </c>
      <c r="R2499" t="b">
        <f>AND(ISNUMBER(FIND($E2499,Tables!$I$2)), ISNUMBER(FIND($D2499,Tables!$J$2)), $E2499&lt;&gt;"")</f>
        <v>0</v>
      </c>
    </row>
    <row r="2500" spans="1:18" x14ac:dyDescent="0.3">
      <c r="A2500">
        <f t="shared" si="187"/>
        <v>2483</v>
      </c>
      <c r="B2500" s="4"/>
      <c r="I2500" s="8"/>
      <c r="J2500" s="5"/>
      <c r="K2500" s="3"/>
      <c r="L2500" s="3" t="str">
        <f t="shared" si="189"/>
        <v/>
      </c>
      <c r="N2500" s="3" t="str">
        <f t="shared" si="188"/>
        <v/>
      </c>
      <c r="O2500" s="6" t="str">
        <f t="shared" si="190"/>
        <v/>
      </c>
      <c r="P2500" s="7">
        <f ca="1">SUMIFS($N$2:$N2500,$B$2:$B2500,"&lt;&gt;"&amp;B2500)+SUM($Q$2:$Q2500)</f>
        <v>135.05500000000001</v>
      </c>
      <c r="R2500" t="b">
        <f>AND(ISNUMBER(FIND($E2500,Tables!$I$2)), ISNUMBER(FIND($D2500,Tables!$J$2)), $E2500&lt;&gt;"")</f>
        <v>0</v>
      </c>
    </row>
    <row r="2501" spans="1:18" x14ac:dyDescent="0.3">
      <c r="A2501">
        <f t="shared" si="187"/>
        <v>2484</v>
      </c>
      <c r="B2501" s="4"/>
      <c r="I2501" s="8"/>
      <c r="J2501" s="5"/>
      <c r="K2501" s="3"/>
      <c r="L2501" s="3" t="str">
        <f t="shared" si="189"/>
        <v/>
      </c>
      <c r="N2501" s="3" t="str">
        <f t="shared" si="188"/>
        <v/>
      </c>
      <c r="O2501" s="6" t="str">
        <f t="shared" si="190"/>
        <v/>
      </c>
      <c r="P2501" s="7">
        <f ca="1">SUMIFS($N$2:$N2501,$B$2:$B2501,"&lt;&gt;"&amp;B2501)+SUM($Q$2:$Q2501)</f>
        <v>135.05500000000001</v>
      </c>
      <c r="R2501" t="b">
        <f>AND(ISNUMBER(FIND($E2501,Tables!$I$2)), ISNUMBER(FIND($D2501,Tables!$J$2)), $E2501&lt;&gt;"")</f>
        <v>0</v>
      </c>
    </row>
    <row r="2502" spans="1:18" x14ac:dyDescent="0.3">
      <c r="A2502">
        <f t="shared" si="187"/>
        <v>2485</v>
      </c>
      <c r="B2502" s="4"/>
      <c r="I2502" s="8"/>
      <c r="J2502" s="5"/>
      <c r="K2502" s="3"/>
      <c r="L2502" s="3" t="str">
        <f t="shared" si="189"/>
        <v/>
      </c>
      <c r="N2502" s="3" t="str">
        <f t="shared" si="188"/>
        <v/>
      </c>
      <c r="O2502" s="6" t="str">
        <f t="shared" si="190"/>
        <v/>
      </c>
      <c r="P2502" s="7">
        <f ca="1">SUMIFS($N$2:$N2502,$B$2:$B2502,"&lt;&gt;"&amp;B2502)+SUM($Q$2:$Q2502)</f>
        <v>135.05500000000001</v>
      </c>
      <c r="R2502" t="b">
        <f>AND(ISNUMBER(FIND($E2502,Tables!$I$2)), ISNUMBER(FIND($D2502,Tables!$J$2)), $E2502&lt;&gt;"")</f>
        <v>0</v>
      </c>
    </row>
    <row r="2503" spans="1:18" x14ac:dyDescent="0.3">
      <c r="A2503">
        <f t="shared" si="187"/>
        <v>2486</v>
      </c>
      <c r="B2503" s="4"/>
      <c r="I2503" s="8"/>
      <c r="J2503" s="5"/>
      <c r="K2503" s="3"/>
      <c r="L2503" s="3" t="str">
        <f t="shared" si="189"/>
        <v/>
      </c>
      <c r="N2503" s="3" t="str">
        <f t="shared" si="188"/>
        <v/>
      </c>
      <c r="O2503" s="6" t="str">
        <f t="shared" si="190"/>
        <v/>
      </c>
      <c r="P2503" s="7">
        <f ca="1">SUMIFS($N$2:$N2503,$B$2:$B2503,"&lt;&gt;"&amp;B2503)+SUM($Q$2:$Q2503)</f>
        <v>135.05500000000001</v>
      </c>
      <c r="R2503" t="b">
        <f>AND(ISNUMBER(FIND($E2503,Tables!$I$2)), ISNUMBER(FIND($D2503,Tables!$J$2)), $E2503&lt;&gt;"")</f>
        <v>0</v>
      </c>
    </row>
    <row r="2504" spans="1:18" x14ac:dyDescent="0.3">
      <c r="A2504">
        <f t="shared" si="187"/>
        <v>2487</v>
      </c>
      <c r="B2504" s="4"/>
      <c r="I2504" s="8"/>
      <c r="J2504" s="5"/>
      <c r="K2504" s="3"/>
      <c r="L2504" s="3" t="str">
        <f t="shared" si="189"/>
        <v/>
      </c>
      <c r="N2504" s="3" t="str">
        <f t="shared" si="188"/>
        <v/>
      </c>
      <c r="O2504" s="6" t="str">
        <f t="shared" si="190"/>
        <v/>
      </c>
      <c r="P2504" s="7">
        <f ca="1">SUMIFS($N$2:$N2504,$B$2:$B2504,"&lt;&gt;"&amp;B2504)+SUM($Q$2:$Q2504)</f>
        <v>135.05500000000001</v>
      </c>
      <c r="R2504" t="b">
        <f>AND(ISNUMBER(FIND($E2504,Tables!$I$2)), ISNUMBER(FIND($D2504,Tables!$J$2)), $E2504&lt;&gt;"")</f>
        <v>0</v>
      </c>
    </row>
    <row r="2505" spans="1:18" x14ac:dyDescent="0.3">
      <c r="A2505">
        <f t="shared" si="187"/>
        <v>2488</v>
      </c>
      <c r="B2505" s="4"/>
      <c r="I2505" s="8"/>
      <c r="J2505" s="5"/>
      <c r="K2505" s="3"/>
      <c r="L2505" s="3" t="str">
        <f t="shared" si="189"/>
        <v/>
      </c>
      <c r="N2505" s="3" t="str">
        <f t="shared" si="188"/>
        <v/>
      </c>
      <c r="O2505" s="6" t="str">
        <f t="shared" si="190"/>
        <v/>
      </c>
      <c r="P2505" s="7">
        <f ca="1">SUMIFS($N$2:$N2505,$B$2:$B2505,"&lt;&gt;"&amp;B2505)+SUM($Q$2:$Q2505)</f>
        <v>135.05500000000001</v>
      </c>
      <c r="R2505" t="b">
        <f>AND(ISNUMBER(FIND($E2505,Tables!$I$2)), ISNUMBER(FIND($D2505,Tables!$J$2)), $E2505&lt;&gt;"")</f>
        <v>0</v>
      </c>
    </row>
    <row r="2506" spans="1:18" x14ac:dyDescent="0.3">
      <c r="A2506">
        <f t="shared" si="187"/>
        <v>2489</v>
      </c>
      <c r="B2506" s="4"/>
      <c r="I2506" s="8"/>
      <c r="J2506" s="5"/>
      <c r="K2506" s="3"/>
      <c r="L2506" s="3" t="str">
        <f t="shared" si="189"/>
        <v/>
      </c>
      <c r="N2506" s="3" t="str">
        <f t="shared" si="188"/>
        <v/>
      </c>
      <c r="O2506" s="6" t="str">
        <f t="shared" si="190"/>
        <v/>
      </c>
      <c r="P2506" s="7">
        <f ca="1">SUMIFS($N$2:$N2506,$B$2:$B2506,"&lt;&gt;"&amp;B2506)+SUM($Q$2:$Q2506)</f>
        <v>135.05500000000001</v>
      </c>
      <c r="R2506" t="b">
        <f>AND(ISNUMBER(FIND($E2506,Tables!$I$2)), ISNUMBER(FIND($D2506,Tables!$J$2)), $E2506&lt;&gt;"")</f>
        <v>0</v>
      </c>
    </row>
    <row r="2507" spans="1:18" x14ac:dyDescent="0.3">
      <c r="A2507">
        <f t="shared" si="187"/>
        <v>2490</v>
      </c>
      <c r="B2507" s="4"/>
      <c r="I2507" s="8"/>
      <c r="J2507" s="5"/>
      <c r="K2507" s="3"/>
      <c r="L2507" s="3" t="str">
        <f t="shared" si="189"/>
        <v/>
      </c>
      <c r="N2507" s="3" t="str">
        <f t="shared" si="188"/>
        <v/>
      </c>
      <c r="O2507" s="6" t="str">
        <f t="shared" si="190"/>
        <v/>
      </c>
      <c r="P2507" s="7">
        <f ca="1">SUMIFS($N$2:$N2507,$B$2:$B2507,"&lt;&gt;"&amp;B2507)+SUM($Q$2:$Q2507)</f>
        <v>135.05500000000001</v>
      </c>
      <c r="R2507" t="b">
        <f>AND(ISNUMBER(FIND($E2507,Tables!$I$2)), ISNUMBER(FIND($D2507,Tables!$J$2)), $E2507&lt;&gt;"")</f>
        <v>0</v>
      </c>
    </row>
    <row r="2508" spans="1:18" x14ac:dyDescent="0.3">
      <c r="A2508">
        <f t="shared" si="187"/>
        <v>2491</v>
      </c>
      <c r="B2508" s="4"/>
      <c r="I2508" s="8"/>
      <c r="J2508" s="5"/>
      <c r="K2508" s="3"/>
      <c r="L2508" s="3" t="str">
        <f t="shared" si="189"/>
        <v/>
      </c>
      <c r="N2508" s="3" t="str">
        <f t="shared" si="188"/>
        <v/>
      </c>
      <c r="O2508" s="6" t="str">
        <f t="shared" si="190"/>
        <v/>
      </c>
      <c r="P2508" s="7">
        <f ca="1">SUMIFS($N$2:$N2508,$B$2:$B2508,"&lt;&gt;"&amp;B2508)+SUM($Q$2:$Q2508)</f>
        <v>135.05500000000001</v>
      </c>
      <c r="R2508" t="b">
        <f>AND(ISNUMBER(FIND($E2508,Tables!$I$2)), ISNUMBER(FIND($D2508,Tables!$J$2)), $E2508&lt;&gt;"")</f>
        <v>0</v>
      </c>
    </row>
    <row r="2509" spans="1:18" x14ac:dyDescent="0.3">
      <c r="A2509">
        <f t="shared" si="187"/>
        <v>2492</v>
      </c>
      <c r="B2509" s="4"/>
      <c r="I2509" s="8"/>
      <c r="J2509" s="5"/>
      <c r="K2509" s="3"/>
      <c r="L2509" s="3" t="str">
        <f t="shared" si="189"/>
        <v/>
      </c>
      <c r="N2509" s="3" t="str">
        <f t="shared" si="188"/>
        <v/>
      </c>
      <c r="O2509" s="6" t="str">
        <f t="shared" si="190"/>
        <v/>
      </c>
      <c r="P2509" s="7">
        <f ca="1">SUMIFS($N$2:$N2509,$B$2:$B2509,"&lt;&gt;"&amp;B2509)+SUM($Q$2:$Q2509)</f>
        <v>135.05500000000001</v>
      </c>
      <c r="R2509" t="b">
        <f>AND(ISNUMBER(FIND($E2509,Tables!$I$2)), ISNUMBER(FIND($D2509,Tables!$J$2)), $E2509&lt;&gt;"")</f>
        <v>0</v>
      </c>
    </row>
    <row r="2510" spans="1:18" x14ac:dyDescent="0.3">
      <c r="A2510">
        <f t="shared" si="187"/>
        <v>2493</v>
      </c>
      <c r="B2510" s="4"/>
      <c r="I2510" s="8"/>
      <c r="J2510" s="5"/>
      <c r="K2510" s="3"/>
      <c r="L2510" s="3" t="str">
        <f t="shared" si="189"/>
        <v/>
      </c>
      <c r="N2510" s="3" t="str">
        <f t="shared" si="188"/>
        <v/>
      </c>
      <c r="O2510" s="6" t="str">
        <f t="shared" si="190"/>
        <v/>
      </c>
      <c r="P2510" s="7">
        <f ca="1">SUMIFS($N$2:$N2510,$B$2:$B2510,"&lt;&gt;"&amp;B2510)+SUM($Q$2:$Q2510)</f>
        <v>135.05500000000001</v>
      </c>
      <c r="R2510" t="b">
        <f>AND(ISNUMBER(FIND($E2510,Tables!$I$2)), ISNUMBER(FIND($D2510,Tables!$J$2)), $E2510&lt;&gt;"")</f>
        <v>0</v>
      </c>
    </row>
    <row r="2511" spans="1:18" x14ac:dyDescent="0.3">
      <c r="A2511">
        <f t="shared" si="187"/>
        <v>2494</v>
      </c>
      <c r="B2511" s="4"/>
      <c r="I2511" s="8"/>
      <c r="J2511" s="5"/>
      <c r="K2511" s="3"/>
      <c r="L2511" s="3" t="str">
        <f t="shared" si="189"/>
        <v/>
      </c>
      <c r="N2511" s="3" t="str">
        <f t="shared" si="188"/>
        <v/>
      </c>
      <c r="O2511" s="6" t="str">
        <f t="shared" si="190"/>
        <v/>
      </c>
      <c r="P2511" s="7">
        <f ca="1">SUMIFS($N$2:$N2511,$B$2:$B2511,"&lt;&gt;"&amp;B2511)+SUM($Q$2:$Q2511)</f>
        <v>135.05500000000001</v>
      </c>
      <c r="R2511" t="b">
        <f>AND(ISNUMBER(FIND($E2511,Tables!$I$2)), ISNUMBER(FIND($D2511,Tables!$J$2)), $E2511&lt;&gt;"")</f>
        <v>0</v>
      </c>
    </row>
    <row r="2512" spans="1:18" x14ac:dyDescent="0.3">
      <c r="A2512">
        <f t="shared" si="187"/>
        <v>2495</v>
      </c>
      <c r="B2512" s="4"/>
      <c r="I2512" s="8"/>
      <c r="J2512" s="5"/>
      <c r="K2512" s="3"/>
      <c r="L2512" s="3" t="str">
        <f t="shared" si="189"/>
        <v/>
      </c>
      <c r="N2512" s="3" t="str">
        <f t="shared" si="188"/>
        <v/>
      </c>
      <c r="O2512" s="6" t="str">
        <f t="shared" si="190"/>
        <v/>
      </c>
      <c r="P2512" s="7">
        <f ca="1">SUMIFS($N$2:$N2512,$B$2:$B2512,"&lt;&gt;"&amp;B2512)+SUM($Q$2:$Q2512)</f>
        <v>135.05500000000001</v>
      </c>
      <c r="R2512" t="b">
        <f>AND(ISNUMBER(FIND($E2512,Tables!$I$2)), ISNUMBER(FIND($D2512,Tables!$J$2)), $E2512&lt;&gt;"")</f>
        <v>0</v>
      </c>
    </row>
    <row r="2513" spans="1:18" x14ac:dyDescent="0.3">
      <c r="A2513">
        <f t="shared" si="187"/>
        <v>2496</v>
      </c>
      <c r="B2513" s="4"/>
      <c r="I2513" s="8"/>
      <c r="J2513" s="5"/>
      <c r="K2513" s="3"/>
      <c r="L2513" s="3" t="str">
        <f t="shared" si="189"/>
        <v/>
      </c>
      <c r="N2513" s="3" t="str">
        <f t="shared" si="188"/>
        <v/>
      </c>
      <c r="O2513" s="6" t="str">
        <f t="shared" si="190"/>
        <v/>
      </c>
      <c r="P2513" s="7">
        <f ca="1">SUMIFS($N$2:$N2513,$B$2:$B2513,"&lt;&gt;"&amp;B2513)+SUM($Q$2:$Q2513)</f>
        <v>135.05500000000001</v>
      </c>
      <c r="R2513" t="b">
        <f>AND(ISNUMBER(FIND($E2513,Tables!$I$2)), ISNUMBER(FIND($D2513,Tables!$J$2)), $E2513&lt;&gt;"")</f>
        <v>0</v>
      </c>
    </row>
    <row r="2514" spans="1:18" x14ac:dyDescent="0.3">
      <c r="A2514">
        <f t="shared" si="187"/>
        <v>2497</v>
      </c>
      <c r="B2514" s="4"/>
      <c r="I2514" s="8"/>
      <c r="J2514" s="5"/>
      <c r="K2514" s="3"/>
      <c r="L2514" s="3" t="str">
        <f t="shared" si="189"/>
        <v/>
      </c>
      <c r="N2514" s="3" t="str">
        <f t="shared" si="188"/>
        <v/>
      </c>
      <c r="O2514" s="6" t="str">
        <f t="shared" si="190"/>
        <v/>
      </c>
      <c r="P2514" s="7">
        <f ca="1">SUMIFS($N$2:$N2514,$B$2:$B2514,"&lt;&gt;"&amp;B2514)+SUM($Q$2:$Q2514)</f>
        <v>135.05500000000001</v>
      </c>
      <c r="R2514" t="b">
        <f>AND(ISNUMBER(FIND($E2514,Tables!$I$2)), ISNUMBER(FIND($D2514,Tables!$J$2)), $E2514&lt;&gt;"")</f>
        <v>0</v>
      </c>
    </row>
    <row r="2515" spans="1:18" x14ac:dyDescent="0.3">
      <c r="A2515">
        <f t="shared" si="187"/>
        <v>2498</v>
      </c>
      <c r="B2515" s="4"/>
      <c r="I2515" s="8"/>
      <c r="J2515" s="5"/>
      <c r="K2515" s="3"/>
      <c r="L2515" s="3" t="str">
        <f t="shared" si="189"/>
        <v/>
      </c>
      <c r="N2515" s="3" t="str">
        <f t="shared" si="188"/>
        <v/>
      </c>
      <c r="O2515" s="6" t="str">
        <f t="shared" si="190"/>
        <v/>
      </c>
      <c r="P2515" s="7">
        <f ca="1">SUMIFS($N$2:$N2515,$B$2:$B2515,"&lt;&gt;"&amp;B2515)+SUM($Q$2:$Q2515)</f>
        <v>135.05500000000001</v>
      </c>
      <c r="R2515" t="b">
        <f>AND(ISNUMBER(FIND($E2515,Tables!$I$2)), ISNUMBER(FIND($D2515,Tables!$J$2)), $E2515&lt;&gt;"")</f>
        <v>0</v>
      </c>
    </row>
    <row r="2516" spans="1:18" x14ac:dyDescent="0.3">
      <c r="A2516">
        <f t="shared" si="187"/>
        <v>2499</v>
      </c>
      <c r="B2516" s="4"/>
      <c r="I2516" s="8"/>
      <c r="J2516" s="5"/>
      <c r="K2516" s="3"/>
      <c r="L2516" s="3" t="str">
        <f t="shared" si="189"/>
        <v/>
      </c>
      <c r="N2516" s="3" t="str">
        <f t="shared" si="188"/>
        <v/>
      </c>
      <c r="O2516" s="6" t="str">
        <f t="shared" si="190"/>
        <v/>
      </c>
      <c r="P2516" s="7">
        <f ca="1">SUMIFS($N$2:$N2516,$B$2:$B2516,"&lt;&gt;"&amp;B2516)+SUM($Q$2:$Q2516)</f>
        <v>135.05500000000001</v>
      </c>
      <c r="R2516" t="b">
        <f>AND(ISNUMBER(FIND($E2516,Tables!$I$2)), ISNUMBER(FIND($D2516,Tables!$J$2)), $E2516&lt;&gt;"")</f>
        <v>0</v>
      </c>
    </row>
    <row r="2517" spans="1:18" x14ac:dyDescent="0.3">
      <c r="A2517">
        <f t="shared" si="187"/>
        <v>2500</v>
      </c>
      <c r="B2517" s="4"/>
      <c r="I2517" s="8"/>
      <c r="J2517" s="5"/>
      <c r="K2517" s="3"/>
      <c r="L2517" s="3" t="str">
        <f t="shared" si="189"/>
        <v/>
      </c>
      <c r="N2517" s="3" t="str">
        <f t="shared" si="188"/>
        <v/>
      </c>
      <c r="O2517" s="6" t="str">
        <f t="shared" si="190"/>
        <v/>
      </c>
      <c r="P2517" s="7">
        <f ca="1">SUMIFS($N$2:$N2517,$B$2:$B2517,"&lt;&gt;"&amp;B2517)+SUM($Q$2:$Q2517)</f>
        <v>135.05500000000001</v>
      </c>
      <c r="R2517" t="b">
        <f>AND(ISNUMBER(FIND($E2517,Tables!$I$2)), ISNUMBER(FIND($D2517,Tables!$J$2)), $E2517&lt;&gt;"")</f>
        <v>0</v>
      </c>
    </row>
    <row r="2518" spans="1:18" x14ac:dyDescent="0.3">
      <c r="A2518">
        <f t="shared" si="187"/>
        <v>2501</v>
      </c>
      <c r="B2518" s="4"/>
      <c r="I2518" s="8"/>
      <c r="J2518" s="5"/>
      <c r="K2518" s="3"/>
      <c r="L2518" s="3" t="str">
        <f t="shared" si="189"/>
        <v/>
      </c>
      <c r="N2518" s="3" t="str">
        <f t="shared" si="188"/>
        <v/>
      </c>
      <c r="O2518" s="6" t="str">
        <f t="shared" si="190"/>
        <v/>
      </c>
      <c r="P2518" s="7">
        <f ca="1">SUMIFS($N$2:$N2518,$B$2:$B2518,"&lt;&gt;"&amp;B2518)+SUM($Q$2:$Q2518)</f>
        <v>135.05500000000001</v>
      </c>
      <c r="R2518" t="b">
        <f>AND(ISNUMBER(FIND($E2518,Tables!$I$2)), ISNUMBER(FIND($D2518,Tables!$J$2)), $E2518&lt;&gt;"")</f>
        <v>0</v>
      </c>
    </row>
    <row r="2519" spans="1:18" x14ac:dyDescent="0.3">
      <c r="A2519">
        <f t="shared" si="187"/>
        <v>2502</v>
      </c>
      <c r="B2519" s="4"/>
      <c r="I2519" s="8"/>
      <c r="J2519" s="5"/>
      <c r="K2519" s="3"/>
      <c r="L2519" s="3" t="str">
        <f t="shared" si="189"/>
        <v/>
      </c>
      <c r="N2519" s="3" t="str">
        <f t="shared" si="188"/>
        <v/>
      </c>
      <c r="O2519" s="6" t="str">
        <f t="shared" si="190"/>
        <v/>
      </c>
      <c r="P2519" s="7">
        <f ca="1">SUMIFS($N$2:$N2519,$B$2:$B2519,"&lt;&gt;"&amp;B2519)+SUM($Q$2:$Q2519)</f>
        <v>135.05500000000001</v>
      </c>
      <c r="R2519" t="b">
        <f>AND(ISNUMBER(FIND($E2519,Tables!$I$2)), ISNUMBER(FIND($D2519,Tables!$J$2)), $E2519&lt;&gt;"")</f>
        <v>0</v>
      </c>
    </row>
    <row r="2520" spans="1:18" x14ac:dyDescent="0.3">
      <c r="A2520">
        <f t="shared" si="187"/>
        <v>2503</v>
      </c>
      <c r="B2520" s="4"/>
      <c r="I2520" s="8"/>
      <c r="J2520" s="5"/>
      <c r="K2520" s="3"/>
      <c r="L2520" s="3" t="str">
        <f t="shared" si="189"/>
        <v/>
      </c>
      <c r="N2520" s="3" t="str">
        <f t="shared" si="188"/>
        <v/>
      </c>
      <c r="O2520" s="6" t="str">
        <f t="shared" si="190"/>
        <v/>
      </c>
      <c r="P2520" s="7">
        <f ca="1">SUMIFS($N$2:$N2520,$B$2:$B2520,"&lt;&gt;"&amp;B2520)+SUM($Q$2:$Q2520)</f>
        <v>135.05500000000001</v>
      </c>
      <c r="R2520" t="b">
        <f>AND(ISNUMBER(FIND($E2520,Tables!$I$2)), ISNUMBER(FIND($D2520,Tables!$J$2)), $E2520&lt;&gt;"")</f>
        <v>0</v>
      </c>
    </row>
    <row r="2521" spans="1:18" x14ac:dyDescent="0.3">
      <c r="A2521">
        <f t="shared" si="187"/>
        <v>2504</v>
      </c>
      <c r="B2521" s="4"/>
      <c r="I2521" s="8"/>
      <c r="J2521" s="5"/>
      <c r="K2521" s="3"/>
      <c r="L2521" s="3" t="str">
        <f t="shared" si="189"/>
        <v/>
      </c>
      <c r="N2521" s="3" t="str">
        <f t="shared" si="188"/>
        <v/>
      </c>
      <c r="O2521" s="6" t="str">
        <f t="shared" si="190"/>
        <v/>
      </c>
      <c r="P2521" s="7">
        <f ca="1">SUMIFS($N$2:$N2521,$B$2:$B2521,"&lt;&gt;"&amp;B2521)+SUM($Q$2:$Q2521)</f>
        <v>135.05500000000001</v>
      </c>
      <c r="R2521" t="b">
        <f>AND(ISNUMBER(FIND($E2521,Tables!$I$2)), ISNUMBER(FIND($D2521,Tables!$J$2)), $E2521&lt;&gt;"")</f>
        <v>0</v>
      </c>
    </row>
    <row r="2522" spans="1:18" x14ac:dyDescent="0.3">
      <c r="A2522">
        <f t="shared" si="187"/>
        <v>2505</v>
      </c>
      <c r="B2522" s="4"/>
      <c r="I2522" s="8"/>
      <c r="J2522" s="5"/>
      <c r="K2522" s="3"/>
      <c r="L2522" s="3" t="str">
        <f t="shared" si="189"/>
        <v/>
      </c>
      <c r="N2522" s="3" t="str">
        <f t="shared" si="188"/>
        <v/>
      </c>
      <c r="O2522" s="6" t="str">
        <f t="shared" si="190"/>
        <v/>
      </c>
      <c r="P2522" s="7">
        <f ca="1">SUMIFS($N$2:$N2522,$B$2:$B2522,"&lt;&gt;"&amp;B2522)+SUM($Q$2:$Q2522)</f>
        <v>135.05500000000001</v>
      </c>
      <c r="R2522" t="b">
        <f>AND(ISNUMBER(FIND($E2522,Tables!$I$2)), ISNUMBER(FIND($D2522,Tables!$J$2)), $E2522&lt;&gt;"")</f>
        <v>0</v>
      </c>
    </row>
    <row r="2523" spans="1:18" x14ac:dyDescent="0.3">
      <c r="A2523">
        <f t="shared" si="187"/>
        <v>2506</v>
      </c>
      <c r="B2523" s="4"/>
      <c r="I2523" s="8"/>
      <c r="J2523" s="5"/>
      <c r="K2523" s="3"/>
      <c r="L2523" s="3" t="str">
        <f t="shared" si="189"/>
        <v/>
      </c>
      <c r="N2523" s="3" t="str">
        <f t="shared" si="188"/>
        <v/>
      </c>
      <c r="O2523" s="6" t="str">
        <f t="shared" si="190"/>
        <v/>
      </c>
      <c r="P2523" s="7">
        <f ca="1">SUMIFS($N$2:$N2523,$B$2:$B2523,"&lt;&gt;"&amp;B2523)+SUM($Q$2:$Q2523)</f>
        <v>135.05500000000001</v>
      </c>
      <c r="R2523" t="b">
        <f>AND(ISNUMBER(FIND($E2523,Tables!$I$2)), ISNUMBER(FIND($D2523,Tables!$J$2)), $E2523&lt;&gt;"")</f>
        <v>0</v>
      </c>
    </row>
    <row r="2524" spans="1:18" x14ac:dyDescent="0.3">
      <c r="A2524">
        <f t="shared" si="187"/>
        <v>2507</v>
      </c>
      <c r="B2524" s="4"/>
      <c r="I2524" s="8"/>
      <c r="J2524" s="5"/>
      <c r="K2524" s="3"/>
      <c r="L2524" s="3" t="str">
        <f t="shared" si="189"/>
        <v/>
      </c>
      <c r="N2524" s="3" t="str">
        <f t="shared" si="188"/>
        <v/>
      </c>
      <c r="O2524" s="6" t="str">
        <f t="shared" si="190"/>
        <v/>
      </c>
      <c r="P2524" s="7">
        <f ca="1">SUMIFS($N$2:$N2524,$B$2:$B2524,"&lt;&gt;"&amp;B2524)+SUM($Q$2:$Q2524)</f>
        <v>135.05500000000001</v>
      </c>
      <c r="R2524" t="b">
        <f>AND(ISNUMBER(FIND($E2524,Tables!$I$2)), ISNUMBER(FIND($D2524,Tables!$J$2)), $E2524&lt;&gt;"")</f>
        <v>0</v>
      </c>
    </row>
    <row r="2525" spans="1:18" x14ac:dyDescent="0.3">
      <c r="A2525">
        <f t="shared" si="187"/>
        <v>2508</v>
      </c>
      <c r="B2525" s="4"/>
      <c r="I2525" s="8"/>
      <c r="J2525" s="5"/>
      <c r="K2525" s="3"/>
      <c r="L2525" s="3" t="str">
        <f t="shared" si="189"/>
        <v/>
      </c>
      <c r="N2525" s="3" t="str">
        <f t="shared" si="188"/>
        <v/>
      </c>
      <c r="O2525" s="6" t="str">
        <f t="shared" si="190"/>
        <v/>
      </c>
      <c r="P2525" s="7">
        <f ca="1">SUMIFS($N$2:$N2525,$B$2:$B2525,"&lt;&gt;"&amp;B2525)+SUM($Q$2:$Q2525)</f>
        <v>135.05500000000001</v>
      </c>
      <c r="R2525" t="b">
        <f>AND(ISNUMBER(FIND($E2525,Tables!$I$2)), ISNUMBER(FIND($D2525,Tables!$J$2)), $E2525&lt;&gt;"")</f>
        <v>0</v>
      </c>
    </row>
    <row r="2526" spans="1:18" x14ac:dyDescent="0.3">
      <c r="A2526">
        <f t="shared" si="187"/>
        <v>2509</v>
      </c>
      <c r="B2526" s="4"/>
      <c r="I2526" s="8"/>
      <c r="J2526" s="5"/>
      <c r="K2526" s="3"/>
      <c r="L2526" s="3" t="str">
        <f t="shared" si="189"/>
        <v/>
      </c>
      <c r="N2526" s="3" t="str">
        <f t="shared" si="188"/>
        <v/>
      </c>
      <c r="O2526" s="6" t="str">
        <f t="shared" si="190"/>
        <v/>
      </c>
      <c r="P2526" s="7">
        <f ca="1">SUMIFS($N$2:$N2526,$B$2:$B2526,"&lt;&gt;"&amp;B2526)+SUM($Q$2:$Q2526)</f>
        <v>135.05500000000001</v>
      </c>
      <c r="R2526" t="b">
        <f>AND(ISNUMBER(FIND($E2526,Tables!$I$2)), ISNUMBER(FIND($D2526,Tables!$J$2)), $E2526&lt;&gt;"")</f>
        <v>0</v>
      </c>
    </row>
    <row r="2527" spans="1:18" x14ac:dyDescent="0.3">
      <c r="A2527">
        <f t="shared" si="187"/>
        <v>2510</v>
      </c>
      <c r="B2527" s="4"/>
      <c r="I2527" s="8"/>
      <c r="J2527" s="5"/>
      <c r="K2527" s="3"/>
      <c r="L2527" s="3" t="str">
        <f t="shared" si="189"/>
        <v/>
      </c>
      <c r="N2527" s="3" t="str">
        <f t="shared" si="188"/>
        <v/>
      </c>
      <c r="O2527" s="6" t="str">
        <f t="shared" si="190"/>
        <v/>
      </c>
      <c r="P2527" s="7">
        <f ca="1">SUMIFS($N$2:$N2527,$B$2:$B2527,"&lt;&gt;"&amp;B2527)+SUM($Q$2:$Q2527)</f>
        <v>135.05500000000001</v>
      </c>
      <c r="R2527" t="b">
        <f>AND(ISNUMBER(FIND($E2527,Tables!$I$2)), ISNUMBER(FIND($D2527,Tables!$J$2)), $E2527&lt;&gt;"")</f>
        <v>0</v>
      </c>
    </row>
    <row r="2528" spans="1:18" x14ac:dyDescent="0.3">
      <c r="A2528">
        <f t="shared" si="187"/>
        <v>2511</v>
      </c>
      <c r="B2528" s="4"/>
      <c r="I2528" s="8"/>
      <c r="J2528" s="5"/>
      <c r="K2528" s="3"/>
      <c r="L2528" s="3" t="str">
        <f t="shared" si="189"/>
        <v/>
      </c>
      <c r="N2528" s="3" t="str">
        <f t="shared" si="188"/>
        <v/>
      </c>
      <c r="O2528" s="6" t="str">
        <f t="shared" si="190"/>
        <v/>
      </c>
      <c r="P2528" s="7">
        <f ca="1">SUMIFS($N$2:$N2528,$B$2:$B2528,"&lt;&gt;"&amp;B2528)+SUM($Q$2:$Q2528)</f>
        <v>135.05500000000001</v>
      </c>
      <c r="R2528" t="b">
        <f>AND(ISNUMBER(FIND($E2528,Tables!$I$2)), ISNUMBER(FIND($D2528,Tables!$J$2)), $E2528&lt;&gt;"")</f>
        <v>0</v>
      </c>
    </row>
    <row r="2529" spans="1:18" x14ac:dyDescent="0.3">
      <c r="A2529">
        <f t="shared" si="187"/>
        <v>2512</v>
      </c>
      <c r="B2529" s="4"/>
      <c r="I2529" s="8"/>
      <c r="J2529" s="5"/>
      <c r="K2529" s="3"/>
      <c r="L2529" s="3" t="str">
        <f t="shared" si="189"/>
        <v/>
      </c>
      <c r="N2529" s="3" t="str">
        <f t="shared" si="188"/>
        <v/>
      </c>
      <c r="O2529" s="6" t="str">
        <f t="shared" si="190"/>
        <v/>
      </c>
      <c r="P2529" s="7">
        <f ca="1">SUMIFS($N$2:$N2529,$B$2:$B2529,"&lt;&gt;"&amp;B2529)+SUM($Q$2:$Q2529)</f>
        <v>135.05500000000001</v>
      </c>
      <c r="R2529" t="b">
        <f>AND(ISNUMBER(FIND($E2529,Tables!$I$2)), ISNUMBER(FIND($D2529,Tables!$J$2)), $E2529&lt;&gt;"")</f>
        <v>0</v>
      </c>
    </row>
    <row r="2530" spans="1:18" x14ac:dyDescent="0.3">
      <c r="A2530">
        <f t="shared" ref="A2530:A2593" si="191">IF(AND(B2530="", D2530&lt;&gt;""), A2529, A2529+1)</f>
        <v>2513</v>
      </c>
      <c r="B2530" s="4"/>
      <c r="I2530" s="8"/>
      <c r="J2530" s="5"/>
      <c r="K2530" s="3"/>
      <c r="L2530" s="3" t="str">
        <f t="shared" si="189"/>
        <v/>
      </c>
      <c r="N2530" s="3" t="str">
        <f t="shared" si="188"/>
        <v/>
      </c>
      <c r="O2530" s="6" t="str">
        <f t="shared" si="190"/>
        <v/>
      </c>
      <c r="P2530" s="7">
        <f ca="1">SUMIFS($N$2:$N2530,$B$2:$B2530,"&lt;&gt;"&amp;B2530)+SUM($Q$2:$Q2530)</f>
        <v>135.05500000000001</v>
      </c>
      <c r="R2530" t="b">
        <f>AND(ISNUMBER(FIND($E2530,Tables!$I$2)), ISNUMBER(FIND($D2530,Tables!$J$2)), $E2530&lt;&gt;"")</f>
        <v>0</v>
      </c>
    </row>
    <row r="2531" spans="1:18" x14ac:dyDescent="0.3">
      <c r="A2531">
        <f t="shared" si="191"/>
        <v>2514</v>
      </c>
      <c r="B2531" s="4"/>
      <c r="I2531" s="8"/>
      <c r="J2531" s="5"/>
      <c r="K2531" s="3"/>
      <c r="L2531" s="3" t="str">
        <f t="shared" si="189"/>
        <v/>
      </c>
      <c r="N2531" s="3" t="str">
        <f t="shared" si="188"/>
        <v/>
      </c>
      <c r="O2531" s="6" t="str">
        <f t="shared" si="190"/>
        <v/>
      </c>
      <c r="P2531" s="7">
        <f ca="1">SUMIFS($N$2:$N2531,$B$2:$B2531,"&lt;&gt;"&amp;B2531)+SUM($Q$2:$Q2531)</f>
        <v>135.05500000000001</v>
      </c>
      <c r="R2531" t="b">
        <f>AND(ISNUMBER(FIND($E2531,Tables!$I$2)), ISNUMBER(FIND($D2531,Tables!$J$2)), $E2531&lt;&gt;"")</f>
        <v>0</v>
      </c>
    </row>
    <row r="2532" spans="1:18" x14ac:dyDescent="0.3">
      <c r="A2532">
        <f t="shared" si="191"/>
        <v>2515</v>
      </c>
      <c r="B2532" s="4"/>
      <c r="I2532" s="8"/>
      <c r="J2532" s="5"/>
      <c r="K2532" s="3"/>
      <c r="L2532" s="3" t="str">
        <f t="shared" si="189"/>
        <v/>
      </c>
      <c r="N2532" s="3" t="str">
        <f t="shared" si="188"/>
        <v/>
      </c>
      <c r="O2532" s="6" t="str">
        <f t="shared" si="190"/>
        <v/>
      </c>
      <c r="P2532" s="7">
        <f ca="1">SUMIFS($N$2:$N2532,$B$2:$B2532,"&lt;&gt;"&amp;B2532)+SUM($Q$2:$Q2532)</f>
        <v>135.05500000000001</v>
      </c>
      <c r="R2532" t="b">
        <f>AND(ISNUMBER(FIND($E2532,Tables!$I$2)), ISNUMBER(FIND($D2532,Tables!$J$2)), $E2532&lt;&gt;"")</f>
        <v>0</v>
      </c>
    </row>
    <row r="2533" spans="1:18" x14ac:dyDescent="0.3">
      <c r="A2533">
        <f t="shared" si="191"/>
        <v>2516</v>
      </c>
      <c r="B2533" s="4"/>
      <c r="I2533" s="8"/>
      <c r="J2533" s="5"/>
      <c r="K2533" s="3"/>
      <c r="L2533" s="3" t="str">
        <f t="shared" si="189"/>
        <v/>
      </c>
      <c r="N2533" s="3" t="str">
        <f t="shared" si="188"/>
        <v/>
      </c>
      <c r="O2533" s="6" t="str">
        <f t="shared" si="190"/>
        <v/>
      </c>
      <c r="P2533" s="7">
        <f ca="1">SUMIFS($N$2:$N2533,$B$2:$B2533,"&lt;&gt;"&amp;B2533)+SUM($Q$2:$Q2533)</f>
        <v>135.05500000000001</v>
      </c>
      <c r="R2533" t="b">
        <f>AND(ISNUMBER(FIND($E2533,Tables!$I$2)), ISNUMBER(FIND($D2533,Tables!$J$2)), $E2533&lt;&gt;"")</f>
        <v>0</v>
      </c>
    </row>
    <row r="2534" spans="1:18" x14ac:dyDescent="0.3">
      <c r="A2534">
        <f t="shared" si="191"/>
        <v>2517</v>
      </c>
      <c r="B2534" s="4"/>
      <c r="I2534" s="8"/>
      <c r="J2534" s="5"/>
      <c r="K2534" s="3"/>
      <c r="L2534" s="3" t="str">
        <f t="shared" si="189"/>
        <v/>
      </c>
      <c r="N2534" s="3" t="str">
        <f t="shared" si="188"/>
        <v/>
      </c>
      <c r="O2534" s="6" t="str">
        <f t="shared" si="190"/>
        <v/>
      </c>
      <c r="P2534" s="7">
        <f ca="1">SUMIFS($N$2:$N2534,$B$2:$B2534,"&lt;&gt;"&amp;B2534)+SUM($Q$2:$Q2534)</f>
        <v>135.05500000000001</v>
      </c>
      <c r="R2534" t="b">
        <f>AND(ISNUMBER(FIND($E2534,Tables!$I$2)), ISNUMBER(FIND($D2534,Tables!$J$2)), $E2534&lt;&gt;"")</f>
        <v>0</v>
      </c>
    </row>
    <row r="2535" spans="1:18" x14ac:dyDescent="0.3">
      <c r="A2535">
        <f t="shared" si="191"/>
        <v>2518</v>
      </c>
      <c r="B2535" s="4"/>
      <c r="I2535" s="8"/>
      <c r="J2535" s="5"/>
      <c r="K2535" s="3"/>
      <c r="L2535" s="3" t="str">
        <f t="shared" si="189"/>
        <v/>
      </c>
      <c r="N2535" s="3" t="str">
        <f t="shared" si="188"/>
        <v/>
      </c>
      <c r="O2535" s="6" t="str">
        <f t="shared" si="190"/>
        <v/>
      </c>
      <c r="P2535" s="7">
        <f ca="1">SUMIFS($N$2:$N2535,$B$2:$B2535,"&lt;&gt;"&amp;B2535)+SUM($Q$2:$Q2535)</f>
        <v>135.05500000000001</v>
      </c>
      <c r="R2535" t="b">
        <f>AND(ISNUMBER(FIND($E2535,Tables!$I$2)), ISNUMBER(FIND($D2535,Tables!$J$2)), $E2535&lt;&gt;"")</f>
        <v>0</v>
      </c>
    </row>
    <row r="2536" spans="1:18" x14ac:dyDescent="0.3">
      <c r="A2536">
        <f t="shared" si="191"/>
        <v>2519</v>
      </c>
      <c r="B2536" s="4"/>
      <c r="I2536" s="8"/>
      <c r="J2536" s="5"/>
      <c r="K2536" s="3"/>
      <c r="L2536" s="3" t="str">
        <f t="shared" si="189"/>
        <v/>
      </c>
      <c r="N2536" s="3" t="str">
        <f t="shared" ref="N2536:N2599" si="192">IF(L2536 = "", "", IF(M2536="", "", IF(OR(M2536="Draw",M2536="NC"), 0, IF(M2536="win", L2536, -1*K2536))))</f>
        <v/>
      </c>
      <c r="O2536" s="6" t="str">
        <f t="shared" si="190"/>
        <v/>
      </c>
      <c r="P2536" s="7">
        <f ca="1">SUMIFS($N$2:$N2536,$B$2:$B2536,"&lt;&gt;"&amp;B2536)+SUM($Q$2:$Q2536)</f>
        <v>135.05500000000001</v>
      </c>
      <c r="R2536" t="b">
        <f>AND(ISNUMBER(FIND($E2536,Tables!$I$2)), ISNUMBER(FIND($D2536,Tables!$J$2)), $E2536&lt;&gt;"")</f>
        <v>0</v>
      </c>
    </row>
    <row r="2537" spans="1:18" x14ac:dyDescent="0.3">
      <c r="A2537">
        <f t="shared" si="191"/>
        <v>2520</v>
      </c>
      <c r="B2537" s="4"/>
      <c r="I2537" s="8"/>
      <c r="J2537" s="5"/>
      <c r="K2537" s="3"/>
      <c r="L2537" s="3" t="str">
        <f t="shared" si="189"/>
        <v/>
      </c>
      <c r="N2537" s="3" t="str">
        <f t="shared" si="192"/>
        <v/>
      </c>
      <c r="O2537" s="6" t="str">
        <f t="shared" si="190"/>
        <v/>
      </c>
      <c r="P2537" s="7">
        <f ca="1">SUMIFS($N$2:$N2537,$B$2:$B2537,"&lt;&gt;"&amp;B2537)+SUM($Q$2:$Q2537)</f>
        <v>135.05500000000001</v>
      </c>
      <c r="R2537" t="b">
        <f>AND(ISNUMBER(FIND($E2537,Tables!$I$2)), ISNUMBER(FIND($D2537,Tables!$J$2)), $E2537&lt;&gt;"")</f>
        <v>0</v>
      </c>
    </row>
    <row r="2538" spans="1:18" x14ac:dyDescent="0.3">
      <c r="A2538">
        <f t="shared" si="191"/>
        <v>2521</v>
      </c>
      <c r="B2538" s="4"/>
      <c r="I2538" s="8"/>
      <c r="J2538" s="5"/>
      <c r="K2538" s="3"/>
      <c r="L2538" s="3" t="str">
        <f t="shared" si="189"/>
        <v/>
      </c>
      <c r="N2538" s="3" t="str">
        <f t="shared" si="192"/>
        <v/>
      </c>
      <c r="O2538" s="6" t="str">
        <f t="shared" si="190"/>
        <v/>
      </c>
      <c r="P2538" s="7">
        <f ca="1">SUMIFS($N$2:$N2538,$B$2:$B2538,"&lt;&gt;"&amp;B2538)+SUM($Q$2:$Q2538)</f>
        <v>135.05500000000001</v>
      </c>
      <c r="R2538" t="b">
        <f>AND(ISNUMBER(FIND($E2538,Tables!$I$2)), ISNUMBER(FIND($D2538,Tables!$J$2)), $E2538&lt;&gt;"")</f>
        <v>0</v>
      </c>
    </row>
    <row r="2539" spans="1:18" x14ac:dyDescent="0.3">
      <c r="A2539">
        <f t="shared" si="191"/>
        <v>2522</v>
      </c>
      <c r="B2539" s="4"/>
      <c r="I2539" s="8"/>
      <c r="J2539" s="5"/>
      <c r="K2539" s="3"/>
      <c r="L2539" s="3" t="str">
        <f t="shared" si="189"/>
        <v/>
      </c>
      <c r="N2539" s="3" t="str">
        <f t="shared" si="192"/>
        <v/>
      </c>
      <c r="O2539" s="6" t="str">
        <f t="shared" si="190"/>
        <v/>
      </c>
      <c r="P2539" s="7">
        <f ca="1">SUMIFS($N$2:$N2539,$B$2:$B2539,"&lt;&gt;"&amp;B2539)+SUM($Q$2:$Q2539)</f>
        <v>135.05500000000001</v>
      </c>
      <c r="R2539" t="b">
        <f>AND(ISNUMBER(FIND($E2539,Tables!$I$2)), ISNUMBER(FIND($D2539,Tables!$J$2)), $E2539&lt;&gt;"")</f>
        <v>0</v>
      </c>
    </row>
    <row r="2540" spans="1:18" x14ac:dyDescent="0.3">
      <c r="A2540">
        <f t="shared" si="191"/>
        <v>2523</v>
      </c>
      <c r="B2540" s="4"/>
      <c r="I2540" s="8"/>
      <c r="J2540" s="5"/>
      <c r="K2540" s="3"/>
      <c r="L2540" s="3" t="str">
        <f t="shared" si="189"/>
        <v/>
      </c>
      <c r="N2540" s="3" t="str">
        <f t="shared" si="192"/>
        <v/>
      </c>
      <c r="O2540" s="6" t="str">
        <f t="shared" si="190"/>
        <v/>
      </c>
      <c r="P2540" s="7">
        <f ca="1">SUMIFS($N$2:$N2540,$B$2:$B2540,"&lt;&gt;"&amp;B2540)+SUM($Q$2:$Q2540)</f>
        <v>135.05500000000001</v>
      </c>
      <c r="R2540" t="b">
        <f>AND(ISNUMBER(FIND($E2540,Tables!$I$2)), ISNUMBER(FIND($D2540,Tables!$J$2)), $E2540&lt;&gt;"")</f>
        <v>0</v>
      </c>
    </row>
    <row r="2541" spans="1:18" x14ac:dyDescent="0.3">
      <c r="A2541">
        <f t="shared" si="191"/>
        <v>2524</v>
      </c>
      <c r="B2541" s="4"/>
      <c r="I2541" s="8"/>
      <c r="J2541" s="5"/>
      <c r="K2541" s="3"/>
      <c r="L2541" s="3" t="str">
        <f t="shared" si="189"/>
        <v/>
      </c>
      <c r="N2541" s="3" t="str">
        <f t="shared" si="192"/>
        <v/>
      </c>
      <c r="O2541" s="6" t="str">
        <f t="shared" si="190"/>
        <v/>
      </c>
      <c r="P2541" s="7">
        <f ca="1">SUMIFS($N$2:$N2541,$B$2:$B2541,"&lt;&gt;"&amp;B2541)+SUM($Q$2:$Q2541)</f>
        <v>135.05500000000001</v>
      </c>
      <c r="R2541" t="b">
        <f>AND(ISNUMBER(FIND($E2541,Tables!$I$2)), ISNUMBER(FIND($D2541,Tables!$J$2)), $E2541&lt;&gt;"")</f>
        <v>0</v>
      </c>
    </row>
    <row r="2542" spans="1:18" x14ac:dyDescent="0.3">
      <c r="A2542">
        <f t="shared" si="191"/>
        <v>2525</v>
      </c>
      <c r="B2542" s="4"/>
      <c r="I2542" s="8"/>
      <c r="J2542" s="5"/>
      <c r="K2542" s="3"/>
      <c r="L2542" s="3" t="str">
        <f t="shared" si="189"/>
        <v/>
      </c>
      <c r="N2542" s="3" t="str">
        <f t="shared" si="192"/>
        <v/>
      </c>
      <c r="O2542" s="6" t="str">
        <f t="shared" si="190"/>
        <v/>
      </c>
      <c r="P2542" s="7">
        <f ca="1">SUMIFS($N$2:$N2542,$B$2:$B2542,"&lt;&gt;"&amp;B2542)+SUM($Q$2:$Q2542)</f>
        <v>135.05500000000001</v>
      </c>
      <c r="R2542" t="b">
        <f>AND(ISNUMBER(FIND($E2542,Tables!$I$2)), ISNUMBER(FIND($D2542,Tables!$J$2)), $E2542&lt;&gt;"")</f>
        <v>0</v>
      </c>
    </row>
    <row r="2543" spans="1:18" x14ac:dyDescent="0.3">
      <c r="A2543">
        <f t="shared" si="191"/>
        <v>2526</v>
      </c>
      <c r="B2543" s="4"/>
      <c r="I2543" s="8"/>
      <c r="J2543" s="5"/>
      <c r="K2543" s="3"/>
      <c r="L2543" s="3" t="str">
        <f t="shared" si="189"/>
        <v/>
      </c>
      <c r="N2543" s="3" t="str">
        <f t="shared" si="192"/>
        <v/>
      </c>
      <c r="O2543" s="6" t="str">
        <f t="shared" si="190"/>
        <v/>
      </c>
      <c r="P2543" s="7">
        <f ca="1">SUMIFS($N$2:$N2543,$B$2:$B2543,"&lt;&gt;"&amp;B2543)+SUM($Q$2:$Q2543)</f>
        <v>135.05500000000001</v>
      </c>
      <c r="R2543" t="b">
        <f>AND(ISNUMBER(FIND($E2543,Tables!$I$2)), ISNUMBER(FIND($D2543,Tables!$J$2)), $E2543&lt;&gt;"")</f>
        <v>0</v>
      </c>
    </row>
    <row r="2544" spans="1:18" x14ac:dyDescent="0.3">
      <c r="A2544">
        <f t="shared" si="191"/>
        <v>2527</v>
      </c>
      <c r="B2544" s="4"/>
      <c r="I2544" s="8"/>
      <c r="J2544" s="5"/>
      <c r="K2544" s="3"/>
      <c r="L2544" s="3" t="str">
        <f t="shared" si="189"/>
        <v/>
      </c>
      <c r="N2544" s="3" t="str">
        <f t="shared" si="192"/>
        <v/>
      </c>
      <c r="O2544" s="6" t="str">
        <f t="shared" si="190"/>
        <v/>
      </c>
      <c r="P2544" s="7">
        <f ca="1">SUMIFS($N$2:$N2544,$B$2:$B2544,"&lt;&gt;"&amp;B2544)+SUM($Q$2:$Q2544)</f>
        <v>135.05500000000001</v>
      </c>
      <c r="R2544" t="b">
        <f>AND(ISNUMBER(FIND($E2544,Tables!$I$2)), ISNUMBER(FIND($D2544,Tables!$J$2)), $E2544&lt;&gt;"")</f>
        <v>0</v>
      </c>
    </row>
    <row r="2545" spans="1:18" x14ac:dyDescent="0.3">
      <c r="A2545">
        <f t="shared" si="191"/>
        <v>2528</v>
      </c>
      <c r="B2545" s="4"/>
      <c r="I2545" s="8"/>
      <c r="J2545" s="5"/>
      <c r="K2545" s="3"/>
      <c r="L2545" s="3" t="str">
        <f t="shared" si="189"/>
        <v/>
      </c>
      <c r="N2545" s="3" t="str">
        <f t="shared" si="192"/>
        <v/>
      </c>
      <c r="O2545" s="6" t="str">
        <f t="shared" si="190"/>
        <v/>
      </c>
      <c r="P2545" s="7">
        <f ca="1">SUMIFS($N$2:$N2545,$B$2:$B2545,"&lt;&gt;"&amp;B2545)+SUM($Q$2:$Q2545)</f>
        <v>135.05500000000001</v>
      </c>
      <c r="R2545" t="b">
        <f>AND(ISNUMBER(FIND($E2545,Tables!$I$2)), ISNUMBER(FIND($D2545,Tables!$J$2)), $E2545&lt;&gt;"")</f>
        <v>0</v>
      </c>
    </row>
    <row r="2546" spans="1:18" x14ac:dyDescent="0.3">
      <c r="A2546">
        <f t="shared" si="191"/>
        <v>2529</v>
      </c>
      <c r="B2546" s="4"/>
      <c r="I2546" s="8"/>
      <c r="J2546" s="5"/>
      <c r="K2546" s="3"/>
      <c r="L2546" s="3" t="str">
        <f t="shared" ref="L2546:L2609" si="193">IFERROR(IF(K2546=0, "", IF(I2546&gt;0, K2546/100*I2546,K2546/I2546*-100)), "")</f>
        <v/>
      </c>
      <c r="N2546" s="3" t="str">
        <f t="shared" si="192"/>
        <v/>
      </c>
      <c r="O2546" s="6" t="str">
        <f t="shared" si="190"/>
        <v/>
      </c>
      <c r="P2546" s="7">
        <f ca="1">SUMIFS($N$2:$N2546,$B$2:$B2546,"&lt;&gt;"&amp;B2546)+SUM($Q$2:$Q2546)</f>
        <v>135.05500000000001</v>
      </c>
      <c r="R2546" t="b">
        <f>AND(ISNUMBER(FIND($E2546,Tables!$I$2)), ISNUMBER(FIND($D2546,Tables!$J$2)), $E2546&lt;&gt;"")</f>
        <v>0</v>
      </c>
    </row>
    <row r="2547" spans="1:18" x14ac:dyDescent="0.3">
      <c r="A2547">
        <f t="shared" si="191"/>
        <v>2530</v>
      </c>
      <c r="B2547" s="4"/>
      <c r="I2547" s="8"/>
      <c r="J2547" s="5"/>
      <c r="K2547" s="3"/>
      <c r="L2547" s="3" t="str">
        <f t="shared" si="193"/>
        <v/>
      </c>
      <c r="N2547" s="3" t="str">
        <f t="shared" si="192"/>
        <v/>
      </c>
      <c r="O2547" s="6" t="str">
        <f t="shared" si="190"/>
        <v/>
      </c>
      <c r="P2547" s="7">
        <f ca="1">SUMIFS($N$2:$N2547,$B$2:$B2547,"&lt;&gt;"&amp;B2547)+SUM($Q$2:$Q2547)</f>
        <v>135.05500000000001</v>
      </c>
      <c r="R2547" t="b">
        <f>AND(ISNUMBER(FIND($E2547,Tables!$I$2)), ISNUMBER(FIND($D2547,Tables!$J$2)), $E2547&lt;&gt;"")</f>
        <v>0</v>
      </c>
    </row>
    <row r="2548" spans="1:18" x14ac:dyDescent="0.3">
      <c r="A2548">
        <f t="shared" si="191"/>
        <v>2531</v>
      </c>
      <c r="B2548" s="4"/>
      <c r="I2548" s="8"/>
      <c r="J2548" s="5"/>
      <c r="K2548" s="3"/>
      <c r="L2548" s="3" t="str">
        <f t="shared" si="193"/>
        <v/>
      </c>
      <c r="N2548" s="3" t="str">
        <f t="shared" si="192"/>
        <v/>
      </c>
      <c r="O2548" s="6" t="str">
        <f t="shared" si="190"/>
        <v/>
      </c>
      <c r="P2548" s="7">
        <f ca="1">SUMIFS($N$2:$N2548,$B$2:$B2548,"&lt;&gt;"&amp;B2548)+SUM($Q$2:$Q2548)</f>
        <v>135.05500000000001</v>
      </c>
      <c r="R2548" t="b">
        <f>AND(ISNUMBER(FIND($E2548,Tables!$I$2)), ISNUMBER(FIND($D2548,Tables!$J$2)), $E2548&lt;&gt;"")</f>
        <v>0</v>
      </c>
    </row>
    <row r="2549" spans="1:18" x14ac:dyDescent="0.3">
      <c r="A2549">
        <f t="shared" si="191"/>
        <v>2532</v>
      </c>
      <c r="B2549" s="4"/>
      <c r="I2549" s="8"/>
      <c r="J2549" s="5"/>
      <c r="K2549" s="3"/>
      <c r="L2549" s="3" t="str">
        <f t="shared" si="193"/>
        <v/>
      </c>
      <c r="N2549" s="3" t="str">
        <f t="shared" si="192"/>
        <v/>
      </c>
      <c r="O2549" s="6" t="str">
        <f t="shared" si="190"/>
        <v/>
      </c>
      <c r="P2549" s="7">
        <f ca="1">SUMIFS($N$2:$N2549,$B$2:$B2549,"&lt;&gt;"&amp;B2549)+SUM($Q$2:$Q2549)</f>
        <v>135.05500000000001</v>
      </c>
      <c r="R2549" t="b">
        <f>AND(ISNUMBER(FIND($E2549,Tables!$I$2)), ISNUMBER(FIND($D2549,Tables!$J$2)), $E2549&lt;&gt;"")</f>
        <v>0</v>
      </c>
    </row>
    <row r="2550" spans="1:18" x14ac:dyDescent="0.3">
      <c r="A2550">
        <f t="shared" si="191"/>
        <v>2533</v>
      </c>
      <c r="B2550" s="4"/>
      <c r="I2550" s="8"/>
      <c r="J2550" s="5"/>
      <c r="K2550" s="3"/>
      <c r="L2550" s="3" t="str">
        <f t="shared" si="193"/>
        <v/>
      </c>
      <c r="N2550" s="3" t="str">
        <f t="shared" si="192"/>
        <v/>
      </c>
      <c r="O2550" s="6" t="str">
        <f t="shared" si="190"/>
        <v/>
      </c>
      <c r="P2550" s="7">
        <f ca="1">SUMIFS($N$2:$N2550,$B$2:$B2550,"&lt;&gt;"&amp;B2550)+SUM($Q$2:$Q2550)</f>
        <v>135.05500000000001</v>
      </c>
      <c r="R2550" t="b">
        <f>AND(ISNUMBER(FIND($E2550,Tables!$I$2)), ISNUMBER(FIND($D2550,Tables!$J$2)), $E2550&lt;&gt;"")</f>
        <v>0</v>
      </c>
    </row>
    <row r="2551" spans="1:18" x14ac:dyDescent="0.3">
      <c r="A2551">
        <f t="shared" si="191"/>
        <v>2534</v>
      </c>
      <c r="B2551" s="4"/>
      <c r="I2551" s="8"/>
      <c r="J2551" s="5"/>
      <c r="K2551" s="3"/>
      <c r="L2551" s="3" t="str">
        <f t="shared" si="193"/>
        <v/>
      </c>
      <c r="N2551" s="3" t="str">
        <f t="shared" si="192"/>
        <v/>
      </c>
      <c r="O2551" s="6" t="str">
        <f t="shared" si="190"/>
        <v/>
      </c>
      <c r="P2551" s="7">
        <f ca="1">SUMIFS($N$2:$N2551,$B$2:$B2551,"&lt;&gt;"&amp;B2551)+SUM($Q$2:$Q2551)</f>
        <v>135.05500000000001</v>
      </c>
      <c r="R2551" t="b">
        <f>AND(ISNUMBER(FIND($E2551,Tables!$I$2)), ISNUMBER(FIND($D2551,Tables!$J$2)), $E2551&lt;&gt;"")</f>
        <v>0</v>
      </c>
    </row>
    <row r="2552" spans="1:18" x14ac:dyDescent="0.3">
      <c r="A2552">
        <f t="shared" si="191"/>
        <v>2535</v>
      </c>
      <c r="B2552" s="4"/>
      <c r="I2552" s="8"/>
      <c r="J2552" s="5"/>
      <c r="K2552" s="3"/>
      <c r="L2552" s="3" t="str">
        <f t="shared" si="193"/>
        <v/>
      </c>
      <c r="N2552" s="3" t="str">
        <f t="shared" si="192"/>
        <v/>
      </c>
      <c r="O2552" s="6" t="str">
        <f t="shared" si="190"/>
        <v/>
      </c>
      <c r="P2552" s="7">
        <f ca="1">SUMIFS($N$2:$N2552,$B$2:$B2552,"&lt;&gt;"&amp;B2552)+SUM($Q$2:$Q2552)</f>
        <v>135.05500000000001</v>
      </c>
      <c r="R2552" t="b">
        <f>AND(ISNUMBER(FIND($E2552,Tables!$I$2)), ISNUMBER(FIND($D2552,Tables!$J$2)), $E2552&lt;&gt;"")</f>
        <v>0</v>
      </c>
    </row>
    <row r="2553" spans="1:18" x14ac:dyDescent="0.3">
      <c r="A2553">
        <f t="shared" si="191"/>
        <v>2536</v>
      </c>
      <c r="B2553" s="4"/>
      <c r="I2553" s="8"/>
      <c r="J2553" s="5"/>
      <c r="K2553" s="3"/>
      <c r="L2553" s="3" t="str">
        <f t="shared" si="193"/>
        <v/>
      </c>
      <c r="N2553" s="3" t="str">
        <f t="shared" si="192"/>
        <v/>
      </c>
      <c r="O2553" s="6" t="str">
        <f t="shared" si="190"/>
        <v/>
      </c>
      <c r="P2553" s="7">
        <f ca="1">SUMIFS($N$2:$N2553,$B$2:$B2553,"&lt;&gt;"&amp;B2553)+SUM($Q$2:$Q2553)</f>
        <v>135.05500000000001</v>
      </c>
      <c r="R2553" t="b">
        <f>AND(ISNUMBER(FIND($E2553,Tables!$I$2)), ISNUMBER(FIND($D2553,Tables!$J$2)), $E2553&lt;&gt;"")</f>
        <v>0</v>
      </c>
    </row>
    <row r="2554" spans="1:18" x14ac:dyDescent="0.3">
      <c r="A2554">
        <f t="shared" si="191"/>
        <v>2537</v>
      </c>
      <c r="B2554" s="4"/>
      <c r="I2554" s="8"/>
      <c r="J2554" s="5"/>
      <c r="K2554" s="3"/>
      <c r="L2554" s="3" t="str">
        <f t="shared" si="193"/>
        <v/>
      </c>
      <c r="N2554" s="3" t="str">
        <f t="shared" si="192"/>
        <v/>
      </c>
      <c r="O2554" s="6" t="str">
        <f t="shared" si="190"/>
        <v/>
      </c>
      <c r="P2554" s="7">
        <f ca="1">SUMIFS($N$2:$N2554,$B$2:$B2554,"&lt;&gt;"&amp;B2554)+SUM($Q$2:$Q2554)</f>
        <v>135.05500000000001</v>
      </c>
      <c r="R2554" t="b">
        <f>AND(ISNUMBER(FIND($E2554,Tables!$I$2)), ISNUMBER(FIND($D2554,Tables!$J$2)), $E2554&lt;&gt;"")</f>
        <v>0</v>
      </c>
    </row>
    <row r="2555" spans="1:18" x14ac:dyDescent="0.3">
      <c r="A2555">
        <f t="shared" si="191"/>
        <v>2538</v>
      </c>
      <c r="B2555" s="4"/>
      <c r="I2555" s="8"/>
      <c r="J2555" s="5"/>
      <c r="K2555" s="3"/>
      <c r="L2555" s="3" t="str">
        <f t="shared" si="193"/>
        <v/>
      </c>
      <c r="N2555" s="3" t="str">
        <f t="shared" si="192"/>
        <v/>
      </c>
      <c r="O2555" s="6" t="str">
        <f t="shared" si="190"/>
        <v/>
      </c>
      <c r="P2555" s="7">
        <f ca="1">SUMIFS($N$2:$N2555,$B$2:$B2555,"&lt;&gt;"&amp;B2555)+SUM($Q$2:$Q2555)</f>
        <v>135.05500000000001</v>
      </c>
      <c r="R2555" t="b">
        <f>AND(ISNUMBER(FIND($E2555,Tables!$I$2)), ISNUMBER(FIND($D2555,Tables!$J$2)), $E2555&lt;&gt;"")</f>
        <v>0</v>
      </c>
    </row>
    <row r="2556" spans="1:18" x14ac:dyDescent="0.3">
      <c r="A2556">
        <f t="shared" si="191"/>
        <v>2539</v>
      </c>
      <c r="B2556" s="4"/>
      <c r="I2556" s="8"/>
      <c r="J2556" s="5"/>
      <c r="K2556" s="3"/>
      <c r="L2556" s="3" t="str">
        <f t="shared" si="193"/>
        <v/>
      </c>
      <c r="N2556" s="3" t="str">
        <f t="shared" si="192"/>
        <v/>
      </c>
      <c r="O2556" s="6" t="str">
        <f t="shared" si="190"/>
        <v/>
      </c>
      <c r="P2556" s="7">
        <f ca="1">SUMIFS($N$2:$N2556,$B$2:$B2556,"&lt;&gt;"&amp;B2556)+SUM($Q$2:$Q2556)</f>
        <v>135.05500000000001</v>
      </c>
      <c r="R2556" t="b">
        <f>AND(ISNUMBER(FIND($E2556,Tables!$I$2)), ISNUMBER(FIND($D2556,Tables!$J$2)), $E2556&lt;&gt;"")</f>
        <v>0</v>
      </c>
    </row>
    <row r="2557" spans="1:18" x14ac:dyDescent="0.3">
      <c r="A2557">
        <f t="shared" si="191"/>
        <v>2540</v>
      </c>
      <c r="B2557" s="4"/>
      <c r="I2557" s="8"/>
      <c r="J2557" s="5"/>
      <c r="K2557" s="3"/>
      <c r="L2557" s="3" t="str">
        <f t="shared" si="193"/>
        <v/>
      </c>
      <c r="N2557" s="3" t="str">
        <f t="shared" si="192"/>
        <v/>
      </c>
      <c r="O2557" s="6" t="str">
        <f t="shared" si="190"/>
        <v/>
      </c>
      <c r="P2557" s="7">
        <f ca="1">SUMIFS($N$2:$N2557,$B$2:$B2557,"&lt;&gt;"&amp;B2557)+SUM($Q$2:$Q2557)</f>
        <v>135.05500000000001</v>
      </c>
      <c r="R2557" t="b">
        <f>AND(ISNUMBER(FIND($E2557,Tables!$I$2)), ISNUMBER(FIND($D2557,Tables!$J$2)), $E2557&lt;&gt;"")</f>
        <v>0</v>
      </c>
    </row>
    <row r="2558" spans="1:18" x14ac:dyDescent="0.3">
      <c r="A2558">
        <f t="shared" si="191"/>
        <v>2541</v>
      </c>
      <c r="B2558" s="4"/>
      <c r="I2558" s="8"/>
      <c r="J2558" s="5"/>
      <c r="K2558" s="3"/>
      <c r="L2558" s="3" t="str">
        <f t="shared" si="193"/>
        <v/>
      </c>
      <c r="N2558" s="3" t="str">
        <f t="shared" si="192"/>
        <v/>
      </c>
      <c r="O2558" s="6" t="str">
        <f t="shared" si="190"/>
        <v/>
      </c>
      <c r="P2558" s="7">
        <f ca="1">SUMIFS($N$2:$N2558,$B$2:$B2558,"&lt;&gt;"&amp;B2558)+SUM($Q$2:$Q2558)</f>
        <v>135.05500000000001</v>
      </c>
      <c r="R2558" t="b">
        <f>AND(ISNUMBER(FIND($E2558,Tables!$I$2)), ISNUMBER(FIND($D2558,Tables!$J$2)), $E2558&lt;&gt;"")</f>
        <v>0</v>
      </c>
    </row>
    <row r="2559" spans="1:18" x14ac:dyDescent="0.3">
      <c r="A2559">
        <f t="shared" si="191"/>
        <v>2542</v>
      </c>
      <c r="B2559" s="4"/>
      <c r="I2559" s="8"/>
      <c r="J2559" s="5"/>
      <c r="K2559" s="3"/>
      <c r="L2559" s="3" t="str">
        <f t="shared" si="193"/>
        <v/>
      </c>
      <c r="N2559" s="3" t="str">
        <f t="shared" si="192"/>
        <v/>
      </c>
      <c r="O2559" s="6" t="str">
        <f t="shared" si="190"/>
        <v/>
      </c>
      <c r="P2559" s="7">
        <f ca="1">SUMIFS($N$2:$N2559,$B$2:$B2559,"&lt;&gt;"&amp;B2559)+SUM($Q$2:$Q2559)</f>
        <v>135.05500000000001</v>
      </c>
      <c r="R2559" t="b">
        <f>AND(ISNUMBER(FIND($E2559,Tables!$I$2)), ISNUMBER(FIND($D2559,Tables!$J$2)), $E2559&lt;&gt;"")</f>
        <v>0</v>
      </c>
    </row>
    <row r="2560" spans="1:18" x14ac:dyDescent="0.3">
      <c r="A2560">
        <f t="shared" si="191"/>
        <v>2543</v>
      </c>
      <c r="B2560" s="4"/>
      <c r="I2560" s="8"/>
      <c r="J2560" s="5"/>
      <c r="K2560" s="3"/>
      <c r="L2560" s="3" t="str">
        <f t="shared" si="193"/>
        <v/>
      </c>
      <c r="N2560" s="3" t="str">
        <f t="shared" si="192"/>
        <v/>
      </c>
      <c r="O2560" s="6" t="str">
        <f t="shared" si="190"/>
        <v/>
      </c>
      <c r="P2560" s="7">
        <f ca="1">SUMIFS($N$2:$N2560,$B$2:$B2560,"&lt;&gt;"&amp;B2560)+SUM($Q$2:$Q2560)</f>
        <v>135.05500000000001</v>
      </c>
      <c r="R2560" t="b">
        <f>AND(ISNUMBER(FIND($E2560,Tables!$I$2)), ISNUMBER(FIND($D2560,Tables!$J$2)), $E2560&lt;&gt;"")</f>
        <v>0</v>
      </c>
    </row>
    <row r="2561" spans="1:18" x14ac:dyDescent="0.3">
      <c r="A2561">
        <f t="shared" si="191"/>
        <v>2544</v>
      </c>
      <c r="B2561" s="4"/>
      <c r="I2561" s="8"/>
      <c r="J2561" s="5"/>
      <c r="K2561" s="3"/>
      <c r="L2561" s="3" t="str">
        <f t="shared" si="193"/>
        <v/>
      </c>
      <c r="N2561" s="3" t="str">
        <f t="shared" si="192"/>
        <v/>
      </c>
      <c r="O2561" s="6" t="str">
        <f t="shared" si="190"/>
        <v/>
      </c>
      <c r="P2561" s="7">
        <f ca="1">SUMIFS($N$2:$N2561,$B$2:$B2561,"&lt;&gt;"&amp;B2561)+SUM($Q$2:$Q2561)</f>
        <v>135.05500000000001</v>
      </c>
      <c r="R2561" t="b">
        <f>AND(ISNUMBER(FIND($E2561,Tables!$I$2)), ISNUMBER(FIND($D2561,Tables!$J$2)), $E2561&lt;&gt;"")</f>
        <v>0</v>
      </c>
    </row>
    <row r="2562" spans="1:18" x14ac:dyDescent="0.3">
      <c r="A2562">
        <f t="shared" si="191"/>
        <v>2545</v>
      </c>
      <c r="B2562" s="4"/>
      <c r="I2562" s="8"/>
      <c r="J2562" s="5"/>
      <c r="K2562" s="3"/>
      <c r="L2562" s="3" t="str">
        <f t="shared" si="193"/>
        <v/>
      </c>
      <c r="N2562" s="3" t="str">
        <f t="shared" si="192"/>
        <v/>
      </c>
      <c r="O2562" s="6" t="str">
        <f t="shared" ref="O2562:O2625" si="194">IFERROR(K2562/VLOOKUP(_xlfn.MINIFS(A:A,B:B,B2562,C:C,C2562),A:P,16),"")</f>
        <v/>
      </c>
      <c r="P2562" s="7">
        <f ca="1">SUMIFS($N$2:$N2562,$B$2:$B2562,"&lt;&gt;"&amp;B2562)+SUM($Q$2:$Q2562)</f>
        <v>135.05500000000001</v>
      </c>
      <c r="R2562" t="b">
        <f>AND(ISNUMBER(FIND($E2562,Tables!$I$2)), ISNUMBER(FIND($D2562,Tables!$J$2)), $E2562&lt;&gt;"")</f>
        <v>0</v>
      </c>
    </row>
    <row r="2563" spans="1:18" x14ac:dyDescent="0.3">
      <c r="A2563">
        <f t="shared" si="191"/>
        <v>2546</v>
      </c>
      <c r="B2563" s="4"/>
      <c r="I2563" s="8"/>
      <c r="J2563" s="5"/>
      <c r="K2563" s="3"/>
      <c r="L2563" s="3" t="str">
        <f t="shared" si="193"/>
        <v/>
      </c>
      <c r="N2563" s="3" t="str">
        <f t="shared" si="192"/>
        <v/>
      </c>
      <c r="O2563" s="6" t="str">
        <f t="shared" si="194"/>
        <v/>
      </c>
      <c r="P2563" s="7">
        <f ca="1">SUMIFS($N$2:$N2563,$B$2:$B2563,"&lt;&gt;"&amp;B2563)+SUM($Q$2:$Q2563)</f>
        <v>135.05500000000001</v>
      </c>
      <c r="R2563" t="b">
        <f>AND(ISNUMBER(FIND($E2563,Tables!$I$2)), ISNUMBER(FIND($D2563,Tables!$J$2)), $E2563&lt;&gt;"")</f>
        <v>0</v>
      </c>
    </row>
    <row r="2564" spans="1:18" x14ac:dyDescent="0.3">
      <c r="A2564">
        <f t="shared" si="191"/>
        <v>2547</v>
      </c>
      <c r="B2564" s="4"/>
      <c r="I2564" s="8"/>
      <c r="J2564" s="5"/>
      <c r="K2564" s="3"/>
      <c r="L2564" s="3" t="str">
        <f t="shared" si="193"/>
        <v/>
      </c>
      <c r="N2564" s="3" t="str">
        <f t="shared" si="192"/>
        <v/>
      </c>
      <c r="O2564" s="6" t="str">
        <f t="shared" si="194"/>
        <v/>
      </c>
      <c r="P2564" s="7">
        <f ca="1">SUMIFS($N$2:$N2564,$B$2:$B2564,"&lt;&gt;"&amp;B2564)+SUM($Q$2:$Q2564)</f>
        <v>135.05500000000001</v>
      </c>
      <c r="R2564" t="b">
        <f>AND(ISNUMBER(FIND($E2564,Tables!$I$2)), ISNUMBER(FIND($D2564,Tables!$J$2)), $E2564&lt;&gt;"")</f>
        <v>0</v>
      </c>
    </row>
    <row r="2565" spans="1:18" x14ac:dyDescent="0.3">
      <c r="A2565">
        <f t="shared" si="191"/>
        <v>2548</v>
      </c>
      <c r="B2565" s="4"/>
      <c r="I2565" s="8"/>
      <c r="J2565" s="5"/>
      <c r="K2565" s="3"/>
      <c r="L2565" s="3" t="str">
        <f t="shared" si="193"/>
        <v/>
      </c>
      <c r="N2565" s="3" t="str">
        <f t="shared" si="192"/>
        <v/>
      </c>
      <c r="O2565" s="6" t="str">
        <f t="shared" si="194"/>
        <v/>
      </c>
      <c r="P2565" s="7">
        <f ca="1">SUMIFS($N$2:$N2565,$B$2:$B2565,"&lt;&gt;"&amp;B2565)+SUM($Q$2:$Q2565)</f>
        <v>135.05500000000001</v>
      </c>
      <c r="R2565" t="b">
        <f>AND(ISNUMBER(FIND($E2565,Tables!$I$2)), ISNUMBER(FIND($D2565,Tables!$J$2)), $E2565&lt;&gt;"")</f>
        <v>0</v>
      </c>
    </row>
    <row r="2566" spans="1:18" x14ac:dyDescent="0.3">
      <c r="A2566">
        <f t="shared" si="191"/>
        <v>2549</v>
      </c>
      <c r="B2566" s="4"/>
      <c r="I2566" s="8"/>
      <c r="J2566" s="5"/>
      <c r="K2566" s="3"/>
      <c r="L2566" s="3" t="str">
        <f t="shared" si="193"/>
        <v/>
      </c>
      <c r="N2566" s="3" t="str">
        <f t="shared" si="192"/>
        <v/>
      </c>
      <c r="O2566" s="6" t="str">
        <f t="shared" si="194"/>
        <v/>
      </c>
      <c r="P2566" s="7">
        <f ca="1">SUMIFS($N$2:$N2566,$B$2:$B2566,"&lt;&gt;"&amp;B2566)+SUM($Q$2:$Q2566)</f>
        <v>135.05500000000001</v>
      </c>
      <c r="R2566" t="b">
        <f>AND(ISNUMBER(FIND($E2566,Tables!$I$2)), ISNUMBER(FIND($D2566,Tables!$J$2)), $E2566&lt;&gt;"")</f>
        <v>0</v>
      </c>
    </row>
    <row r="2567" spans="1:18" x14ac:dyDescent="0.3">
      <c r="A2567">
        <f t="shared" si="191"/>
        <v>2550</v>
      </c>
      <c r="B2567" s="4"/>
      <c r="I2567" s="8"/>
      <c r="J2567" s="5"/>
      <c r="K2567" s="3"/>
      <c r="L2567" s="3" t="str">
        <f t="shared" si="193"/>
        <v/>
      </c>
      <c r="N2567" s="3" t="str">
        <f t="shared" si="192"/>
        <v/>
      </c>
      <c r="O2567" s="6" t="str">
        <f t="shared" si="194"/>
        <v/>
      </c>
      <c r="P2567" s="7">
        <f ca="1">SUMIFS($N$2:$N2567,$B$2:$B2567,"&lt;&gt;"&amp;B2567)+SUM($Q$2:$Q2567)</f>
        <v>135.05500000000001</v>
      </c>
      <c r="R2567" t="b">
        <f>AND(ISNUMBER(FIND($E2567,Tables!$I$2)), ISNUMBER(FIND($D2567,Tables!$J$2)), $E2567&lt;&gt;"")</f>
        <v>0</v>
      </c>
    </row>
    <row r="2568" spans="1:18" x14ac:dyDescent="0.3">
      <c r="A2568">
        <f t="shared" si="191"/>
        <v>2551</v>
      </c>
      <c r="B2568" s="4"/>
      <c r="I2568" s="8"/>
      <c r="J2568" s="5"/>
      <c r="K2568" s="3"/>
      <c r="L2568" s="3" t="str">
        <f t="shared" si="193"/>
        <v/>
      </c>
      <c r="N2568" s="3" t="str">
        <f t="shared" si="192"/>
        <v/>
      </c>
      <c r="O2568" s="6" t="str">
        <f t="shared" si="194"/>
        <v/>
      </c>
      <c r="P2568" s="7">
        <f ca="1">SUMIFS($N$2:$N2568,$B$2:$B2568,"&lt;&gt;"&amp;B2568)+SUM($Q$2:$Q2568)</f>
        <v>135.05500000000001</v>
      </c>
      <c r="R2568" t="b">
        <f>AND(ISNUMBER(FIND($E2568,Tables!$I$2)), ISNUMBER(FIND($D2568,Tables!$J$2)), $E2568&lt;&gt;"")</f>
        <v>0</v>
      </c>
    </row>
    <row r="2569" spans="1:18" x14ac:dyDescent="0.3">
      <c r="A2569">
        <f t="shared" si="191"/>
        <v>2552</v>
      </c>
      <c r="B2569" s="4"/>
      <c r="I2569" s="8"/>
      <c r="J2569" s="5"/>
      <c r="K2569" s="3"/>
      <c r="L2569" s="3" t="str">
        <f t="shared" si="193"/>
        <v/>
      </c>
      <c r="N2569" s="3" t="str">
        <f t="shared" si="192"/>
        <v/>
      </c>
      <c r="O2569" s="6" t="str">
        <f t="shared" si="194"/>
        <v/>
      </c>
      <c r="P2569" s="7">
        <f ca="1">SUMIFS($N$2:$N2569,$B$2:$B2569,"&lt;&gt;"&amp;B2569)+SUM($Q$2:$Q2569)</f>
        <v>135.05500000000001</v>
      </c>
      <c r="R2569" t="b">
        <f>AND(ISNUMBER(FIND($E2569,Tables!$I$2)), ISNUMBER(FIND($D2569,Tables!$J$2)), $E2569&lt;&gt;"")</f>
        <v>0</v>
      </c>
    </row>
    <row r="2570" spans="1:18" x14ac:dyDescent="0.3">
      <c r="A2570">
        <f t="shared" si="191"/>
        <v>2553</v>
      </c>
      <c r="B2570" s="4"/>
      <c r="I2570" s="8"/>
      <c r="J2570" s="5"/>
      <c r="K2570" s="3"/>
      <c r="L2570" s="3" t="str">
        <f t="shared" si="193"/>
        <v/>
      </c>
      <c r="N2570" s="3" t="str">
        <f t="shared" si="192"/>
        <v/>
      </c>
      <c r="O2570" s="6" t="str">
        <f t="shared" si="194"/>
        <v/>
      </c>
      <c r="P2570" s="7">
        <f ca="1">SUMIFS($N$2:$N2570,$B$2:$B2570,"&lt;&gt;"&amp;B2570)+SUM($Q$2:$Q2570)</f>
        <v>135.05500000000001</v>
      </c>
      <c r="R2570" t="b">
        <f>AND(ISNUMBER(FIND($E2570,Tables!$I$2)), ISNUMBER(FIND($D2570,Tables!$J$2)), $E2570&lt;&gt;"")</f>
        <v>0</v>
      </c>
    </row>
    <row r="2571" spans="1:18" x14ac:dyDescent="0.3">
      <c r="A2571">
        <f t="shared" si="191"/>
        <v>2554</v>
      </c>
      <c r="B2571" s="4"/>
      <c r="I2571" s="8"/>
      <c r="J2571" s="5"/>
      <c r="K2571" s="3"/>
      <c r="L2571" s="3" t="str">
        <f t="shared" si="193"/>
        <v/>
      </c>
      <c r="N2571" s="3" t="str">
        <f t="shared" si="192"/>
        <v/>
      </c>
      <c r="O2571" s="6" t="str">
        <f t="shared" si="194"/>
        <v/>
      </c>
      <c r="P2571" s="7">
        <f ca="1">SUMIFS($N$2:$N2571,$B$2:$B2571,"&lt;&gt;"&amp;B2571)+SUM($Q$2:$Q2571)</f>
        <v>135.05500000000001</v>
      </c>
      <c r="R2571" t="b">
        <f>AND(ISNUMBER(FIND($E2571,Tables!$I$2)), ISNUMBER(FIND($D2571,Tables!$J$2)), $E2571&lt;&gt;"")</f>
        <v>0</v>
      </c>
    </row>
    <row r="2572" spans="1:18" x14ac:dyDescent="0.3">
      <c r="A2572">
        <f t="shared" si="191"/>
        <v>2555</v>
      </c>
      <c r="B2572" s="4"/>
      <c r="I2572" s="8"/>
      <c r="J2572" s="5"/>
      <c r="K2572" s="3"/>
      <c r="L2572" s="3" t="str">
        <f t="shared" si="193"/>
        <v/>
      </c>
      <c r="N2572" s="3" t="str">
        <f t="shared" si="192"/>
        <v/>
      </c>
      <c r="O2572" s="6" t="str">
        <f t="shared" si="194"/>
        <v/>
      </c>
      <c r="P2572" s="7">
        <f ca="1">SUMIFS($N$2:$N2572,$B$2:$B2572,"&lt;&gt;"&amp;B2572)+SUM($Q$2:$Q2572)</f>
        <v>135.05500000000001</v>
      </c>
      <c r="R2572" t="b">
        <f>AND(ISNUMBER(FIND($E2572,Tables!$I$2)), ISNUMBER(FIND($D2572,Tables!$J$2)), $E2572&lt;&gt;"")</f>
        <v>0</v>
      </c>
    </row>
    <row r="2573" spans="1:18" x14ac:dyDescent="0.3">
      <c r="A2573">
        <f t="shared" si="191"/>
        <v>2556</v>
      </c>
      <c r="B2573" s="4"/>
      <c r="I2573" s="8"/>
      <c r="J2573" s="5"/>
      <c r="K2573" s="3"/>
      <c r="L2573" s="3" t="str">
        <f t="shared" si="193"/>
        <v/>
      </c>
      <c r="N2573" s="3" t="str">
        <f t="shared" si="192"/>
        <v/>
      </c>
      <c r="O2573" s="6" t="str">
        <f t="shared" si="194"/>
        <v/>
      </c>
      <c r="P2573" s="7">
        <f ca="1">SUMIFS($N$2:$N2573,$B$2:$B2573,"&lt;&gt;"&amp;B2573)+SUM($Q$2:$Q2573)</f>
        <v>135.05500000000001</v>
      </c>
      <c r="R2573" t="b">
        <f>AND(ISNUMBER(FIND($E2573,Tables!$I$2)), ISNUMBER(FIND($D2573,Tables!$J$2)), $E2573&lt;&gt;"")</f>
        <v>0</v>
      </c>
    </row>
    <row r="2574" spans="1:18" x14ac:dyDescent="0.3">
      <c r="A2574">
        <f t="shared" si="191"/>
        <v>2557</v>
      </c>
      <c r="B2574" s="4"/>
      <c r="I2574" s="8"/>
      <c r="J2574" s="5"/>
      <c r="K2574" s="3"/>
      <c r="L2574" s="3" t="str">
        <f t="shared" si="193"/>
        <v/>
      </c>
      <c r="N2574" s="3" t="str">
        <f t="shared" si="192"/>
        <v/>
      </c>
      <c r="O2574" s="6" t="str">
        <f t="shared" si="194"/>
        <v/>
      </c>
      <c r="P2574" s="7">
        <f ca="1">SUMIFS($N$2:$N2574,$B$2:$B2574,"&lt;&gt;"&amp;B2574)+SUM($Q$2:$Q2574)</f>
        <v>135.05500000000001</v>
      </c>
      <c r="R2574" t="b">
        <f>AND(ISNUMBER(FIND($E2574,Tables!$I$2)), ISNUMBER(FIND($D2574,Tables!$J$2)), $E2574&lt;&gt;"")</f>
        <v>0</v>
      </c>
    </row>
    <row r="2575" spans="1:18" x14ac:dyDescent="0.3">
      <c r="A2575">
        <f t="shared" si="191"/>
        <v>2558</v>
      </c>
      <c r="B2575" s="4"/>
      <c r="I2575" s="8"/>
      <c r="J2575" s="5"/>
      <c r="K2575" s="3"/>
      <c r="L2575" s="3" t="str">
        <f t="shared" si="193"/>
        <v/>
      </c>
      <c r="N2575" s="3" t="str">
        <f t="shared" si="192"/>
        <v/>
      </c>
      <c r="O2575" s="6" t="str">
        <f t="shared" si="194"/>
        <v/>
      </c>
      <c r="P2575" s="7">
        <f ca="1">SUMIFS($N$2:$N2575,$B$2:$B2575,"&lt;&gt;"&amp;B2575)+SUM($Q$2:$Q2575)</f>
        <v>135.05500000000001</v>
      </c>
      <c r="R2575" t="b">
        <f>AND(ISNUMBER(FIND($E2575,Tables!$I$2)), ISNUMBER(FIND($D2575,Tables!$J$2)), $E2575&lt;&gt;"")</f>
        <v>0</v>
      </c>
    </row>
    <row r="2576" spans="1:18" x14ac:dyDescent="0.3">
      <c r="A2576">
        <f t="shared" si="191"/>
        <v>2559</v>
      </c>
      <c r="B2576" s="4"/>
      <c r="I2576" s="8"/>
      <c r="J2576" s="5"/>
      <c r="K2576" s="3"/>
      <c r="L2576" s="3" t="str">
        <f t="shared" si="193"/>
        <v/>
      </c>
      <c r="N2576" s="3" t="str">
        <f t="shared" si="192"/>
        <v/>
      </c>
      <c r="O2576" s="6" t="str">
        <f t="shared" si="194"/>
        <v/>
      </c>
      <c r="P2576" s="7">
        <f ca="1">SUMIFS($N$2:$N2576,$B$2:$B2576,"&lt;&gt;"&amp;B2576)+SUM($Q$2:$Q2576)</f>
        <v>135.05500000000001</v>
      </c>
      <c r="R2576" t="b">
        <f>AND(ISNUMBER(FIND($E2576,Tables!$I$2)), ISNUMBER(FIND($D2576,Tables!$J$2)), $E2576&lt;&gt;"")</f>
        <v>0</v>
      </c>
    </row>
    <row r="2577" spans="1:18" x14ac:dyDescent="0.3">
      <c r="A2577">
        <f t="shared" si="191"/>
        <v>2560</v>
      </c>
      <c r="B2577" s="4"/>
      <c r="I2577" s="8"/>
      <c r="J2577" s="5"/>
      <c r="K2577" s="3"/>
      <c r="L2577" s="3" t="str">
        <f t="shared" si="193"/>
        <v/>
      </c>
      <c r="N2577" s="3" t="str">
        <f t="shared" si="192"/>
        <v/>
      </c>
      <c r="O2577" s="6" t="str">
        <f t="shared" si="194"/>
        <v/>
      </c>
      <c r="P2577" s="7">
        <f ca="1">SUMIFS($N$2:$N2577,$B$2:$B2577,"&lt;&gt;"&amp;B2577)+SUM($Q$2:$Q2577)</f>
        <v>135.05500000000001</v>
      </c>
      <c r="R2577" t="b">
        <f>AND(ISNUMBER(FIND($E2577,Tables!$I$2)), ISNUMBER(FIND($D2577,Tables!$J$2)), $E2577&lt;&gt;"")</f>
        <v>0</v>
      </c>
    </row>
    <row r="2578" spans="1:18" x14ac:dyDescent="0.3">
      <c r="A2578">
        <f t="shared" si="191"/>
        <v>2561</v>
      </c>
      <c r="B2578" s="4"/>
      <c r="I2578" s="8"/>
      <c r="J2578" s="5"/>
      <c r="K2578" s="3"/>
      <c r="L2578" s="3" t="str">
        <f t="shared" si="193"/>
        <v/>
      </c>
      <c r="N2578" s="3" t="str">
        <f t="shared" si="192"/>
        <v/>
      </c>
      <c r="O2578" s="6" t="str">
        <f t="shared" si="194"/>
        <v/>
      </c>
      <c r="P2578" s="7">
        <f ca="1">SUMIFS($N$2:$N2578,$B$2:$B2578,"&lt;&gt;"&amp;B2578)+SUM($Q$2:$Q2578)</f>
        <v>135.05500000000001</v>
      </c>
      <c r="R2578" t="b">
        <f>AND(ISNUMBER(FIND($E2578,Tables!$I$2)), ISNUMBER(FIND($D2578,Tables!$J$2)), $E2578&lt;&gt;"")</f>
        <v>0</v>
      </c>
    </row>
    <row r="2579" spans="1:18" x14ac:dyDescent="0.3">
      <c r="A2579">
        <f t="shared" si="191"/>
        <v>2562</v>
      </c>
      <c r="B2579" s="4"/>
      <c r="I2579" s="8"/>
      <c r="J2579" s="5"/>
      <c r="K2579" s="3"/>
      <c r="L2579" s="3" t="str">
        <f t="shared" si="193"/>
        <v/>
      </c>
      <c r="N2579" s="3" t="str">
        <f t="shared" si="192"/>
        <v/>
      </c>
      <c r="O2579" s="6" t="str">
        <f t="shared" si="194"/>
        <v/>
      </c>
      <c r="P2579" s="7">
        <f ca="1">SUMIFS($N$2:$N2579,$B$2:$B2579,"&lt;&gt;"&amp;B2579)+SUM($Q$2:$Q2579)</f>
        <v>135.05500000000001</v>
      </c>
      <c r="R2579" t="b">
        <f>AND(ISNUMBER(FIND($E2579,Tables!$I$2)), ISNUMBER(FIND($D2579,Tables!$J$2)), $E2579&lt;&gt;"")</f>
        <v>0</v>
      </c>
    </row>
    <row r="2580" spans="1:18" x14ac:dyDescent="0.3">
      <c r="A2580">
        <f t="shared" si="191"/>
        <v>2563</v>
      </c>
      <c r="B2580" s="4"/>
      <c r="I2580" s="8"/>
      <c r="J2580" s="5"/>
      <c r="K2580" s="3"/>
      <c r="L2580" s="3" t="str">
        <f t="shared" si="193"/>
        <v/>
      </c>
      <c r="N2580" s="3" t="str">
        <f t="shared" si="192"/>
        <v/>
      </c>
      <c r="O2580" s="6" t="str">
        <f t="shared" si="194"/>
        <v/>
      </c>
      <c r="P2580" s="7">
        <f ca="1">SUMIFS($N$2:$N2580,$B$2:$B2580,"&lt;&gt;"&amp;B2580)+SUM($Q$2:$Q2580)</f>
        <v>135.05500000000001</v>
      </c>
      <c r="R2580" t="b">
        <f>AND(ISNUMBER(FIND($E2580,Tables!$I$2)), ISNUMBER(FIND($D2580,Tables!$J$2)), $E2580&lt;&gt;"")</f>
        <v>0</v>
      </c>
    </row>
    <row r="2581" spans="1:18" x14ac:dyDescent="0.3">
      <c r="A2581">
        <f t="shared" si="191"/>
        <v>2564</v>
      </c>
      <c r="B2581" s="4"/>
      <c r="I2581" s="8"/>
      <c r="J2581" s="5"/>
      <c r="K2581" s="3"/>
      <c r="L2581" s="3" t="str">
        <f t="shared" si="193"/>
        <v/>
      </c>
      <c r="N2581" s="3" t="str">
        <f t="shared" si="192"/>
        <v/>
      </c>
      <c r="O2581" s="6" t="str">
        <f t="shared" si="194"/>
        <v/>
      </c>
      <c r="P2581" s="7">
        <f ca="1">SUMIFS($N$2:$N2581,$B$2:$B2581,"&lt;&gt;"&amp;B2581)+SUM($Q$2:$Q2581)</f>
        <v>135.05500000000001</v>
      </c>
      <c r="R2581" t="b">
        <f>AND(ISNUMBER(FIND($E2581,Tables!$I$2)), ISNUMBER(FIND($D2581,Tables!$J$2)), $E2581&lt;&gt;"")</f>
        <v>0</v>
      </c>
    </row>
    <row r="2582" spans="1:18" x14ac:dyDescent="0.3">
      <c r="A2582">
        <f t="shared" si="191"/>
        <v>2565</v>
      </c>
      <c r="B2582" s="4"/>
      <c r="I2582" s="8"/>
      <c r="J2582" s="5"/>
      <c r="K2582" s="3"/>
      <c r="L2582" s="3" t="str">
        <f t="shared" si="193"/>
        <v/>
      </c>
      <c r="N2582" s="3" t="str">
        <f t="shared" si="192"/>
        <v/>
      </c>
      <c r="O2582" s="6" t="str">
        <f t="shared" si="194"/>
        <v/>
      </c>
      <c r="P2582" s="7">
        <f ca="1">SUMIFS($N$2:$N2582,$B$2:$B2582,"&lt;&gt;"&amp;B2582)+SUM($Q$2:$Q2582)</f>
        <v>135.05500000000001</v>
      </c>
      <c r="R2582" t="b">
        <f>AND(ISNUMBER(FIND($E2582,Tables!$I$2)), ISNUMBER(FIND($D2582,Tables!$J$2)), $E2582&lt;&gt;"")</f>
        <v>0</v>
      </c>
    </row>
    <row r="2583" spans="1:18" x14ac:dyDescent="0.3">
      <c r="A2583">
        <f t="shared" si="191"/>
        <v>2566</v>
      </c>
      <c r="B2583" s="4"/>
      <c r="I2583" s="8"/>
      <c r="J2583" s="5"/>
      <c r="K2583" s="3"/>
      <c r="L2583" s="3" t="str">
        <f t="shared" si="193"/>
        <v/>
      </c>
      <c r="N2583" s="3" t="str">
        <f t="shared" si="192"/>
        <v/>
      </c>
      <c r="O2583" s="6" t="str">
        <f t="shared" si="194"/>
        <v/>
      </c>
      <c r="P2583" s="7">
        <f ca="1">SUMIFS($N$2:$N2583,$B$2:$B2583,"&lt;&gt;"&amp;B2583)+SUM($Q$2:$Q2583)</f>
        <v>135.05500000000001</v>
      </c>
      <c r="R2583" t="b">
        <f>AND(ISNUMBER(FIND($E2583,Tables!$I$2)), ISNUMBER(FIND($D2583,Tables!$J$2)), $E2583&lt;&gt;"")</f>
        <v>0</v>
      </c>
    </row>
    <row r="2584" spans="1:18" x14ac:dyDescent="0.3">
      <c r="A2584">
        <f t="shared" si="191"/>
        <v>2567</v>
      </c>
      <c r="B2584" s="4"/>
      <c r="I2584" s="8"/>
      <c r="J2584" s="5"/>
      <c r="K2584" s="3"/>
      <c r="L2584" s="3" t="str">
        <f t="shared" si="193"/>
        <v/>
      </c>
      <c r="N2584" s="3" t="str">
        <f t="shared" si="192"/>
        <v/>
      </c>
      <c r="O2584" s="6" t="str">
        <f t="shared" si="194"/>
        <v/>
      </c>
      <c r="P2584" s="7">
        <f ca="1">SUMIFS($N$2:$N2584,$B$2:$B2584,"&lt;&gt;"&amp;B2584)+SUM($Q$2:$Q2584)</f>
        <v>135.05500000000001</v>
      </c>
      <c r="R2584" t="b">
        <f>AND(ISNUMBER(FIND($E2584,Tables!$I$2)), ISNUMBER(FIND($D2584,Tables!$J$2)), $E2584&lt;&gt;"")</f>
        <v>0</v>
      </c>
    </row>
    <row r="2585" spans="1:18" x14ac:dyDescent="0.3">
      <c r="A2585">
        <f t="shared" si="191"/>
        <v>2568</v>
      </c>
      <c r="B2585" s="4"/>
      <c r="I2585" s="8"/>
      <c r="J2585" s="5"/>
      <c r="K2585" s="3"/>
      <c r="L2585" s="3" t="str">
        <f t="shared" si="193"/>
        <v/>
      </c>
      <c r="N2585" s="3" t="str">
        <f t="shared" si="192"/>
        <v/>
      </c>
      <c r="O2585" s="6" t="str">
        <f t="shared" si="194"/>
        <v/>
      </c>
      <c r="P2585" s="7">
        <f ca="1">SUMIFS($N$2:$N2585,$B$2:$B2585,"&lt;&gt;"&amp;B2585)+SUM($Q$2:$Q2585)</f>
        <v>135.05500000000001</v>
      </c>
      <c r="R2585" t="b">
        <f>AND(ISNUMBER(FIND($E2585,Tables!$I$2)), ISNUMBER(FIND($D2585,Tables!$J$2)), $E2585&lt;&gt;"")</f>
        <v>0</v>
      </c>
    </row>
    <row r="2586" spans="1:18" x14ac:dyDescent="0.3">
      <c r="A2586">
        <f t="shared" si="191"/>
        <v>2569</v>
      </c>
      <c r="B2586" s="4"/>
      <c r="I2586" s="8"/>
      <c r="J2586" s="5"/>
      <c r="K2586" s="3"/>
      <c r="L2586" s="3" t="str">
        <f t="shared" si="193"/>
        <v/>
      </c>
      <c r="N2586" s="3" t="str">
        <f t="shared" si="192"/>
        <v/>
      </c>
      <c r="O2586" s="6" t="str">
        <f t="shared" si="194"/>
        <v/>
      </c>
      <c r="P2586" s="7">
        <f ca="1">SUMIFS($N$2:$N2586,$B$2:$B2586,"&lt;&gt;"&amp;B2586)+SUM($Q$2:$Q2586)</f>
        <v>135.05500000000001</v>
      </c>
      <c r="R2586" t="b">
        <f>AND(ISNUMBER(FIND($E2586,Tables!$I$2)), ISNUMBER(FIND($D2586,Tables!$J$2)), $E2586&lt;&gt;"")</f>
        <v>0</v>
      </c>
    </row>
    <row r="2587" spans="1:18" x14ac:dyDescent="0.3">
      <c r="A2587">
        <f t="shared" si="191"/>
        <v>2570</v>
      </c>
      <c r="B2587" s="4"/>
      <c r="I2587" s="8"/>
      <c r="J2587" s="5"/>
      <c r="K2587" s="3"/>
      <c r="L2587" s="3" t="str">
        <f t="shared" si="193"/>
        <v/>
      </c>
      <c r="N2587" s="3" t="str">
        <f t="shared" si="192"/>
        <v/>
      </c>
      <c r="O2587" s="6" t="str">
        <f t="shared" si="194"/>
        <v/>
      </c>
      <c r="P2587" s="7">
        <f ca="1">SUMIFS($N$2:$N2587,$B$2:$B2587,"&lt;&gt;"&amp;B2587)+SUM($Q$2:$Q2587)</f>
        <v>135.05500000000001</v>
      </c>
      <c r="R2587" t="b">
        <f>AND(ISNUMBER(FIND($E2587,Tables!$I$2)), ISNUMBER(FIND($D2587,Tables!$J$2)), $E2587&lt;&gt;"")</f>
        <v>0</v>
      </c>
    </row>
    <row r="2588" spans="1:18" x14ac:dyDescent="0.3">
      <c r="A2588">
        <f t="shared" si="191"/>
        <v>2571</v>
      </c>
      <c r="B2588" s="4"/>
      <c r="I2588" s="8"/>
      <c r="J2588" s="5"/>
      <c r="K2588" s="3"/>
      <c r="L2588" s="3" t="str">
        <f t="shared" si="193"/>
        <v/>
      </c>
      <c r="N2588" s="3" t="str">
        <f t="shared" si="192"/>
        <v/>
      </c>
      <c r="O2588" s="6" t="str">
        <f t="shared" si="194"/>
        <v/>
      </c>
      <c r="P2588" s="7">
        <f ca="1">SUMIFS($N$2:$N2588,$B$2:$B2588,"&lt;&gt;"&amp;B2588)+SUM($Q$2:$Q2588)</f>
        <v>135.05500000000001</v>
      </c>
      <c r="R2588" t="b">
        <f>AND(ISNUMBER(FIND($E2588,Tables!$I$2)), ISNUMBER(FIND($D2588,Tables!$J$2)), $E2588&lt;&gt;"")</f>
        <v>0</v>
      </c>
    </row>
    <row r="2589" spans="1:18" x14ac:dyDescent="0.3">
      <c r="A2589">
        <f t="shared" si="191"/>
        <v>2572</v>
      </c>
      <c r="B2589" s="4"/>
      <c r="I2589" s="8"/>
      <c r="J2589" s="5"/>
      <c r="K2589" s="3"/>
      <c r="L2589" s="3" t="str">
        <f t="shared" si="193"/>
        <v/>
      </c>
      <c r="N2589" s="3" t="str">
        <f t="shared" si="192"/>
        <v/>
      </c>
      <c r="O2589" s="6" t="str">
        <f t="shared" si="194"/>
        <v/>
      </c>
      <c r="P2589" s="7">
        <f ca="1">SUMIFS($N$2:$N2589,$B$2:$B2589,"&lt;&gt;"&amp;B2589)+SUM($Q$2:$Q2589)</f>
        <v>135.05500000000001</v>
      </c>
      <c r="R2589" t="b">
        <f>AND(ISNUMBER(FIND($E2589,Tables!$I$2)), ISNUMBER(FIND($D2589,Tables!$J$2)), $E2589&lt;&gt;"")</f>
        <v>0</v>
      </c>
    </row>
    <row r="2590" spans="1:18" x14ac:dyDescent="0.3">
      <c r="A2590">
        <f t="shared" si="191"/>
        <v>2573</v>
      </c>
      <c r="B2590" s="4"/>
      <c r="I2590" s="8"/>
      <c r="J2590" s="5"/>
      <c r="K2590" s="3"/>
      <c r="L2590" s="3" t="str">
        <f t="shared" si="193"/>
        <v/>
      </c>
      <c r="N2590" s="3" t="str">
        <f t="shared" si="192"/>
        <v/>
      </c>
      <c r="O2590" s="6" t="str">
        <f t="shared" si="194"/>
        <v/>
      </c>
      <c r="P2590" s="7">
        <f ca="1">SUMIFS($N$2:$N2590,$B$2:$B2590,"&lt;&gt;"&amp;B2590)+SUM($Q$2:$Q2590)</f>
        <v>135.05500000000001</v>
      </c>
      <c r="R2590" t="b">
        <f>AND(ISNUMBER(FIND($E2590,Tables!$I$2)), ISNUMBER(FIND($D2590,Tables!$J$2)), $E2590&lt;&gt;"")</f>
        <v>0</v>
      </c>
    </row>
    <row r="2591" spans="1:18" x14ac:dyDescent="0.3">
      <c r="A2591">
        <f t="shared" si="191"/>
        <v>2574</v>
      </c>
      <c r="B2591" s="4"/>
      <c r="I2591" s="8"/>
      <c r="J2591" s="5"/>
      <c r="K2591" s="3"/>
      <c r="L2591" s="3" t="str">
        <f t="shared" si="193"/>
        <v/>
      </c>
      <c r="N2591" s="3" t="str">
        <f t="shared" si="192"/>
        <v/>
      </c>
      <c r="O2591" s="6" t="str">
        <f t="shared" si="194"/>
        <v/>
      </c>
      <c r="P2591" s="7">
        <f ca="1">SUMIFS($N$2:$N2591,$B$2:$B2591,"&lt;&gt;"&amp;B2591)+SUM($Q$2:$Q2591)</f>
        <v>135.05500000000001</v>
      </c>
      <c r="R2591" t="b">
        <f>AND(ISNUMBER(FIND($E2591,Tables!$I$2)), ISNUMBER(FIND($D2591,Tables!$J$2)), $E2591&lt;&gt;"")</f>
        <v>0</v>
      </c>
    </row>
    <row r="2592" spans="1:18" x14ac:dyDescent="0.3">
      <c r="A2592">
        <f t="shared" si="191"/>
        <v>2575</v>
      </c>
      <c r="B2592" s="4"/>
      <c r="I2592" s="8"/>
      <c r="J2592" s="5"/>
      <c r="K2592" s="3"/>
      <c r="L2592" s="3" t="str">
        <f t="shared" si="193"/>
        <v/>
      </c>
      <c r="N2592" s="3" t="str">
        <f t="shared" si="192"/>
        <v/>
      </c>
      <c r="O2592" s="6" t="str">
        <f t="shared" si="194"/>
        <v/>
      </c>
      <c r="P2592" s="7">
        <f ca="1">SUMIFS($N$2:$N2592,$B$2:$B2592,"&lt;&gt;"&amp;B2592)+SUM($Q$2:$Q2592)</f>
        <v>135.05500000000001</v>
      </c>
      <c r="R2592" t="b">
        <f>AND(ISNUMBER(FIND($E2592,Tables!$I$2)), ISNUMBER(FIND($D2592,Tables!$J$2)), $E2592&lt;&gt;"")</f>
        <v>0</v>
      </c>
    </row>
    <row r="2593" spans="1:18" x14ac:dyDescent="0.3">
      <c r="A2593">
        <f t="shared" si="191"/>
        <v>2576</v>
      </c>
      <c r="B2593" s="4"/>
      <c r="I2593" s="8"/>
      <c r="J2593" s="5"/>
      <c r="K2593" s="3"/>
      <c r="L2593" s="3" t="str">
        <f t="shared" si="193"/>
        <v/>
      </c>
      <c r="N2593" s="3" t="str">
        <f t="shared" si="192"/>
        <v/>
      </c>
      <c r="O2593" s="6" t="str">
        <f t="shared" si="194"/>
        <v/>
      </c>
      <c r="P2593" s="7">
        <f ca="1">SUMIFS($N$2:$N2593,$B$2:$B2593,"&lt;&gt;"&amp;B2593)+SUM($Q$2:$Q2593)</f>
        <v>135.05500000000001</v>
      </c>
      <c r="R2593" t="b">
        <f>AND(ISNUMBER(FIND($E2593,Tables!$I$2)), ISNUMBER(FIND($D2593,Tables!$J$2)), $E2593&lt;&gt;"")</f>
        <v>0</v>
      </c>
    </row>
    <row r="2594" spans="1:18" x14ac:dyDescent="0.3">
      <c r="A2594">
        <f t="shared" ref="A2594:A2657" si="195">IF(AND(B2594="", D2594&lt;&gt;""), A2593, A2593+1)</f>
        <v>2577</v>
      </c>
      <c r="B2594" s="4"/>
      <c r="I2594" s="8"/>
      <c r="J2594" s="5"/>
      <c r="K2594" s="3"/>
      <c r="L2594" s="3" t="str">
        <f t="shared" si="193"/>
        <v/>
      </c>
      <c r="N2594" s="3" t="str">
        <f t="shared" si="192"/>
        <v/>
      </c>
      <c r="O2594" s="6" t="str">
        <f t="shared" si="194"/>
        <v/>
      </c>
      <c r="P2594" s="7">
        <f ca="1">SUMIFS($N$2:$N2594,$B$2:$B2594,"&lt;&gt;"&amp;B2594)+SUM($Q$2:$Q2594)</f>
        <v>135.05500000000001</v>
      </c>
      <c r="R2594" t="b">
        <f>AND(ISNUMBER(FIND($E2594,Tables!$I$2)), ISNUMBER(FIND($D2594,Tables!$J$2)), $E2594&lt;&gt;"")</f>
        <v>0</v>
      </c>
    </row>
    <row r="2595" spans="1:18" x14ac:dyDescent="0.3">
      <c r="A2595">
        <f t="shared" si="195"/>
        <v>2578</v>
      </c>
      <c r="B2595" s="4"/>
      <c r="I2595" s="8"/>
      <c r="J2595" s="5"/>
      <c r="K2595" s="3"/>
      <c r="L2595" s="3" t="str">
        <f t="shared" si="193"/>
        <v/>
      </c>
      <c r="N2595" s="3" t="str">
        <f t="shared" si="192"/>
        <v/>
      </c>
      <c r="O2595" s="6" t="str">
        <f t="shared" si="194"/>
        <v/>
      </c>
      <c r="P2595" s="7">
        <f ca="1">SUMIFS($N$2:$N2595,$B$2:$B2595,"&lt;&gt;"&amp;B2595)+SUM($Q$2:$Q2595)</f>
        <v>135.05500000000001</v>
      </c>
      <c r="R2595" t="b">
        <f>AND(ISNUMBER(FIND($E2595,Tables!$I$2)), ISNUMBER(FIND($D2595,Tables!$J$2)), $E2595&lt;&gt;"")</f>
        <v>0</v>
      </c>
    </row>
    <row r="2596" spans="1:18" x14ac:dyDescent="0.3">
      <c r="A2596">
        <f t="shared" si="195"/>
        <v>2579</v>
      </c>
      <c r="B2596" s="4"/>
      <c r="I2596" s="8"/>
      <c r="J2596" s="5"/>
      <c r="K2596" s="3"/>
      <c r="L2596" s="3" t="str">
        <f t="shared" si="193"/>
        <v/>
      </c>
      <c r="N2596" s="3" t="str">
        <f t="shared" si="192"/>
        <v/>
      </c>
      <c r="O2596" s="6" t="str">
        <f t="shared" si="194"/>
        <v/>
      </c>
      <c r="P2596" s="7">
        <f ca="1">SUMIFS($N$2:$N2596,$B$2:$B2596,"&lt;&gt;"&amp;B2596)+SUM($Q$2:$Q2596)</f>
        <v>135.05500000000001</v>
      </c>
      <c r="R2596" t="b">
        <f>AND(ISNUMBER(FIND($E2596,Tables!$I$2)), ISNUMBER(FIND($D2596,Tables!$J$2)), $E2596&lt;&gt;"")</f>
        <v>0</v>
      </c>
    </row>
    <row r="2597" spans="1:18" x14ac:dyDescent="0.3">
      <c r="A2597">
        <f t="shared" si="195"/>
        <v>2580</v>
      </c>
      <c r="B2597" s="4"/>
      <c r="I2597" s="8"/>
      <c r="J2597" s="5"/>
      <c r="K2597" s="3"/>
      <c r="L2597" s="3" t="str">
        <f t="shared" si="193"/>
        <v/>
      </c>
      <c r="N2597" s="3" t="str">
        <f t="shared" si="192"/>
        <v/>
      </c>
      <c r="O2597" s="6" t="str">
        <f t="shared" si="194"/>
        <v/>
      </c>
      <c r="P2597" s="7">
        <f ca="1">SUMIFS($N$2:$N2597,$B$2:$B2597,"&lt;&gt;"&amp;B2597)+SUM($Q$2:$Q2597)</f>
        <v>135.05500000000001</v>
      </c>
      <c r="R2597" t="b">
        <f>AND(ISNUMBER(FIND($E2597,Tables!$I$2)), ISNUMBER(FIND($D2597,Tables!$J$2)), $E2597&lt;&gt;"")</f>
        <v>0</v>
      </c>
    </row>
    <row r="2598" spans="1:18" x14ac:dyDescent="0.3">
      <c r="A2598">
        <f t="shared" si="195"/>
        <v>2581</v>
      </c>
      <c r="B2598" s="4"/>
      <c r="I2598" s="8"/>
      <c r="J2598" s="5"/>
      <c r="K2598" s="3"/>
      <c r="L2598" s="3" t="str">
        <f t="shared" si="193"/>
        <v/>
      </c>
      <c r="N2598" s="3" t="str">
        <f t="shared" si="192"/>
        <v/>
      </c>
      <c r="O2598" s="6" t="str">
        <f t="shared" si="194"/>
        <v/>
      </c>
      <c r="P2598" s="7">
        <f ca="1">SUMIFS($N$2:$N2598,$B$2:$B2598,"&lt;&gt;"&amp;B2598)+SUM($Q$2:$Q2598)</f>
        <v>135.05500000000001</v>
      </c>
      <c r="R2598" t="b">
        <f>AND(ISNUMBER(FIND($E2598,Tables!$I$2)), ISNUMBER(FIND($D2598,Tables!$J$2)), $E2598&lt;&gt;"")</f>
        <v>0</v>
      </c>
    </row>
    <row r="2599" spans="1:18" x14ac:dyDescent="0.3">
      <c r="A2599">
        <f t="shared" si="195"/>
        <v>2582</v>
      </c>
      <c r="B2599" s="4"/>
      <c r="I2599" s="8"/>
      <c r="J2599" s="5"/>
      <c r="K2599" s="3"/>
      <c r="L2599" s="3" t="str">
        <f t="shared" si="193"/>
        <v/>
      </c>
      <c r="N2599" s="3" t="str">
        <f t="shared" si="192"/>
        <v/>
      </c>
      <c r="O2599" s="6" t="str">
        <f t="shared" si="194"/>
        <v/>
      </c>
      <c r="P2599" s="7">
        <f ca="1">SUMIFS($N$2:$N2599,$B$2:$B2599,"&lt;&gt;"&amp;B2599)+SUM($Q$2:$Q2599)</f>
        <v>135.05500000000001</v>
      </c>
      <c r="R2599" t="b">
        <f>AND(ISNUMBER(FIND($E2599,Tables!$I$2)), ISNUMBER(FIND($D2599,Tables!$J$2)), $E2599&lt;&gt;"")</f>
        <v>0</v>
      </c>
    </row>
    <row r="2600" spans="1:18" x14ac:dyDescent="0.3">
      <c r="A2600">
        <f t="shared" si="195"/>
        <v>2583</v>
      </c>
      <c r="B2600" s="4"/>
      <c r="I2600" s="8"/>
      <c r="J2600" s="5"/>
      <c r="K2600" s="3"/>
      <c r="L2600" s="3" t="str">
        <f t="shared" si="193"/>
        <v/>
      </c>
      <c r="N2600" s="3" t="str">
        <f t="shared" ref="N2600:N2663" si="196">IF(L2600 = "", "", IF(M2600="", "", IF(OR(M2600="Draw",M2600="NC"), 0, IF(M2600="win", L2600, -1*K2600))))</f>
        <v/>
      </c>
      <c r="O2600" s="6" t="str">
        <f t="shared" si="194"/>
        <v/>
      </c>
      <c r="P2600" s="7">
        <f ca="1">SUMIFS($N$2:$N2600,$B$2:$B2600,"&lt;&gt;"&amp;B2600)+SUM($Q$2:$Q2600)</f>
        <v>135.05500000000001</v>
      </c>
      <c r="R2600" t="b">
        <f>AND(ISNUMBER(FIND($E2600,Tables!$I$2)), ISNUMBER(FIND($D2600,Tables!$J$2)), $E2600&lt;&gt;"")</f>
        <v>0</v>
      </c>
    </row>
    <row r="2601" spans="1:18" x14ac:dyDescent="0.3">
      <c r="A2601">
        <f t="shared" si="195"/>
        <v>2584</v>
      </c>
      <c r="B2601" s="4"/>
      <c r="I2601" s="8"/>
      <c r="J2601" s="5"/>
      <c r="K2601" s="3"/>
      <c r="L2601" s="3" t="str">
        <f t="shared" si="193"/>
        <v/>
      </c>
      <c r="N2601" s="3" t="str">
        <f t="shared" si="196"/>
        <v/>
      </c>
      <c r="O2601" s="6" t="str">
        <f t="shared" si="194"/>
        <v/>
      </c>
      <c r="P2601" s="7">
        <f ca="1">SUMIFS($N$2:$N2601,$B$2:$B2601,"&lt;&gt;"&amp;B2601)+SUM($Q$2:$Q2601)</f>
        <v>135.05500000000001</v>
      </c>
      <c r="R2601" t="b">
        <f>AND(ISNUMBER(FIND($E2601,Tables!$I$2)), ISNUMBER(FIND($D2601,Tables!$J$2)), $E2601&lt;&gt;"")</f>
        <v>0</v>
      </c>
    </row>
    <row r="2602" spans="1:18" x14ac:dyDescent="0.3">
      <c r="A2602">
        <f t="shared" si="195"/>
        <v>2585</v>
      </c>
      <c r="B2602" s="4"/>
      <c r="I2602" s="8"/>
      <c r="J2602" s="5"/>
      <c r="K2602" s="3"/>
      <c r="L2602" s="3" t="str">
        <f t="shared" si="193"/>
        <v/>
      </c>
      <c r="N2602" s="3" t="str">
        <f t="shared" si="196"/>
        <v/>
      </c>
      <c r="O2602" s="6" t="str">
        <f t="shared" si="194"/>
        <v/>
      </c>
      <c r="P2602" s="7">
        <f ca="1">SUMIFS($N$2:$N2602,$B$2:$B2602,"&lt;&gt;"&amp;B2602)+SUM($Q$2:$Q2602)</f>
        <v>135.05500000000001</v>
      </c>
      <c r="R2602" t="b">
        <f>AND(ISNUMBER(FIND($E2602,Tables!$I$2)), ISNUMBER(FIND($D2602,Tables!$J$2)), $E2602&lt;&gt;"")</f>
        <v>0</v>
      </c>
    </row>
    <row r="2603" spans="1:18" x14ac:dyDescent="0.3">
      <c r="A2603">
        <f t="shared" si="195"/>
        <v>2586</v>
      </c>
      <c r="B2603" s="4"/>
      <c r="I2603" s="8"/>
      <c r="J2603" s="5"/>
      <c r="K2603" s="3"/>
      <c r="L2603" s="3" t="str">
        <f t="shared" si="193"/>
        <v/>
      </c>
      <c r="N2603" s="3" t="str">
        <f t="shared" si="196"/>
        <v/>
      </c>
      <c r="O2603" s="6" t="str">
        <f t="shared" si="194"/>
        <v/>
      </c>
      <c r="P2603" s="7">
        <f ca="1">SUMIFS($N$2:$N2603,$B$2:$B2603,"&lt;&gt;"&amp;B2603)+SUM($Q$2:$Q2603)</f>
        <v>135.05500000000001</v>
      </c>
      <c r="R2603" t="b">
        <f>AND(ISNUMBER(FIND($E2603,Tables!$I$2)), ISNUMBER(FIND($D2603,Tables!$J$2)), $E2603&lt;&gt;"")</f>
        <v>0</v>
      </c>
    </row>
    <row r="2604" spans="1:18" x14ac:dyDescent="0.3">
      <c r="A2604">
        <f t="shared" si="195"/>
        <v>2587</v>
      </c>
      <c r="B2604" s="4"/>
      <c r="I2604" s="8"/>
      <c r="J2604" s="5"/>
      <c r="K2604" s="3"/>
      <c r="L2604" s="3" t="str">
        <f t="shared" si="193"/>
        <v/>
      </c>
      <c r="N2604" s="3" t="str">
        <f t="shared" si="196"/>
        <v/>
      </c>
      <c r="O2604" s="6" t="str">
        <f t="shared" si="194"/>
        <v/>
      </c>
      <c r="P2604" s="7">
        <f ca="1">SUMIFS($N$2:$N2604,$B$2:$B2604,"&lt;&gt;"&amp;B2604)+SUM($Q$2:$Q2604)</f>
        <v>135.05500000000001</v>
      </c>
      <c r="R2604" t="b">
        <f>AND(ISNUMBER(FIND($E2604,Tables!$I$2)), ISNUMBER(FIND($D2604,Tables!$J$2)), $E2604&lt;&gt;"")</f>
        <v>0</v>
      </c>
    </row>
    <row r="2605" spans="1:18" x14ac:dyDescent="0.3">
      <c r="A2605">
        <f t="shared" si="195"/>
        <v>2588</v>
      </c>
      <c r="B2605" s="4"/>
      <c r="I2605" s="8"/>
      <c r="J2605" s="5"/>
      <c r="K2605" s="3"/>
      <c r="L2605" s="3" t="str">
        <f t="shared" si="193"/>
        <v/>
      </c>
      <c r="N2605" s="3" t="str">
        <f t="shared" si="196"/>
        <v/>
      </c>
      <c r="O2605" s="6" t="str">
        <f t="shared" si="194"/>
        <v/>
      </c>
      <c r="P2605" s="7">
        <f ca="1">SUMIFS($N$2:$N2605,$B$2:$B2605,"&lt;&gt;"&amp;B2605)+SUM($Q$2:$Q2605)</f>
        <v>135.05500000000001</v>
      </c>
      <c r="R2605" t="b">
        <f>AND(ISNUMBER(FIND($E2605,Tables!$I$2)), ISNUMBER(FIND($D2605,Tables!$J$2)), $E2605&lt;&gt;"")</f>
        <v>0</v>
      </c>
    </row>
    <row r="2606" spans="1:18" x14ac:dyDescent="0.3">
      <c r="A2606">
        <f t="shared" si="195"/>
        <v>2589</v>
      </c>
      <c r="B2606" s="4"/>
      <c r="I2606" s="8"/>
      <c r="J2606" s="5"/>
      <c r="K2606" s="3"/>
      <c r="L2606" s="3" t="str">
        <f t="shared" si="193"/>
        <v/>
      </c>
      <c r="N2606" s="3" t="str">
        <f t="shared" si="196"/>
        <v/>
      </c>
      <c r="O2606" s="6" t="str">
        <f t="shared" si="194"/>
        <v/>
      </c>
      <c r="P2606" s="7">
        <f ca="1">SUMIFS($N$2:$N2606,$B$2:$B2606,"&lt;&gt;"&amp;B2606)+SUM($Q$2:$Q2606)</f>
        <v>135.05500000000001</v>
      </c>
      <c r="R2606" t="b">
        <f>AND(ISNUMBER(FIND($E2606,Tables!$I$2)), ISNUMBER(FIND($D2606,Tables!$J$2)), $E2606&lt;&gt;"")</f>
        <v>0</v>
      </c>
    </row>
    <row r="2607" spans="1:18" x14ac:dyDescent="0.3">
      <c r="A2607">
        <f t="shared" si="195"/>
        <v>2590</v>
      </c>
      <c r="B2607" s="4"/>
      <c r="I2607" s="8"/>
      <c r="J2607" s="5"/>
      <c r="K2607" s="3"/>
      <c r="L2607" s="3" t="str">
        <f t="shared" si="193"/>
        <v/>
      </c>
      <c r="N2607" s="3" t="str">
        <f t="shared" si="196"/>
        <v/>
      </c>
      <c r="O2607" s="6" t="str">
        <f t="shared" si="194"/>
        <v/>
      </c>
      <c r="P2607" s="7">
        <f ca="1">SUMIFS($N$2:$N2607,$B$2:$B2607,"&lt;&gt;"&amp;B2607)+SUM($Q$2:$Q2607)</f>
        <v>135.05500000000001</v>
      </c>
      <c r="R2607" t="b">
        <f>AND(ISNUMBER(FIND($E2607,Tables!$I$2)), ISNUMBER(FIND($D2607,Tables!$J$2)), $E2607&lt;&gt;"")</f>
        <v>0</v>
      </c>
    </row>
    <row r="2608" spans="1:18" x14ac:dyDescent="0.3">
      <c r="A2608">
        <f t="shared" si="195"/>
        <v>2591</v>
      </c>
      <c r="B2608" s="4"/>
      <c r="I2608" s="8"/>
      <c r="J2608" s="5"/>
      <c r="K2608" s="3"/>
      <c r="L2608" s="3" t="str">
        <f t="shared" si="193"/>
        <v/>
      </c>
      <c r="N2608" s="3" t="str">
        <f t="shared" si="196"/>
        <v/>
      </c>
      <c r="O2608" s="6" t="str">
        <f t="shared" si="194"/>
        <v/>
      </c>
      <c r="P2608" s="7">
        <f ca="1">SUMIFS($N$2:$N2608,$B$2:$B2608,"&lt;&gt;"&amp;B2608)+SUM($Q$2:$Q2608)</f>
        <v>135.05500000000001</v>
      </c>
      <c r="R2608" t="b">
        <f>AND(ISNUMBER(FIND($E2608,Tables!$I$2)), ISNUMBER(FIND($D2608,Tables!$J$2)), $E2608&lt;&gt;"")</f>
        <v>0</v>
      </c>
    </row>
    <row r="2609" spans="1:18" x14ac:dyDescent="0.3">
      <c r="A2609">
        <f t="shared" si="195"/>
        <v>2592</v>
      </c>
      <c r="B2609" s="4"/>
      <c r="I2609" s="8"/>
      <c r="J2609" s="5"/>
      <c r="K2609" s="3"/>
      <c r="L2609" s="3" t="str">
        <f t="shared" si="193"/>
        <v/>
      </c>
      <c r="N2609" s="3" t="str">
        <f t="shared" si="196"/>
        <v/>
      </c>
      <c r="O2609" s="6" t="str">
        <f t="shared" si="194"/>
        <v/>
      </c>
      <c r="P2609" s="7">
        <f ca="1">SUMIFS($N$2:$N2609,$B$2:$B2609,"&lt;&gt;"&amp;B2609)+SUM($Q$2:$Q2609)</f>
        <v>135.05500000000001</v>
      </c>
      <c r="R2609" t="b">
        <f>AND(ISNUMBER(FIND($E2609,Tables!$I$2)), ISNUMBER(FIND($D2609,Tables!$J$2)), $E2609&lt;&gt;"")</f>
        <v>0</v>
      </c>
    </row>
    <row r="2610" spans="1:18" x14ac:dyDescent="0.3">
      <c r="A2610">
        <f t="shared" si="195"/>
        <v>2593</v>
      </c>
      <c r="B2610" s="4"/>
      <c r="I2610" s="8"/>
      <c r="J2610" s="5"/>
      <c r="K2610" s="3"/>
      <c r="L2610" s="3" t="str">
        <f t="shared" ref="L2610:L2673" si="197">IFERROR(IF(K2610=0, "", IF(I2610&gt;0, K2610/100*I2610,K2610/I2610*-100)), "")</f>
        <v/>
      </c>
      <c r="N2610" s="3" t="str">
        <f t="shared" si="196"/>
        <v/>
      </c>
      <c r="O2610" s="6" t="str">
        <f t="shared" si="194"/>
        <v/>
      </c>
      <c r="P2610" s="7">
        <f ca="1">SUMIFS($N$2:$N2610,$B$2:$B2610,"&lt;&gt;"&amp;B2610)+SUM($Q$2:$Q2610)</f>
        <v>135.05500000000001</v>
      </c>
      <c r="R2610" t="b">
        <f>AND(ISNUMBER(FIND($E2610,Tables!$I$2)), ISNUMBER(FIND($D2610,Tables!$J$2)), $E2610&lt;&gt;"")</f>
        <v>0</v>
      </c>
    </row>
    <row r="2611" spans="1:18" x14ac:dyDescent="0.3">
      <c r="A2611">
        <f t="shared" si="195"/>
        <v>2594</v>
      </c>
      <c r="B2611" s="4"/>
      <c r="I2611" s="8"/>
      <c r="J2611" s="5"/>
      <c r="K2611" s="3"/>
      <c r="L2611" s="3" t="str">
        <f t="shared" si="197"/>
        <v/>
      </c>
      <c r="N2611" s="3" t="str">
        <f t="shared" si="196"/>
        <v/>
      </c>
      <c r="O2611" s="6" t="str">
        <f t="shared" si="194"/>
        <v/>
      </c>
      <c r="P2611" s="7">
        <f ca="1">SUMIFS($N$2:$N2611,$B$2:$B2611,"&lt;&gt;"&amp;B2611)+SUM($Q$2:$Q2611)</f>
        <v>135.05500000000001</v>
      </c>
      <c r="R2611" t="b">
        <f>AND(ISNUMBER(FIND($E2611,Tables!$I$2)), ISNUMBER(FIND($D2611,Tables!$J$2)), $E2611&lt;&gt;"")</f>
        <v>0</v>
      </c>
    </row>
    <row r="2612" spans="1:18" x14ac:dyDescent="0.3">
      <c r="A2612">
        <f t="shared" si="195"/>
        <v>2595</v>
      </c>
      <c r="B2612" s="4"/>
      <c r="I2612" s="8"/>
      <c r="J2612" s="5"/>
      <c r="K2612" s="3"/>
      <c r="L2612" s="3" t="str">
        <f t="shared" si="197"/>
        <v/>
      </c>
      <c r="N2612" s="3" t="str">
        <f t="shared" si="196"/>
        <v/>
      </c>
      <c r="O2612" s="6" t="str">
        <f t="shared" si="194"/>
        <v/>
      </c>
      <c r="P2612" s="7">
        <f ca="1">SUMIFS($N$2:$N2612,$B$2:$B2612,"&lt;&gt;"&amp;B2612)+SUM($Q$2:$Q2612)</f>
        <v>135.05500000000001</v>
      </c>
      <c r="R2612" t="b">
        <f>AND(ISNUMBER(FIND($E2612,Tables!$I$2)), ISNUMBER(FIND($D2612,Tables!$J$2)), $E2612&lt;&gt;"")</f>
        <v>0</v>
      </c>
    </row>
    <row r="2613" spans="1:18" x14ac:dyDescent="0.3">
      <c r="A2613">
        <f t="shared" si="195"/>
        <v>2596</v>
      </c>
      <c r="B2613" s="4"/>
      <c r="I2613" s="8"/>
      <c r="J2613" s="5"/>
      <c r="K2613" s="3"/>
      <c r="L2613" s="3" t="str">
        <f t="shared" si="197"/>
        <v/>
      </c>
      <c r="N2613" s="3" t="str">
        <f t="shared" si="196"/>
        <v/>
      </c>
      <c r="O2613" s="6" t="str">
        <f t="shared" si="194"/>
        <v/>
      </c>
      <c r="P2613" s="7">
        <f ca="1">SUMIFS($N$2:$N2613,$B$2:$B2613,"&lt;&gt;"&amp;B2613)+SUM($Q$2:$Q2613)</f>
        <v>135.05500000000001</v>
      </c>
      <c r="R2613" t="b">
        <f>AND(ISNUMBER(FIND($E2613,Tables!$I$2)), ISNUMBER(FIND($D2613,Tables!$J$2)), $E2613&lt;&gt;"")</f>
        <v>0</v>
      </c>
    </row>
    <row r="2614" spans="1:18" x14ac:dyDescent="0.3">
      <c r="A2614">
        <f t="shared" si="195"/>
        <v>2597</v>
      </c>
      <c r="B2614" s="4"/>
      <c r="I2614" s="8"/>
      <c r="J2614" s="5"/>
      <c r="K2614" s="3"/>
      <c r="L2614" s="3" t="str">
        <f t="shared" si="197"/>
        <v/>
      </c>
      <c r="N2614" s="3" t="str">
        <f t="shared" si="196"/>
        <v/>
      </c>
      <c r="O2614" s="6" t="str">
        <f t="shared" si="194"/>
        <v/>
      </c>
      <c r="P2614" s="7">
        <f ca="1">SUMIFS($N$2:$N2614,$B$2:$B2614,"&lt;&gt;"&amp;B2614)+SUM($Q$2:$Q2614)</f>
        <v>135.05500000000001</v>
      </c>
      <c r="R2614" t="b">
        <f>AND(ISNUMBER(FIND($E2614,Tables!$I$2)), ISNUMBER(FIND($D2614,Tables!$J$2)), $E2614&lt;&gt;"")</f>
        <v>0</v>
      </c>
    </row>
    <row r="2615" spans="1:18" x14ac:dyDescent="0.3">
      <c r="A2615">
        <f t="shared" si="195"/>
        <v>2598</v>
      </c>
      <c r="B2615" s="4"/>
      <c r="I2615" s="8"/>
      <c r="J2615" s="5"/>
      <c r="K2615" s="3"/>
      <c r="L2615" s="3" t="str">
        <f t="shared" si="197"/>
        <v/>
      </c>
      <c r="N2615" s="3" t="str">
        <f t="shared" si="196"/>
        <v/>
      </c>
      <c r="O2615" s="6" t="str">
        <f t="shared" si="194"/>
        <v/>
      </c>
      <c r="P2615" s="7">
        <f ca="1">SUMIFS($N$2:$N2615,$B$2:$B2615,"&lt;&gt;"&amp;B2615)+SUM($Q$2:$Q2615)</f>
        <v>135.05500000000001</v>
      </c>
      <c r="R2615" t="b">
        <f>AND(ISNUMBER(FIND($E2615,Tables!$I$2)), ISNUMBER(FIND($D2615,Tables!$J$2)), $E2615&lt;&gt;"")</f>
        <v>0</v>
      </c>
    </row>
    <row r="2616" spans="1:18" x14ac:dyDescent="0.3">
      <c r="A2616">
        <f t="shared" si="195"/>
        <v>2599</v>
      </c>
      <c r="B2616" s="4"/>
      <c r="I2616" s="8"/>
      <c r="J2616" s="5"/>
      <c r="K2616" s="3"/>
      <c r="L2616" s="3" t="str">
        <f t="shared" si="197"/>
        <v/>
      </c>
      <c r="N2616" s="3" t="str">
        <f t="shared" si="196"/>
        <v/>
      </c>
      <c r="O2616" s="6" t="str">
        <f t="shared" si="194"/>
        <v/>
      </c>
      <c r="P2616" s="7">
        <f ca="1">SUMIFS($N$2:$N2616,$B$2:$B2616,"&lt;&gt;"&amp;B2616)+SUM($Q$2:$Q2616)</f>
        <v>135.05500000000001</v>
      </c>
      <c r="R2616" t="b">
        <f>AND(ISNUMBER(FIND($E2616,Tables!$I$2)), ISNUMBER(FIND($D2616,Tables!$J$2)), $E2616&lt;&gt;"")</f>
        <v>0</v>
      </c>
    </row>
    <row r="2617" spans="1:18" x14ac:dyDescent="0.3">
      <c r="A2617">
        <f t="shared" si="195"/>
        <v>2600</v>
      </c>
      <c r="B2617" s="4"/>
      <c r="I2617" s="8"/>
      <c r="J2617" s="5"/>
      <c r="K2617" s="3"/>
      <c r="L2617" s="3" t="str">
        <f t="shared" si="197"/>
        <v/>
      </c>
      <c r="N2617" s="3" t="str">
        <f t="shared" si="196"/>
        <v/>
      </c>
      <c r="O2617" s="6" t="str">
        <f t="shared" si="194"/>
        <v/>
      </c>
      <c r="P2617" s="7">
        <f ca="1">SUMIFS($N$2:$N2617,$B$2:$B2617,"&lt;&gt;"&amp;B2617)+SUM($Q$2:$Q2617)</f>
        <v>135.05500000000001</v>
      </c>
      <c r="R2617" t="b">
        <f>AND(ISNUMBER(FIND($E2617,Tables!$I$2)), ISNUMBER(FIND($D2617,Tables!$J$2)), $E2617&lt;&gt;"")</f>
        <v>0</v>
      </c>
    </row>
    <row r="2618" spans="1:18" x14ac:dyDescent="0.3">
      <c r="A2618">
        <f t="shared" si="195"/>
        <v>2601</v>
      </c>
      <c r="B2618" s="4"/>
      <c r="I2618" s="8"/>
      <c r="J2618" s="5"/>
      <c r="K2618" s="3"/>
      <c r="L2618" s="3" t="str">
        <f t="shared" si="197"/>
        <v/>
      </c>
      <c r="N2618" s="3" t="str">
        <f t="shared" si="196"/>
        <v/>
      </c>
      <c r="O2618" s="6" t="str">
        <f t="shared" si="194"/>
        <v/>
      </c>
      <c r="P2618" s="7">
        <f ca="1">SUMIFS($N$2:$N2618,$B$2:$B2618,"&lt;&gt;"&amp;B2618)+SUM($Q$2:$Q2618)</f>
        <v>135.05500000000001</v>
      </c>
      <c r="R2618" t="b">
        <f>AND(ISNUMBER(FIND($E2618,Tables!$I$2)), ISNUMBER(FIND($D2618,Tables!$J$2)), $E2618&lt;&gt;"")</f>
        <v>0</v>
      </c>
    </row>
    <row r="2619" spans="1:18" x14ac:dyDescent="0.3">
      <c r="A2619">
        <f t="shared" si="195"/>
        <v>2602</v>
      </c>
      <c r="B2619" s="4"/>
      <c r="I2619" s="8"/>
      <c r="J2619" s="5"/>
      <c r="K2619" s="3"/>
      <c r="L2619" s="3" t="str">
        <f t="shared" si="197"/>
        <v/>
      </c>
      <c r="N2619" s="3" t="str">
        <f t="shared" si="196"/>
        <v/>
      </c>
      <c r="O2619" s="6" t="str">
        <f t="shared" si="194"/>
        <v/>
      </c>
      <c r="P2619" s="7">
        <f ca="1">SUMIFS($N$2:$N2619,$B$2:$B2619,"&lt;&gt;"&amp;B2619)+SUM($Q$2:$Q2619)</f>
        <v>135.05500000000001</v>
      </c>
      <c r="R2619" t="b">
        <f>AND(ISNUMBER(FIND($E2619,Tables!$I$2)), ISNUMBER(FIND($D2619,Tables!$J$2)), $E2619&lt;&gt;"")</f>
        <v>0</v>
      </c>
    </row>
    <row r="2620" spans="1:18" x14ac:dyDescent="0.3">
      <c r="A2620">
        <f t="shared" si="195"/>
        <v>2603</v>
      </c>
      <c r="B2620" s="4"/>
      <c r="I2620" s="8"/>
      <c r="J2620" s="5"/>
      <c r="K2620" s="3"/>
      <c r="L2620" s="3" t="str">
        <f t="shared" si="197"/>
        <v/>
      </c>
      <c r="N2620" s="3" t="str">
        <f t="shared" si="196"/>
        <v/>
      </c>
      <c r="O2620" s="6" t="str">
        <f t="shared" si="194"/>
        <v/>
      </c>
      <c r="P2620" s="7">
        <f ca="1">SUMIFS($N$2:$N2620,$B$2:$B2620,"&lt;&gt;"&amp;B2620)+SUM($Q$2:$Q2620)</f>
        <v>135.05500000000001</v>
      </c>
      <c r="R2620" t="b">
        <f>AND(ISNUMBER(FIND($E2620,Tables!$I$2)), ISNUMBER(FIND($D2620,Tables!$J$2)), $E2620&lt;&gt;"")</f>
        <v>0</v>
      </c>
    </row>
    <row r="2621" spans="1:18" x14ac:dyDescent="0.3">
      <c r="A2621">
        <f t="shared" si="195"/>
        <v>2604</v>
      </c>
      <c r="B2621" s="4"/>
      <c r="I2621" s="8"/>
      <c r="J2621" s="5"/>
      <c r="K2621" s="3"/>
      <c r="L2621" s="3" t="str">
        <f t="shared" si="197"/>
        <v/>
      </c>
      <c r="N2621" s="3" t="str">
        <f t="shared" si="196"/>
        <v/>
      </c>
      <c r="O2621" s="6" t="str">
        <f t="shared" si="194"/>
        <v/>
      </c>
      <c r="P2621" s="7">
        <f ca="1">SUMIFS($N$2:$N2621,$B$2:$B2621,"&lt;&gt;"&amp;B2621)+SUM($Q$2:$Q2621)</f>
        <v>135.05500000000001</v>
      </c>
      <c r="R2621" t="b">
        <f>AND(ISNUMBER(FIND($E2621,Tables!$I$2)), ISNUMBER(FIND($D2621,Tables!$J$2)), $E2621&lt;&gt;"")</f>
        <v>0</v>
      </c>
    </row>
    <row r="2622" spans="1:18" x14ac:dyDescent="0.3">
      <c r="A2622">
        <f t="shared" si="195"/>
        <v>2605</v>
      </c>
      <c r="B2622" s="4"/>
      <c r="I2622" s="8"/>
      <c r="J2622" s="5"/>
      <c r="K2622" s="3"/>
      <c r="L2622" s="3" t="str">
        <f t="shared" si="197"/>
        <v/>
      </c>
      <c r="N2622" s="3" t="str">
        <f t="shared" si="196"/>
        <v/>
      </c>
      <c r="O2622" s="6" t="str">
        <f t="shared" si="194"/>
        <v/>
      </c>
      <c r="P2622" s="7">
        <f ca="1">SUMIFS($N$2:$N2622,$B$2:$B2622,"&lt;&gt;"&amp;B2622)+SUM($Q$2:$Q2622)</f>
        <v>135.05500000000001</v>
      </c>
      <c r="R2622" t="b">
        <f>AND(ISNUMBER(FIND($E2622,Tables!$I$2)), ISNUMBER(FIND($D2622,Tables!$J$2)), $E2622&lt;&gt;"")</f>
        <v>0</v>
      </c>
    </row>
    <row r="2623" spans="1:18" x14ac:dyDescent="0.3">
      <c r="A2623">
        <f t="shared" si="195"/>
        <v>2606</v>
      </c>
      <c r="B2623" s="4"/>
      <c r="I2623" s="8"/>
      <c r="J2623" s="5"/>
      <c r="K2623" s="3"/>
      <c r="L2623" s="3" t="str">
        <f t="shared" si="197"/>
        <v/>
      </c>
      <c r="N2623" s="3" t="str">
        <f t="shared" si="196"/>
        <v/>
      </c>
      <c r="O2623" s="6" t="str">
        <f t="shared" si="194"/>
        <v/>
      </c>
      <c r="P2623" s="7">
        <f ca="1">SUMIFS($N$2:$N2623,$B$2:$B2623,"&lt;&gt;"&amp;B2623)+SUM($Q$2:$Q2623)</f>
        <v>135.05500000000001</v>
      </c>
      <c r="R2623" t="b">
        <f>AND(ISNUMBER(FIND($E2623,Tables!$I$2)), ISNUMBER(FIND($D2623,Tables!$J$2)), $E2623&lt;&gt;"")</f>
        <v>0</v>
      </c>
    </row>
    <row r="2624" spans="1:18" x14ac:dyDescent="0.3">
      <c r="A2624">
        <f t="shared" si="195"/>
        <v>2607</v>
      </c>
      <c r="B2624" s="4"/>
      <c r="I2624" s="8"/>
      <c r="J2624" s="5"/>
      <c r="K2624" s="3"/>
      <c r="L2624" s="3" t="str">
        <f t="shared" si="197"/>
        <v/>
      </c>
      <c r="N2624" s="3" t="str">
        <f t="shared" si="196"/>
        <v/>
      </c>
      <c r="O2624" s="6" t="str">
        <f t="shared" si="194"/>
        <v/>
      </c>
      <c r="P2624" s="7">
        <f ca="1">SUMIFS($N$2:$N2624,$B$2:$B2624,"&lt;&gt;"&amp;B2624)+SUM($Q$2:$Q2624)</f>
        <v>135.05500000000001</v>
      </c>
      <c r="R2624" t="b">
        <f>AND(ISNUMBER(FIND($E2624,Tables!$I$2)), ISNUMBER(FIND($D2624,Tables!$J$2)), $E2624&lt;&gt;"")</f>
        <v>0</v>
      </c>
    </row>
    <row r="2625" spans="1:18" x14ac:dyDescent="0.3">
      <c r="A2625">
        <f t="shared" si="195"/>
        <v>2608</v>
      </c>
      <c r="B2625" s="4"/>
      <c r="I2625" s="8"/>
      <c r="J2625" s="5"/>
      <c r="K2625" s="3"/>
      <c r="L2625" s="3" t="str">
        <f t="shared" si="197"/>
        <v/>
      </c>
      <c r="N2625" s="3" t="str">
        <f t="shared" si="196"/>
        <v/>
      </c>
      <c r="O2625" s="6" t="str">
        <f t="shared" si="194"/>
        <v/>
      </c>
      <c r="P2625" s="7">
        <f ca="1">SUMIFS($N$2:$N2625,$B$2:$B2625,"&lt;&gt;"&amp;B2625)+SUM($Q$2:$Q2625)</f>
        <v>135.05500000000001</v>
      </c>
      <c r="R2625" t="b">
        <f>AND(ISNUMBER(FIND($E2625,Tables!$I$2)), ISNUMBER(FIND($D2625,Tables!$J$2)), $E2625&lt;&gt;"")</f>
        <v>0</v>
      </c>
    </row>
    <row r="2626" spans="1:18" x14ac:dyDescent="0.3">
      <c r="A2626">
        <f t="shared" si="195"/>
        <v>2609</v>
      </c>
      <c r="B2626" s="4"/>
      <c r="I2626" s="8"/>
      <c r="J2626" s="5"/>
      <c r="K2626" s="3"/>
      <c r="L2626" s="3" t="str">
        <f t="shared" si="197"/>
        <v/>
      </c>
      <c r="N2626" s="3" t="str">
        <f t="shared" si="196"/>
        <v/>
      </c>
      <c r="O2626" s="6" t="str">
        <f t="shared" ref="O2626:O2689" si="198">IFERROR(K2626/VLOOKUP(_xlfn.MINIFS(A:A,B:B,B2626,C:C,C2626),A:P,16),"")</f>
        <v/>
      </c>
      <c r="P2626" s="7">
        <f ca="1">SUMIFS($N$2:$N2626,$B$2:$B2626,"&lt;&gt;"&amp;B2626)+SUM($Q$2:$Q2626)</f>
        <v>135.05500000000001</v>
      </c>
      <c r="R2626" t="b">
        <f>AND(ISNUMBER(FIND($E2626,Tables!$I$2)), ISNUMBER(FIND($D2626,Tables!$J$2)), $E2626&lt;&gt;"")</f>
        <v>0</v>
      </c>
    </row>
    <row r="2627" spans="1:18" x14ac:dyDescent="0.3">
      <c r="A2627">
        <f t="shared" si="195"/>
        <v>2610</v>
      </c>
      <c r="B2627" s="4"/>
      <c r="I2627" s="8"/>
      <c r="J2627" s="5"/>
      <c r="K2627" s="3"/>
      <c r="L2627" s="3" t="str">
        <f t="shared" si="197"/>
        <v/>
      </c>
      <c r="N2627" s="3" t="str">
        <f t="shared" si="196"/>
        <v/>
      </c>
      <c r="O2627" s="6" t="str">
        <f t="shared" si="198"/>
        <v/>
      </c>
      <c r="P2627" s="7">
        <f ca="1">SUMIFS($N$2:$N2627,$B$2:$B2627,"&lt;&gt;"&amp;B2627)+SUM($Q$2:$Q2627)</f>
        <v>135.05500000000001</v>
      </c>
      <c r="R2627" t="b">
        <f>AND(ISNUMBER(FIND($E2627,Tables!$I$2)), ISNUMBER(FIND($D2627,Tables!$J$2)), $E2627&lt;&gt;"")</f>
        <v>0</v>
      </c>
    </row>
    <row r="2628" spans="1:18" x14ac:dyDescent="0.3">
      <c r="A2628">
        <f t="shared" si="195"/>
        <v>2611</v>
      </c>
      <c r="B2628" s="4"/>
      <c r="I2628" s="8"/>
      <c r="J2628" s="5"/>
      <c r="K2628" s="3"/>
      <c r="L2628" s="3" t="str">
        <f t="shared" si="197"/>
        <v/>
      </c>
      <c r="N2628" s="3" t="str">
        <f t="shared" si="196"/>
        <v/>
      </c>
      <c r="O2628" s="6" t="str">
        <f t="shared" si="198"/>
        <v/>
      </c>
      <c r="P2628" s="7">
        <f ca="1">SUMIFS($N$2:$N2628,$B$2:$B2628,"&lt;&gt;"&amp;B2628)+SUM($Q$2:$Q2628)</f>
        <v>135.05500000000001</v>
      </c>
      <c r="R2628" t="b">
        <f>AND(ISNUMBER(FIND($E2628,Tables!$I$2)), ISNUMBER(FIND($D2628,Tables!$J$2)), $E2628&lt;&gt;"")</f>
        <v>0</v>
      </c>
    </row>
    <row r="2629" spans="1:18" x14ac:dyDescent="0.3">
      <c r="A2629">
        <f t="shared" si="195"/>
        <v>2612</v>
      </c>
      <c r="B2629" s="4"/>
      <c r="I2629" s="8"/>
      <c r="J2629" s="5"/>
      <c r="K2629" s="3"/>
      <c r="L2629" s="3" t="str">
        <f t="shared" si="197"/>
        <v/>
      </c>
      <c r="N2629" s="3" t="str">
        <f t="shared" si="196"/>
        <v/>
      </c>
      <c r="O2629" s="6" t="str">
        <f t="shared" si="198"/>
        <v/>
      </c>
      <c r="P2629" s="7">
        <f ca="1">SUMIFS($N$2:$N2629,$B$2:$B2629,"&lt;&gt;"&amp;B2629)+SUM($Q$2:$Q2629)</f>
        <v>135.05500000000001</v>
      </c>
      <c r="R2629" t="b">
        <f>AND(ISNUMBER(FIND($E2629,Tables!$I$2)), ISNUMBER(FIND($D2629,Tables!$J$2)), $E2629&lt;&gt;"")</f>
        <v>0</v>
      </c>
    </row>
    <row r="2630" spans="1:18" x14ac:dyDescent="0.3">
      <c r="A2630">
        <f t="shared" si="195"/>
        <v>2613</v>
      </c>
      <c r="B2630" s="4"/>
      <c r="I2630" s="8"/>
      <c r="J2630" s="5"/>
      <c r="K2630" s="3"/>
      <c r="L2630" s="3" t="str">
        <f t="shared" si="197"/>
        <v/>
      </c>
      <c r="N2630" s="3" t="str">
        <f t="shared" si="196"/>
        <v/>
      </c>
      <c r="O2630" s="6" t="str">
        <f t="shared" si="198"/>
        <v/>
      </c>
      <c r="P2630" s="7">
        <f ca="1">SUMIFS($N$2:$N2630,$B$2:$B2630,"&lt;&gt;"&amp;B2630)+SUM($Q$2:$Q2630)</f>
        <v>135.05500000000001</v>
      </c>
      <c r="R2630" t="b">
        <f>AND(ISNUMBER(FIND($E2630,Tables!$I$2)), ISNUMBER(FIND($D2630,Tables!$J$2)), $E2630&lt;&gt;"")</f>
        <v>0</v>
      </c>
    </row>
    <row r="2631" spans="1:18" x14ac:dyDescent="0.3">
      <c r="A2631">
        <f t="shared" si="195"/>
        <v>2614</v>
      </c>
      <c r="B2631" s="4"/>
      <c r="I2631" s="8"/>
      <c r="J2631" s="5"/>
      <c r="K2631" s="3"/>
      <c r="L2631" s="3" t="str">
        <f t="shared" si="197"/>
        <v/>
      </c>
      <c r="N2631" s="3" t="str">
        <f t="shared" si="196"/>
        <v/>
      </c>
      <c r="O2631" s="6" t="str">
        <f t="shared" si="198"/>
        <v/>
      </c>
      <c r="P2631" s="7">
        <f ca="1">SUMIFS($N$2:$N2631,$B$2:$B2631,"&lt;&gt;"&amp;B2631)+SUM($Q$2:$Q2631)</f>
        <v>135.05500000000001</v>
      </c>
      <c r="R2631" t="b">
        <f>AND(ISNUMBER(FIND($E2631,Tables!$I$2)), ISNUMBER(FIND($D2631,Tables!$J$2)), $E2631&lt;&gt;"")</f>
        <v>0</v>
      </c>
    </row>
    <row r="2632" spans="1:18" x14ac:dyDescent="0.3">
      <c r="A2632">
        <f t="shared" si="195"/>
        <v>2615</v>
      </c>
      <c r="B2632" s="4"/>
      <c r="I2632" s="8"/>
      <c r="J2632" s="5"/>
      <c r="K2632" s="3"/>
      <c r="L2632" s="3" t="str">
        <f t="shared" si="197"/>
        <v/>
      </c>
      <c r="N2632" s="3" t="str">
        <f t="shared" si="196"/>
        <v/>
      </c>
      <c r="O2632" s="6" t="str">
        <f t="shared" si="198"/>
        <v/>
      </c>
      <c r="P2632" s="7">
        <f ca="1">SUMIFS($N$2:$N2632,$B$2:$B2632,"&lt;&gt;"&amp;B2632)+SUM($Q$2:$Q2632)</f>
        <v>135.05500000000001</v>
      </c>
      <c r="R2632" t="b">
        <f>AND(ISNUMBER(FIND($E2632,Tables!$I$2)), ISNUMBER(FIND($D2632,Tables!$J$2)), $E2632&lt;&gt;"")</f>
        <v>0</v>
      </c>
    </row>
    <row r="2633" spans="1:18" x14ac:dyDescent="0.3">
      <c r="A2633">
        <f t="shared" si="195"/>
        <v>2616</v>
      </c>
      <c r="B2633" s="4"/>
      <c r="I2633" s="8"/>
      <c r="J2633" s="5"/>
      <c r="K2633" s="3"/>
      <c r="L2633" s="3" t="str">
        <f t="shared" si="197"/>
        <v/>
      </c>
      <c r="N2633" s="3" t="str">
        <f t="shared" si="196"/>
        <v/>
      </c>
      <c r="O2633" s="6" t="str">
        <f t="shared" si="198"/>
        <v/>
      </c>
      <c r="P2633" s="7">
        <f ca="1">SUMIFS($N$2:$N2633,$B$2:$B2633,"&lt;&gt;"&amp;B2633)+SUM($Q$2:$Q2633)</f>
        <v>135.05500000000001</v>
      </c>
      <c r="R2633" t="b">
        <f>AND(ISNUMBER(FIND($E2633,Tables!$I$2)), ISNUMBER(FIND($D2633,Tables!$J$2)), $E2633&lt;&gt;"")</f>
        <v>0</v>
      </c>
    </row>
    <row r="2634" spans="1:18" x14ac:dyDescent="0.3">
      <c r="A2634">
        <f t="shared" si="195"/>
        <v>2617</v>
      </c>
      <c r="B2634" s="4"/>
      <c r="I2634" s="8"/>
      <c r="J2634" s="5"/>
      <c r="K2634" s="3"/>
      <c r="L2634" s="3" t="str">
        <f t="shared" si="197"/>
        <v/>
      </c>
      <c r="N2634" s="3" t="str">
        <f t="shared" si="196"/>
        <v/>
      </c>
      <c r="O2634" s="6" t="str">
        <f t="shared" si="198"/>
        <v/>
      </c>
      <c r="P2634" s="7">
        <f ca="1">SUMIFS($N$2:$N2634,$B$2:$B2634,"&lt;&gt;"&amp;B2634)+SUM($Q$2:$Q2634)</f>
        <v>135.05500000000001</v>
      </c>
      <c r="R2634" t="b">
        <f>AND(ISNUMBER(FIND($E2634,Tables!$I$2)), ISNUMBER(FIND($D2634,Tables!$J$2)), $E2634&lt;&gt;"")</f>
        <v>0</v>
      </c>
    </row>
    <row r="2635" spans="1:18" x14ac:dyDescent="0.3">
      <c r="A2635">
        <f t="shared" si="195"/>
        <v>2618</v>
      </c>
      <c r="B2635" s="4"/>
      <c r="I2635" s="8"/>
      <c r="J2635" s="5"/>
      <c r="K2635" s="3"/>
      <c r="L2635" s="3" t="str">
        <f t="shared" si="197"/>
        <v/>
      </c>
      <c r="N2635" s="3" t="str">
        <f t="shared" si="196"/>
        <v/>
      </c>
      <c r="O2635" s="6" t="str">
        <f t="shared" si="198"/>
        <v/>
      </c>
      <c r="P2635" s="7">
        <f ca="1">SUMIFS($N$2:$N2635,$B$2:$B2635,"&lt;&gt;"&amp;B2635)+SUM($Q$2:$Q2635)</f>
        <v>135.05500000000001</v>
      </c>
      <c r="R2635" t="b">
        <f>AND(ISNUMBER(FIND($E2635,Tables!$I$2)), ISNUMBER(FIND($D2635,Tables!$J$2)), $E2635&lt;&gt;"")</f>
        <v>0</v>
      </c>
    </row>
    <row r="2636" spans="1:18" x14ac:dyDescent="0.3">
      <c r="A2636">
        <f t="shared" si="195"/>
        <v>2619</v>
      </c>
      <c r="B2636" s="4"/>
      <c r="I2636" s="8"/>
      <c r="J2636" s="5"/>
      <c r="K2636" s="3"/>
      <c r="L2636" s="3" t="str">
        <f t="shared" si="197"/>
        <v/>
      </c>
      <c r="N2636" s="3" t="str">
        <f t="shared" si="196"/>
        <v/>
      </c>
      <c r="O2636" s="6" t="str">
        <f t="shared" si="198"/>
        <v/>
      </c>
      <c r="P2636" s="7">
        <f ca="1">SUMIFS($N$2:$N2636,$B$2:$B2636,"&lt;&gt;"&amp;B2636)+SUM($Q$2:$Q2636)</f>
        <v>135.05500000000001</v>
      </c>
      <c r="R2636" t="b">
        <f>AND(ISNUMBER(FIND($E2636,Tables!$I$2)), ISNUMBER(FIND($D2636,Tables!$J$2)), $E2636&lt;&gt;"")</f>
        <v>0</v>
      </c>
    </row>
    <row r="2637" spans="1:18" x14ac:dyDescent="0.3">
      <c r="A2637">
        <f t="shared" si="195"/>
        <v>2620</v>
      </c>
      <c r="B2637" s="4"/>
      <c r="I2637" s="8"/>
      <c r="J2637" s="5"/>
      <c r="K2637" s="3"/>
      <c r="L2637" s="3" t="str">
        <f t="shared" si="197"/>
        <v/>
      </c>
      <c r="N2637" s="3" t="str">
        <f t="shared" si="196"/>
        <v/>
      </c>
      <c r="O2637" s="6" t="str">
        <f t="shared" si="198"/>
        <v/>
      </c>
      <c r="P2637" s="7">
        <f ca="1">SUMIFS($N$2:$N2637,$B$2:$B2637,"&lt;&gt;"&amp;B2637)+SUM($Q$2:$Q2637)</f>
        <v>135.05500000000001</v>
      </c>
      <c r="R2637" t="b">
        <f>AND(ISNUMBER(FIND($E2637,Tables!$I$2)), ISNUMBER(FIND($D2637,Tables!$J$2)), $E2637&lt;&gt;"")</f>
        <v>0</v>
      </c>
    </row>
    <row r="2638" spans="1:18" x14ac:dyDescent="0.3">
      <c r="A2638">
        <f t="shared" si="195"/>
        <v>2621</v>
      </c>
      <c r="B2638" s="4"/>
      <c r="I2638" s="8"/>
      <c r="J2638" s="5"/>
      <c r="K2638" s="3"/>
      <c r="L2638" s="3" t="str">
        <f t="shared" si="197"/>
        <v/>
      </c>
      <c r="N2638" s="3" t="str">
        <f t="shared" si="196"/>
        <v/>
      </c>
      <c r="O2638" s="6" t="str">
        <f t="shared" si="198"/>
        <v/>
      </c>
      <c r="P2638" s="7">
        <f ca="1">SUMIFS($N$2:$N2638,$B$2:$B2638,"&lt;&gt;"&amp;B2638)+SUM($Q$2:$Q2638)</f>
        <v>135.05500000000001</v>
      </c>
      <c r="R2638" t="b">
        <f>AND(ISNUMBER(FIND($E2638,Tables!$I$2)), ISNUMBER(FIND($D2638,Tables!$J$2)), $E2638&lt;&gt;"")</f>
        <v>0</v>
      </c>
    </row>
    <row r="2639" spans="1:18" x14ac:dyDescent="0.3">
      <c r="A2639">
        <f t="shared" si="195"/>
        <v>2622</v>
      </c>
      <c r="B2639" s="4"/>
      <c r="I2639" s="8"/>
      <c r="J2639" s="5"/>
      <c r="K2639" s="3"/>
      <c r="L2639" s="3" t="str">
        <f t="shared" si="197"/>
        <v/>
      </c>
      <c r="N2639" s="3" t="str">
        <f t="shared" si="196"/>
        <v/>
      </c>
      <c r="O2639" s="6" t="str">
        <f t="shared" si="198"/>
        <v/>
      </c>
      <c r="P2639" s="7">
        <f ca="1">SUMIFS($N$2:$N2639,$B$2:$B2639,"&lt;&gt;"&amp;B2639)+SUM($Q$2:$Q2639)</f>
        <v>135.05500000000001</v>
      </c>
      <c r="R2639" t="b">
        <f>AND(ISNUMBER(FIND($E2639,Tables!$I$2)), ISNUMBER(FIND($D2639,Tables!$J$2)), $E2639&lt;&gt;"")</f>
        <v>0</v>
      </c>
    </row>
    <row r="2640" spans="1:18" x14ac:dyDescent="0.3">
      <c r="A2640">
        <f t="shared" si="195"/>
        <v>2623</v>
      </c>
      <c r="B2640" s="4"/>
      <c r="I2640" s="8"/>
      <c r="J2640" s="5"/>
      <c r="K2640" s="3"/>
      <c r="L2640" s="3" t="str">
        <f t="shared" si="197"/>
        <v/>
      </c>
      <c r="N2640" s="3" t="str">
        <f t="shared" si="196"/>
        <v/>
      </c>
      <c r="O2640" s="6" t="str">
        <f t="shared" si="198"/>
        <v/>
      </c>
      <c r="P2640" s="7">
        <f ca="1">SUMIFS($N$2:$N2640,$B$2:$B2640,"&lt;&gt;"&amp;B2640)+SUM($Q$2:$Q2640)</f>
        <v>135.05500000000001</v>
      </c>
      <c r="R2640" t="b">
        <f>AND(ISNUMBER(FIND($E2640,Tables!$I$2)), ISNUMBER(FIND($D2640,Tables!$J$2)), $E2640&lt;&gt;"")</f>
        <v>0</v>
      </c>
    </row>
    <row r="2641" spans="1:18" x14ac:dyDescent="0.3">
      <c r="A2641">
        <f t="shared" si="195"/>
        <v>2624</v>
      </c>
      <c r="B2641" s="4"/>
      <c r="I2641" s="8"/>
      <c r="J2641" s="5"/>
      <c r="K2641" s="3"/>
      <c r="L2641" s="3" t="str">
        <f t="shared" si="197"/>
        <v/>
      </c>
      <c r="N2641" s="3" t="str">
        <f t="shared" si="196"/>
        <v/>
      </c>
      <c r="O2641" s="6" t="str">
        <f t="shared" si="198"/>
        <v/>
      </c>
      <c r="P2641" s="7">
        <f ca="1">SUMIFS($N$2:$N2641,$B$2:$B2641,"&lt;&gt;"&amp;B2641)+SUM($Q$2:$Q2641)</f>
        <v>135.05500000000001</v>
      </c>
      <c r="R2641" t="b">
        <f>AND(ISNUMBER(FIND($E2641,Tables!$I$2)), ISNUMBER(FIND($D2641,Tables!$J$2)), $E2641&lt;&gt;"")</f>
        <v>0</v>
      </c>
    </row>
    <row r="2642" spans="1:18" x14ac:dyDescent="0.3">
      <c r="A2642">
        <f t="shared" si="195"/>
        <v>2625</v>
      </c>
      <c r="B2642" s="4"/>
      <c r="I2642" s="8"/>
      <c r="J2642" s="5"/>
      <c r="K2642" s="3"/>
      <c r="L2642" s="3" t="str">
        <f t="shared" si="197"/>
        <v/>
      </c>
      <c r="N2642" s="3" t="str">
        <f t="shared" si="196"/>
        <v/>
      </c>
      <c r="O2642" s="6" t="str">
        <f t="shared" si="198"/>
        <v/>
      </c>
      <c r="P2642" s="7">
        <f ca="1">SUMIFS($N$2:$N2642,$B$2:$B2642,"&lt;&gt;"&amp;B2642)+SUM($Q$2:$Q2642)</f>
        <v>135.05500000000001</v>
      </c>
      <c r="R2642" t="b">
        <f>AND(ISNUMBER(FIND($E2642,Tables!$I$2)), ISNUMBER(FIND($D2642,Tables!$J$2)), $E2642&lt;&gt;"")</f>
        <v>0</v>
      </c>
    </row>
    <row r="2643" spans="1:18" x14ac:dyDescent="0.3">
      <c r="A2643">
        <f t="shared" si="195"/>
        <v>2626</v>
      </c>
      <c r="B2643" s="4"/>
      <c r="I2643" s="8"/>
      <c r="J2643" s="5"/>
      <c r="K2643" s="3"/>
      <c r="L2643" s="3" t="str">
        <f t="shared" si="197"/>
        <v/>
      </c>
      <c r="N2643" s="3" t="str">
        <f t="shared" si="196"/>
        <v/>
      </c>
      <c r="O2643" s="6" t="str">
        <f t="shared" si="198"/>
        <v/>
      </c>
      <c r="P2643" s="7">
        <f ca="1">SUMIFS($N$2:$N2643,$B$2:$B2643,"&lt;&gt;"&amp;B2643)+SUM($Q$2:$Q2643)</f>
        <v>135.05500000000001</v>
      </c>
      <c r="R2643" t="b">
        <f>AND(ISNUMBER(FIND($E2643,Tables!$I$2)), ISNUMBER(FIND($D2643,Tables!$J$2)), $E2643&lt;&gt;"")</f>
        <v>0</v>
      </c>
    </row>
    <row r="2644" spans="1:18" x14ac:dyDescent="0.3">
      <c r="A2644">
        <f t="shared" si="195"/>
        <v>2627</v>
      </c>
      <c r="B2644" s="4"/>
      <c r="I2644" s="8"/>
      <c r="J2644" s="5"/>
      <c r="K2644" s="3"/>
      <c r="L2644" s="3" t="str">
        <f t="shared" si="197"/>
        <v/>
      </c>
      <c r="N2644" s="3" t="str">
        <f t="shared" si="196"/>
        <v/>
      </c>
      <c r="O2644" s="6" t="str">
        <f t="shared" si="198"/>
        <v/>
      </c>
      <c r="P2644" s="7">
        <f ca="1">SUMIFS($N$2:$N2644,$B$2:$B2644,"&lt;&gt;"&amp;B2644)+SUM($Q$2:$Q2644)</f>
        <v>135.05500000000001</v>
      </c>
      <c r="R2644" t="b">
        <f>AND(ISNUMBER(FIND($E2644,Tables!$I$2)), ISNUMBER(FIND($D2644,Tables!$J$2)), $E2644&lt;&gt;"")</f>
        <v>0</v>
      </c>
    </row>
    <row r="2645" spans="1:18" x14ac:dyDescent="0.3">
      <c r="A2645">
        <f t="shared" si="195"/>
        <v>2628</v>
      </c>
      <c r="B2645" s="4"/>
      <c r="I2645" s="8"/>
      <c r="J2645" s="5"/>
      <c r="K2645" s="3"/>
      <c r="L2645" s="3" t="str">
        <f t="shared" si="197"/>
        <v/>
      </c>
      <c r="N2645" s="3" t="str">
        <f t="shared" si="196"/>
        <v/>
      </c>
      <c r="O2645" s="6" t="str">
        <f t="shared" si="198"/>
        <v/>
      </c>
      <c r="P2645" s="7">
        <f ca="1">SUMIFS($N$2:$N2645,$B$2:$B2645,"&lt;&gt;"&amp;B2645)+SUM($Q$2:$Q2645)</f>
        <v>135.05500000000001</v>
      </c>
      <c r="R2645" t="b">
        <f>AND(ISNUMBER(FIND($E2645,Tables!$I$2)), ISNUMBER(FIND($D2645,Tables!$J$2)), $E2645&lt;&gt;"")</f>
        <v>0</v>
      </c>
    </row>
    <row r="2646" spans="1:18" x14ac:dyDescent="0.3">
      <c r="A2646">
        <f t="shared" si="195"/>
        <v>2629</v>
      </c>
      <c r="B2646" s="4"/>
      <c r="I2646" s="8"/>
      <c r="J2646" s="5"/>
      <c r="K2646" s="3"/>
      <c r="L2646" s="3" t="str">
        <f t="shared" si="197"/>
        <v/>
      </c>
      <c r="N2646" s="3" t="str">
        <f t="shared" si="196"/>
        <v/>
      </c>
      <c r="O2646" s="6" t="str">
        <f t="shared" si="198"/>
        <v/>
      </c>
      <c r="P2646" s="7">
        <f ca="1">SUMIFS($N$2:$N2646,$B$2:$B2646,"&lt;&gt;"&amp;B2646)+SUM($Q$2:$Q2646)</f>
        <v>135.05500000000001</v>
      </c>
      <c r="R2646" t="b">
        <f>AND(ISNUMBER(FIND($E2646,Tables!$I$2)), ISNUMBER(FIND($D2646,Tables!$J$2)), $E2646&lt;&gt;"")</f>
        <v>0</v>
      </c>
    </row>
    <row r="2647" spans="1:18" x14ac:dyDescent="0.3">
      <c r="A2647">
        <f t="shared" si="195"/>
        <v>2630</v>
      </c>
      <c r="B2647" s="4"/>
      <c r="I2647" s="8"/>
      <c r="J2647" s="5"/>
      <c r="K2647" s="3"/>
      <c r="L2647" s="3" t="str">
        <f t="shared" si="197"/>
        <v/>
      </c>
      <c r="N2647" s="3" t="str">
        <f t="shared" si="196"/>
        <v/>
      </c>
      <c r="O2647" s="6" t="str">
        <f t="shared" si="198"/>
        <v/>
      </c>
      <c r="P2647" s="7">
        <f ca="1">SUMIFS($N$2:$N2647,$B$2:$B2647,"&lt;&gt;"&amp;B2647)+SUM($Q$2:$Q2647)</f>
        <v>135.05500000000001</v>
      </c>
      <c r="R2647" t="b">
        <f>AND(ISNUMBER(FIND($E2647,Tables!$I$2)), ISNUMBER(FIND($D2647,Tables!$J$2)), $E2647&lt;&gt;"")</f>
        <v>0</v>
      </c>
    </row>
    <row r="2648" spans="1:18" x14ac:dyDescent="0.3">
      <c r="A2648">
        <f t="shared" si="195"/>
        <v>2631</v>
      </c>
      <c r="B2648" s="4"/>
      <c r="I2648" s="8"/>
      <c r="J2648" s="5"/>
      <c r="K2648" s="3"/>
      <c r="L2648" s="3" t="str">
        <f t="shared" si="197"/>
        <v/>
      </c>
      <c r="N2648" s="3" t="str">
        <f t="shared" si="196"/>
        <v/>
      </c>
      <c r="O2648" s="6" t="str">
        <f t="shared" si="198"/>
        <v/>
      </c>
      <c r="P2648" s="7">
        <f ca="1">SUMIFS($N$2:$N2648,$B$2:$B2648,"&lt;&gt;"&amp;B2648)+SUM($Q$2:$Q2648)</f>
        <v>135.05500000000001</v>
      </c>
      <c r="R2648" t="b">
        <f>AND(ISNUMBER(FIND($E2648,Tables!$I$2)), ISNUMBER(FIND($D2648,Tables!$J$2)), $E2648&lt;&gt;"")</f>
        <v>0</v>
      </c>
    </row>
    <row r="2649" spans="1:18" x14ac:dyDescent="0.3">
      <c r="A2649">
        <f t="shared" si="195"/>
        <v>2632</v>
      </c>
      <c r="B2649" s="4"/>
      <c r="I2649" s="8"/>
      <c r="J2649" s="5"/>
      <c r="K2649" s="3"/>
      <c r="L2649" s="3" t="str">
        <f t="shared" si="197"/>
        <v/>
      </c>
      <c r="N2649" s="3" t="str">
        <f t="shared" si="196"/>
        <v/>
      </c>
      <c r="O2649" s="6" t="str">
        <f t="shared" si="198"/>
        <v/>
      </c>
      <c r="P2649" s="7">
        <f ca="1">SUMIFS($N$2:$N2649,$B$2:$B2649,"&lt;&gt;"&amp;B2649)+SUM($Q$2:$Q2649)</f>
        <v>135.05500000000001</v>
      </c>
      <c r="R2649" t="b">
        <f>AND(ISNUMBER(FIND($E2649,Tables!$I$2)), ISNUMBER(FIND($D2649,Tables!$J$2)), $E2649&lt;&gt;"")</f>
        <v>0</v>
      </c>
    </row>
    <row r="2650" spans="1:18" x14ac:dyDescent="0.3">
      <c r="A2650">
        <f t="shared" si="195"/>
        <v>2633</v>
      </c>
      <c r="B2650" s="4"/>
      <c r="I2650" s="8"/>
      <c r="J2650" s="5"/>
      <c r="K2650" s="3"/>
      <c r="L2650" s="3" t="str">
        <f t="shared" si="197"/>
        <v/>
      </c>
      <c r="N2650" s="3" t="str">
        <f t="shared" si="196"/>
        <v/>
      </c>
      <c r="O2650" s="6" t="str">
        <f t="shared" si="198"/>
        <v/>
      </c>
      <c r="P2650" s="7">
        <f ca="1">SUMIFS($N$2:$N2650,$B$2:$B2650,"&lt;&gt;"&amp;B2650)+SUM($Q$2:$Q2650)</f>
        <v>135.05500000000001</v>
      </c>
      <c r="R2650" t="b">
        <f>AND(ISNUMBER(FIND($E2650,Tables!$I$2)), ISNUMBER(FIND($D2650,Tables!$J$2)), $E2650&lt;&gt;"")</f>
        <v>0</v>
      </c>
    </row>
    <row r="2651" spans="1:18" x14ac:dyDescent="0.3">
      <c r="A2651">
        <f t="shared" si="195"/>
        <v>2634</v>
      </c>
      <c r="B2651" s="4"/>
      <c r="I2651" s="8"/>
      <c r="J2651" s="5"/>
      <c r="K2651" s="3"/>
      <c r="L2651" s="3" t="str">
        <f t="shared" si="197"/>
        <v/>
      </c>
      <c r="N2651" s="3" t="str">
        <f t="shared" si="196"/>
        <v/>
      </c>
      <c r="O2651" s="6" t="str">
        <f t="shared" si="198"/>
        <v/>
      </c>
      <c r="P2651" s="7">
        <f ca="1">SUMIFS($N$2:$N2651,$B$2:$B2651,"&lt;&gt;"&amp;B2651)+SUM($Q$2:$Q2651)</f>
        <v>135.05500000000001</v>
      </c>
      <c r="R2651" t="b">
        <f>AND(ISNUMBER(FIND($E2651,Tables!$I$2)), ISNUMBER(FIND($D2651,Tables!$J$2)), $E2651&lt;&gt;"")</f>
        <v>0</v>
      </c>
    </row>
    <row r="2652" spans="1:18" x14ac:dyDescent="0.3">
      <c r="A2652">
        <f t="shared" si="195"/>
        <v>2635</v>
      </c>
      <c r="B2652" s="4"/>
      <c r="I2652" s="8"/>
      <c r="J2652" s="5"/>
      <c r="K2652" s="3"/>
      <c r="L2652" s="3" t="str">
        <f t="shared" si="197"/>
        <v/>
      </c>
      <c r="N2652" s="3" t="str">
        <f t="shared" si="196"/>
        <v/>
      </c>
      <c r="O2652" s="6" t="str">
        <f t="shared" si="198"/>
        <v/>
      </c>
      <c r="P2652" s="7">
        <f ca="1">SUMIFS($N$2:$N2652,$B$2:$B2652,"&lt;&gt;"&amp;B2652)+SUM($Q$2:$Q2652)</f>
        <v>135.05500000000001</v>
      </c>
      <c r="R2652" t="b">
        <f>AND(ISNUMBER(FIND($E2652,Tables!$I$2)), ISNUMBER(FIND($D2652,Tables!$J$2)), $E2652&lt;&gt;"")</f>
        <v>0</v>
      </c>
    </row>
    <row r="2653" spans="1:18" x14ac:dyDescent="0.3">
      <c r="A2653">
        <f t="shared" si="195"/>
        <v>2636</v>
      </c>
      <c r="B2653" s="4"/>
      <c r="I2653" s="8"/>
      <c r="J2653" s="5"/>
      <c r="K2653" s="3"/>
      <c r="L2653" s="3" t="str">
        <f t="shared" si="197"/>
        <v/>
      </c>
      <c r="N2653" s="3" t="str">
        <f t="shared" si="196"/>
        <v/>
      </c>
      <c r="O2653" s="6" t="str">
        <f t="shared" si="198"/>
        <v/>
      </c>
      <c r="P2653" s="7">
        <f ca="1">SUMIFS($N$2:$N2653,$B$2:$B2653,"&lt;&gt;"&amp;B2653)+SUM($Q$2:$Q2653)</f>
        <v>135.05500000000001</v>
      </c>
      <c r="R2653" t="b">
        <f>AND(ISNUMBER(FIND($E2653,Tables!$I$2)), ISNUMBER(FIND($D2653,Tables!$J$2)), $E2653&lt;&gt;"")</f>
        <v>0</v>
      </c>
    </row>
    <row r="2654" spans="1:18" x14ac:dyDescent="0.3">
      <c r="A2654">
        <f t="shared" si="195"/>
        <v>2637</v>
      </c>
      <c r="B2654" s="4"/>
      <c r="I2654" s="8"/>
      <c r="J2654" s="5"/>
      <c r="K2654" s="3"/>
      <c r="L2654" s="3" t="str">
        <f t="shared" si="197"/>
        <v/>
      </c>
      <c r="N2654" s="3" t="str">
        <f t="shared" si="196"/>
        <v/>
      </c>
      <c r="O2654" s="6" t="str">
        <f t="shared" si="198"/>
        <v/>
      </c>
      <c r="P2654" s="7">
        <f ca="1">SUMIFS($N$2:$N2654,$B$2:$B2654,"&lt;&gt;"&amp;B2654)+SUM($Q$2:$Q2654)</f>
        <v>135.05500000000001</v>
      </c>
      <c r="R2654" t="b">
        <f>AND(ISNUMBER(FIND($E2654,Tables!$I$2)), ISNUMBER(FIND($D2654,Tables!$J$2)), $E2654&lt;&gt;"")</f>
        <v>0</v>
      </c>
    </row>
    <row r="2655" spans="1:18" x14ac:dyDescent="0.3">
      <c r="A2655">
        <f t="shared" si="195"/>
        <v>2638</v>
      </c>
      <c r="B2655" s="4"/>
      <c r="I2655" s="8"/>
      <c r="J2655" s="5"/>
      <c r="K2655" s="3"/>
      <c r="L2655" s="3" t="str">
        <f t="shared" si="197"/>
        <v/>
      </c>
      <c r="N2655" s="3" t="str">
        <f t="shared" si="196"/>
        <v/>
      </c>
      <c r="O2655" s="6" t="str">
        <f t="shared" si="198"/>
        <v/>
      </c>
      <c r="P2655" s="7">
        <f ca="1">SUMIFS($N$2:$N2655,$B$2:$B2655,"&lt;&gt;"&amp;B2655)+SUM($Q$2:$Q2655)</f>
        <v>135.05500000000001</v>
      </c>
      <c r="R2655" t="b">
        <f>AND(ISNUMBER(FIND($E2655,Tables!$I$2)), ISNUMBER(FIND($D2655,Tables!$J$2)), $E2655&lt;&gt;"")</f>
        <v>0</v>
      </c>
    </row>
    <row r="2656" spans="1:18" x14ac:dyDescent="0.3">
      <c r="A2656">
        <f t="shared" si="195"/>
        <v>2639</v>
      </c>
      <c r="B2656" s="4"/>
      <c r="I2656" s="8"/>
      <c r="J2656" s="5"/>
      <c r="K2656" s="3"/>
      <c r="L2656" s="3" t="str">
        <f t="shared" si="197"/>
        <v/>
      </c>
      <c r="N2656" s="3" t="str">
        <f t="shared" si="196"/>
        <v/>
      </c>
      <c r="O2656" s="6" t="str">
        <f t="shared" si="198"/>
        <v/>
      </c>
      <c r="P2656" s="7">
        <f ca="1">SUMIFS($N$2:$N2656,$B$2:$B2656,"&lt;&gt;"&amp;B2656)+SUM($Q$2:$Q2656)</f>
        <v>135.05500000000001</v>
      </c>
      <c r="R2656" t="b">
        <f>AND(ISNUMBER(FIND($E2656,Tables!$I$2)), ISNUMBER(FIND($D2656,Tables!$J$2)), $E2656&lt;&gt;"")</f>
        <v>0</v>
      </c>
    </row>
    <row r="2657" spans="1:18" x14ac:dyDescent="0.3">
      <c r="A2657">
        <f t="shared" si="195"/>
        <v>2640</v>
      </c>
      <c r="B2657" s="4"/>
      <c r="I2657" s="8"/>
      <c r="J2657" s="5"/>
      <c r="K2657" s="3"/>
      <c r="L2657" s="3" t="str">
        <f t="shared" si="197"/>
        <v/>
      </c>
      <c r="N2657" s="3" t="str">
        <f t="shared" si="196"/>
        <v/>
      </c>
      <c r="O2657" s="6" t="str">
        <f t="shared" si="198"/>
        <v/>
      </c>
      <c r="P2657" s="7">
        <f ca="1">SUMIFS($N$2:$N2657,$B$2:$B2657,"&lt;&gt;"&amp;B2657)+SUM($Q$2:$Q2657)</f>
        <v>135.05500000000001</v>
      </c>
      <c r="R2657" t="b">
        <f>AND(ISNUMBER(FIND($E2657,Tables!$I$2)), ISNUMBER(FIND($D2657,Tables!$J$2)), $E2657&lt;&gt;"")</f>
        <v>0</v>
      </c>
    </row>
    <row r="2658" spans="1:18" x14ac:dyDescent="0.3">
      <c r="A2658">
        <f t="shared" ref="A2658:A2721" si="199">IF(AND(B2658="", D2658&lt;&gt;""), A2657, A2657+1)</f>
        <v>2641</v>
      </c>
      <c r="B2658" s="4"/>
      <c r="I2658" s="8"/>
      <c r="J2658" s="5"/>
      <c r="K2658" s="3"/>
      <c r="L2658" s="3" t="str">
        <f t="shared" si="197"/>
        <v/>
      </c>
      <c r="N2658" s="3" t="str">
        <f t="shared" si="196"/>
        <v/>
      </c>
      <c r="O2658" s="6" t="str">
        <f t="shared" si="198"/>
        <v/>
      </c>
      <c r="P2658" s="7">
        <f ca="1">SUMIFS($N$2:$N2658,$B$2:$B2658,"&lt;&gt;"&amp;B2658)+SUM($Q$2:$Q2658)</f>
        <v>135.05500000000001</v>
      </c>
      <c r="R2658" t="b">
        <f>AND(ISNUMBER(FIND($E2658,Tables!$I$2)), ISNUMBER(FIND($D2658,Tables!$J$2)), $E2658&lt;&gt;"")</f>
        <v>0</v>
      </c>
    </row>
    <row r="2659" spans="1:18" x14ac:dyDescent="0.3">
      <c r="A2659">
        <f t="shared" si="199"/>
        <v>2642</v>
      </c>
      <c r="B2659" s="4"/>
      <c r="I2659" s="8"/>
      <c r="J2659" s="5"/>
      <c r="K2659" s="3"/>
      <c r="L2659" s="3" t="str">
        <f t="shared" si="197"/>
        <v/>
      </c>
      <c r="N2659" s="3" t="str">
        <f t="shared" si="196"/>
        <v/>
      </c>
      <c r="O2659" s="6" t="str">
        <f t="shared" si="198"/>
        <v/>
      </c>
      <c r="P2659" s="7">
        <f ca="1">SUMIFS($N$2:$N2659,$B$2:$B2659,"&lt;&gt;"&amp;B2659)+SUM($Q$2:$Q2659)</f>
        <v>135.05500000000001</v>
      </c>
      <c r="R2659" t="b">
        <f>AND(ISNUMBER(FIND($E2659,Tables!$I$2)), ISNUMBER(FIND($D2659,Tables!$J$2)), $E2659&lt;&gt;"")</f>
        <v>0</v>
      </c>
    </row>
    <row r="2660" spans="1:18" x14ac:dyDescent="0.3">
      <c r="A2660">
        <f t="shared" si="199"/>
        <v>2643</v>
      </c>
      <c r="B2660" s="4"/>
      <c r="I2660" s="8"/>
      <c r="J2660" s="5"/>
      <c r="K2660" s="3"/>
      <c r="L2660" s="3" t="str">
        <f t="shared" si="197"/>
        <v/>
      </c>
      <c r="N2660" s="3" t="str">
        <f t="shared" si="196"/>
        <v/>
      </c>
      <c r="O2660" s="6" t="str">
        <f t="shared" si="198"/>
        <v/>
      </c>
      <c r="P2660" s="7">
        <f ca="1">SUMIFS($N$2:$N2660,$B$2:$B2660,"&lt;&gt;"&amp;B2660)+SUM($Q$2:$Q2660)</f>
        <v>135.05500000000001</v>
      </c>
      <c r="R2660" t="b">
        <f>AND(ISNUMBER(FIND($E2660,Tables!$I$2)), ISNUMBER(FIND($D2660,Tables!$J$2)), $E2660&lt;&gt;"")</f>
        <v>0</v>
      </c>
    </row>
    <row r="2661" spans="1:18" x14ac:dyDescent="0.3">
      <c r="A2661">
        <f t="shared" si="199"/>
        <v>2644</v>
      </c>
      <c r="B2661" s="4"/>
      <c r="I2661" s="8"/>
      <c r="J2661" s="5"/>
      <c r="K2661" s="3"/>
      <c r="L2661" s="3" t="str">
        <f t="shared" si="197"/>
        <v/>
      </c>
      <c r="N2661" s="3" t="str">
        <f t="shared" si="196"/>
        <v/>
      </c>
      <c r="O2661" s="6" t="str">
        <f t="shared" si="198"/>
        <v/>
      </c>
      <c r="P2661" s="7">
        <f ca="1">SUMIFS($N$2:$N2661,$B$2:$B2661,"&lt;&gt;"&amp;B2661)+SUM($Q$2:$Q2661)</f>
        <v>135.05500000000001</v>
      </c>
      <c r="R2661" t="b">
        <f>AND(ISNUMBER(FIND($E2661,Tables!$I$2)), ISNUMBER(FIND($D2661,Tables!$J$2)), $E2661&lt;&gt;"")</f>
        <v>0</v>
      </c>
    </row>
    <row r="2662" spans="1:18" x14ac:dyDescent="0.3">
      <c r="A2662">
        <f t="shared" si="199"/>
        <v>2645</v>
      </c>
      <c r="B2662" s="4"/>
      <c r="I2662" s="8"/>
      <c r="J2662" s="5"/>
      <c r="K2662" s="3"/>
      <c r="L2662" s="3" t="str">
        <f t="shared" si="197"/>
        <v/>
      </c>
      <c r="N2662" s="3" t="str">
        <f t="shared" si="196"/>
        <v/>
      </c>
      <c r="O2662" s="6" t="str">
        <f t="shared" si="198"/>
        <v/>
      </c>
      <c r="P2662" s="7">
        <f ca="1">SUMIFS($N$2:$N2662,$B$2:$B2662,"&lt;&gt;"&amp;B2662)+SUM($Q$2:$Q2662)</f>
        <v>135.05500000000001</v>
      </c>
      <c r="R2662" t="b">
        <f>AND(ISNUMBER(FIND($E2662,Tables!$I$2)), ISNUMBER(FIND($D2662,Tables!$J$2)), $E2662&lt;&gt;"")</f>
        <v>0</v>
      </c>
    </row>
    <row r="2663" spans="1:18" x14ac:dyDescent="0.3">
      <c r="A2663">
        <f t="shared" si="199"/>
        <v>2646</v>
      </c>
      <c r="B2663" s="4"/>
      <c r="I2663" s="8"/>
      <c r="J2663" s="5"/>
      <c r="K2663" s="3"/>
      <c r="L2663" s="3" t="str">
        <f t="shared" si="197"/>
        <v/>
      </c>
      <c r="N2663" s="3" t="str">
        <f t="shared" si="196"/>
        <v/>
      </c>
      <c r="O2663" s="6" t="str">
        <f t="shared" si="198"/>
        <v/>
      </c>
      <c r="P2663" s="7">
        <f ca="1">SUMIFS($N$2:$N2663,$B$2:$B2663,"&lt;&gt;"&amp;B2663)+SUM($Q$2:$Q2663)</f>
        <v>135.05500000000001</v>
      </c>
      <c r="R2663" t="b">
        <f>AND(ISNUMBER(FIND($E2663,Tables!$I$2)), ISNUMBER(FIND($D2663,Tables!$J$2)), $E2663&lt;&gt;"")</f>
        <v>0</v>
      </c>
    </row>
    <row r="2664" spans="1:18" x14ac:dyDescent="0.3">
      <c r="A2664">
        <f t="shared" si="199"/>
        <v>2647</v>
      </c>
      <c r="B2664" s="4"/>
      <c r="I2664" s="8"/>
      <c r="J2664" s="5"/>
      <c r="K2664" s="3"/>
      <c r="L2664" s="3" t="str">
        <f t="shared" si="197"/>
        <v/>
      </c>
      <c r="N2664" s="3" t="str">
        <f t="shared" ref="N2664:N2717" si="200">IF(L2664 = "", "", IF(M2664="", "", IF(OR(M2664="Draw",M2664="NC"), 0, IF(M2664="win", L2664, -1*K2664))))</f>
        <v/>
      </c>
      <c r="O2664" s="6" t="str">
        <f t="shared" si="198"/>
        <v/>
      </c>
      <c r="P2664" s="7">
        <f ca="1">SUMIFS($N$2:$N2664,$B$2:$B2664,"&lt;&gt;"&amp;B2664)+SUM($Q$2:$Q2664)</f>
        <v>135.05500000000001</v>
      </c>
      <c r="R2664" t="b">
        <f>AND(ISNUMBER(FIND($E2664,Tables!$I$2)), ISNUMBER(FIND($D2664,Tables!$J$2)), $E2664&lt;&gt;"")</f>
        <v>0</v>
      </c>
    </row>
    <row r="2665" spans="1:18" x14ac:dyDescent="0.3">
      <c r="A2665">
        <f t="shared" si="199"/>
        <v>2648</v>
      </c>
      <c r="B2665" s="4"/>
      <c r="I2665" s="8"/>
      <c r="J2665" s="5"/>
      <c r="K2665" s="3"/>
      <c r="L2665" s="3" t="str">
        <f t="shared" si="197"/>
        <v/>
      </c>
      <c r="N2665" s="3" t="str">
        <f t="shared" si="200"/>
        <v/>
      </c>
      <c r="O2665" s="6" t="str">
        <f t="shared" si="198"/>
        <v/>
      </c>
      <c r="P2665" s="7">
        <f ca="1">SUMIFS($N$2:$N2665,$B$2:$B2665,"&lt;&gt;"&amp;B2665)+SUM($Q$2:$Q2665)</f>
        <v>135.05500000000001</v>
      </c>
      <c r="R2665" t="b">
        <f>AND(ISNUMBER(FIND($E2665,Tables!$I$2)), ISNUMBER(FIND($D2665,Tables!$J$2)), $E2665&lt;&gt;"")</f>
        <v>0</v>
      </c>
    </row>
    <row r="2666" spans="1:18" x14ac:dyDescent="0.3">
      <c r="A2666">
        <f t="shared" si="199"/>
        <v>2649</v>
      </c>
      <c r="B2666" s="4"/>
      <c r="I2666" s="8"/>
      <c r="J2666" s="5"/>
      <c r="K2666" s="3"/>
      <c r="L2666" s="3" t="str">
        <f t="shared" si="197"/>
        <v/>
      </c>
      <c r="N2666" s="3" t="str">
        <f t="shared" si="200"/>
        <v/>
      </c>
      <c r="O2666" s="6" t="str">
        <f t="shared" si="198"/>
        <v/>
      </c>
      <c r="P2666" s="7">
        <f ca="1">SUMIFS($N$2:$N2666,$B$2:$B2666,"&lt;&gt;"&amp;B2666)+SUM($Q$2:$Q2666)</f>
        <v>135.05500000000001</v>
      </c>
      <c r="R2666" t="b">
        <f>AND(ISNUMBER(FIND($E2666,Tables!$I$2)), ISNUMBER(FIND($D2666,Tables!$J$2)), $E2666&lt;&gt;"")</f>
        <v>0</v>
      </c>
    </row>
    <row r="2667" spans="1:18" x14ac:dyDescent="0.3">
      <c r="A2667">
        <f t="shared" si="199"/>
        <v>2650</v>
      </c>
      <c r="B2667" s="4"/>
      <c r="I2667" s="8"/>
      <c r="J2667" s="5"/>
      <c r="K2667" s="3"/>
      <c r="L2667" s="3" t="str">
        <f t="shared" si="197"/>
        <v/>
      </c>
      <c r="N2667" s="3" t="str">
        <f t="shared" si="200"/>
        <v/>
      </c>
      <c r="O2667" s="6" t="str">
        <f t="shared" si="198"/>
        <v/>
      </c>
      <c r="P2667" s="7">
        <f ca="1">SUMIFS($N$2:$N2667,$B$2:$B2667,"&lt;&gt;"&amp;B2667)+SUM($Q$2:$Q2667)</f>
        <v>135.05500000000001</v>
      </c>
      <c r="R2667" t="b">
        <f>AND(ISNUMBER(FIND($E2667,Tables!$I$2)), ISNUMBER(FIND($D2667,Tables!$J$2)), $E2667&lt;&gt;"")</f>
        <v>0</v>
      </c>
    </row>
    <row r="2668" spans="1:18" x14ac:dyDescent="0.3">
      <c r="A2668">
        <f t="shared" si="199"/>
        <v>2651</v>
      </c>
      <c r="B2668" s="4"/>
      <c r="I2668" s="8"/>
      <c r="J2668" s="5"/>
      <c r="K2668" s="3"/>
      <c r="L2668" s="3" t="str">
        <f t="shared" si="197"/>
        <v/>
      </c>
      <c r="N2668" s="3" t="str">
        <f t="shared" si="200"/>
        <v/>
      </c>
      <c r="O2668" s="6" t="str">
        <f t="shared" si="198"/>
        <v/>
      </c>
      <c r="P2668" s="7">
        <f ca="1">SUMIFS($N$2:$N2668,$B$2:$B2668,"&lt;&gt;"&amp;B2668)+SUM($Q$2:$Q2668)</f>
        <v>135.05500000000001</v>
      </c>
      <c r="R2668" t="b">
        <f>AND(ISNUMBER(FIND($E2668,Tables!$I$2)), ISNUMBER(FIND($D2668,Tables!$J$2)), $E2668&lt;&gt;"")</f>
        <v>0</v>
      </c>
    </row>
    <row r="2669" spans="1:18" x14ac:dyDescent="0.3">
      <c r="A2669">
        <f t="shared" si="199"/>
        <v>2652</v>
      </c>
      <c r="B2669" s="4"/>
      <c r="I2669" s="8"/>
      <c r="J2669" s="5"/>
      <c r="K2669" s="3"/>
      <c r="L2669" s="3" t="str">
        <f t="shared" si="197"/>
        <v/>
      </c>
      <c r="N2669" s="3" t="str">
        <f t="shared" si="200"/>
        <v/>
      </c>
      <c r="O2669" s="6" t="str">
        <f t="shared" si="198"/>
        <v/>
      </c>
      <c r="P2669" s="7">
        <f ca="1">SUMIFS($N$2:$N2669,$B$2:$B2669,"&lt;&gt;"&amp;B2669)+SUM($Q$2:$Q2669)</f>
        <v>135.05500000000001</v>
      </c>
      <c r="R2669" t="b">
        <f>AND(ISNUMBER(FIND($E2669,Tables!$I$2)), ISNUMBER(FIND($D2669,Tables!$J$2)), $E2669&lt;&gt;"")</f>
        <v>0</v>
      </c>
    </row>
    <row r="2670" spans="1:18" x14ac:dyDescent="0.3">
      <c r="A2670">
        <f t="shared" si="199"/>
        <v>2653</v>
      </c>
      <c r="B2670" s="4"/>
      <c r="I2670" s="8"/>
      <c r="J2670" s="5"/>
      <c r="K2670" s="3"/>
      <c r="L2670" s="3" t="str">
        <f t="shared" si="197"/>
        <v/>
      </c>
      <c r="N2670" s="3" t="str">
        <f t="shared" si="200"/>
        <v/>
      </c>
      <c r="O2670" s="6" t="str">
        <f t="shared" si="198"/>
        <v/>
      </c>
      <c r="P2670" s="7">
        <f ca="1">SUMIFS($N$2:$N2670,$B$2:$B2670,"&lt;&gt;"&amp;B2670)+SUM($Q$2:$Q2670)</f>
        <v>135.05500000000001</v>
      </c>
      <c r="R2670" t="b">
        <f>AND(ISNUMBER(FIND($E2670,Tables!$I$2)), ISNUMBER(FIND($D2670,Tables!$J$2)), $E2670&lt;&gt;"")</f>
        <v>0</v>
      </c>
    </row>
    <row r="2671" spans="1:18" x14ac:dyDescent="0.3">
      <c r="A2671">
        <f t="shared" si="199"/>
        <v>2654</v>
      </c>
      <c r="B2671" s="4"/>
      <c r="I2671" s="8"/>
      <c r="J2671" s="5"/>
      <c r="K2671" s="3"/>
      <c r="L2671" s="3" t="str">
        <f t="shared" si="197"/>
        <v/>
      </c>
      <c r="N2671" s="3" t="str">
        <f t="shared" si="200"/>
        <v/>
      </c>
      <c r="O2671" s="6" t="str">
        <f t="shared" si="198"/>
        <v/>
      </c>
      <c r="P2671" s="7">
        <f ca="1">SUMIFS($N$2:$N2671,$B$2:$B2671,"&lt;&gt;"&amp;B2671)+SUM($Q$2:$Q2671)</f>
        <v>135.05500000000001</v>
      </c>
      <c r="R2671" t="b">
        <f>AND(ISNUMBER(FIND($E2671,Tables!$I$2)), ISNUMBER(FIND($D2671,Tables!$J$2)), $E2671&lt;&gt;"")</f>
        <v>0</v>
      </c>
    </row>
    <row r="2672" spans="1:18" x14ac:dyDescent="0.3">
      <c r="A2672">
        <f t="shared" si="199"/>
        <v>2655</v>
      </c>
      <c r="B2672" s="4"/>
      <c r="I2672" s="8"/>
      <c r="J2672" s="5"/>
      <c r="K2672" s="3"/>
      <c r="L2672" s="3" t="str">
        <f t="shared" si="197"/>
        <v/>
      </c>
      <c r="N2672" s="3" t="str">
        <f t="shared" si="200"/>
        <v/>
      </c>
      <c r="O2672" s="6" t="str">
        <f t="shared" si="198"/>
        <v/>
      </c>
      <c r="P2672" s="7">
        <f ca="1">SUMIFS($N$2:$N2672,$B$2:$B2672,"&lt;&gt;"&amp;B2672)+SUM($Q$2:$Q2672)</f>
        <v>135.05500000000001</v>
      </c>
      <c r="R2672" t="b">
        <f>AND(ISNUMBER(FIND($E2672,Tables!$I$2)), ISNUMBER(FIND($D2672,Tables!$J$2)), $E2672&lt;&gt;"")</f>
        <v>0</v>
      </c>
    </row>
    <row r="2673" spans="1:18" x14ac:dyDescent="0.3">
      <c r="A2673">
        <f t="shared" si="199"/>
        <v>2656</v>
      </c>
      <c r="B2673" s="4"/>
      <c r="I2673" s="8"/>
      <c r="J2673" s="5"/>
      <c r="K2673" s="3"/>
      <c r="L2673" s="3" t="str">
        <f t="shared" si="197"/>
        <v/>
      </c>
      <c r="N2673" s="3" t="str">
        <f t="shared" si="200"/>
        <v/>
      </c>
      <c r="O2673" s="6" t="str">
        <f t="shared" si="198"/>
        <v/>
      </c>
      <c r="P2673" s="7">
        <f ca="1">SUMIFS($N$2:$N2673,$B$2:$B2673,"&lt;&gt;"&amp;B2673)+SUM($Q$2:$Q2673)</f>
        <v>135.05500000000001</v>
      </c>
      <c r="R2673" t="b">
        <f>AND(ISNUMBER(FIND($E2673,Tables!$I$2)), ISNUMBER(FIND($D2673,Tables!$J$2)), $E2673&lt;&gt;"")</f>
        <v>0</v>
      </c>
    </row>
    <row r="2674" spans="1:18" x14ac:dyDescent="0.3">
      <c r="A2674">
        <f t="shared" si="199"/>
        <v>2657</v>
      </c>
      <c r="B2674" s="4"/>
      <c r="I2674" s="8"/>
      <c r="J2674" s="5"/>
      <c r="K2674" s="3"/>
      <c r="L2674" s="3" t="str">
        <f t="shared" ref="L2674:L2717" si="201">IFERROR(IF(K2674=0, "", IF(I2674&gt;0, K2674/100*I2674,K2674/I2674*-100)), "")</f>
        <v/>
      </c>
      <c r="N2674" s="3" t="str">
        <f t="shared" si="200"/>
        <v/>
      </c>
      <c r="O2674" s="6" t="str">
        <f t="shared" si="198"/>
        <v/>
      </c>
      <c r="P2674" s="7">
        <f ca="1">SUMIFS($N$2:$N2674,$B$2:$B2674,"&lt;&gt;"&amp;B2674)+SUM($Q$2:$Q2674)</f>
        <v>135.05500000000001</v>
      </c>
      <c r="R2674" t="b">
        <f>AND(ISNUMBER(FIND($E2674,Tables!$I$2)), ISNUMBER(FIND($D2674,Tables!$J$2)), $E2674&lt;&gt;"")</f>
        <v>0</v>
      </c>
    </row>
    <row r="2675" spans="1:18" x14ac:dyDescent="0.3">
      <c r="A2675">
        <f t="shared" si="199"/>
        <v>2658</v>
      </c>
      <c r="B2675" s="4"/>
      <c r="I2675" s="8"/>
      <c r="J2675" s="5"/>
      <c r="K2675" s="3"/>
      <c r="L2675" s="3" t="str">
        <f t="shared" si="201"/>
        <v/>
      </c>
      <c r="N2675" s="3" t="str">
        <f t="shared" si="200"/>
        <v/>
      </c>
      <c r="O2675" s="6" t="str">
        <f t="shared" si="198"/>
        <v/>
      </c>
      <c r="P2675" s="7">
        <f ca="1">SUMIFS($N$2:$N2675,$B$2:$B2675,"&lt;&gt;"&amp;B2675)+SUM($Q$2:$Q2675)</f>
        <v>135.05500000000001</v>
      </c>
      <c r="R2675" t="b">
        <f>AND(ISNUMBER(FIND($E2675,Tables!$I$2)), ISNUMBER(FIND($D2675,Tables!$J$2)), $E2675&lt;&gt;"")</f>
        <v>0</v>
      </c>
    </row>
    <row r="2676" spans="1:18" x14ac:dyDescent="0.3">
      <c r="A2676">
        <f t="shared" si="199"/>
        <v>2659</v>
      </c>
      <c r="B2676" s="4"/>
      <c r="I2676" s="8"/>
      <c r="J2676" s="5"/>
      <c r="K2676" s="3"/>
      <c r="L2676" s="3" t="str">
        <f t="shared" si="201"/>
        <v/>
      </c>
      <c r="N2676" s="3" t="str">
        <f t="shared" si="200"/>
        <v/>
      </c>
      <c r="O2676" s="6" t="str">
        <f t="shared" si="198"/>
        <v/>
      </c>
      <c r="P2676" s="7">
        <f ca="1">SUMIFS($N$2:$N2676,$B$2:$B2676,"&lt;&gt;"&amp;B2676)+SUM($Q$2:$Q2676)</f>
        <v>135.05500000000001</v>
      </c>
      <c r="R2676" t="b">
        <f>AND(ISNUMBER(FIND($E2676,Tables!$I$2)), ISNUMBER(FIND($D2676,Tables!$J$2)), $E2676&lt;&gt;"")</f>
        <v>0</v>
      </c>
    </row>
    <row r="2677" spans="1:18" x14ac:dyDescent="0.3">
      <c r="A2677">
        <f t="shared" si="199"/>
        <v>2660</v>
      </c>
      <c r="B2677" s="4"/>
      <c r="I2677" s="8"/>
      <c r="J2677" s="5"/>
      <c r="K2677" s="3"/>
      <c r="L2677" s="3" t="str">
        <f t="shared" si="201"/>
        <v/>
      </c>
      <c r="N2677" s="3" t="str">
        <f t="shared" si="200"/>
        <v/>
      </c>
      <c r="O2677" s="6" t="str">
        <f t="shared" si="198"/>
        <v/>
      </c>
      <c r="P2677" s="7">
        <f ca="1">SUMIFS($N$2:$N2677,$B$2:$B2677,"&lt;&gt;"&amp;B2677)+SUM($Q$2:$Q2677)</f>
        <v>135.05500000000001</v>
      </c>
      <c r="R2677" t="b">
        <f>AND(ISNUMBER(FIND($E2677,Tables!$I$2)), ISNUMBER(FIND($D2677,Tables!$J$2)), $E2677&lt;&gt;"")</f>
        <v>0</v>
      </c>
    </row>
    <row r="2678" spans="1:18" x14ac:dyDescent="0.3">
      <c r="A2678">
        <f t="shared" si="199"/>
        <v>2661</v>
      </c>
      <c r="B2678" s="4"/>
      <c r="I2678" s="8"/>
      <c r="J2678" s="5"/>
      <c r="K2678" s="3"/>
      <c r="L2678" s="3" t="str">
        <f t="shared" si="201"/>
        <v/>
      </c>
      <c r="N2678" s="3" t="str">
        <f t="shared" si="200"/>
        <v/>
      </c>
      <c r="O2678" s="6" t="str">
        <f t="shared" si="198"/>
        <v/>
      </c>
      <c r="P2678" s="7">
        <f ca="1">SUMIFS($N$2:$N2678,$B$2:$B2678,"&lt;&gt;"&amp;B2678)+SUM($Q$2:$Q2678)</f>
        <v>135.05500000000001</v>
      </c>
      <c r="R2678" t="b">
        <f>AND(ISNUMBER(FIND($E2678,Tables!$I$2)), ISNUMBER(FIND($D2678,Tables!$J$2)), $E2678&lt;&gt;"")</f>
        <v>0</v>
      </c>
    </row>
    <row r="2679" spans="1:18" x14ac:dyDescent="0.3">
      <c r="A2679">
        <f t="shared" si="199"/>
        <v>2662</v>
      </c>
      <c r="B2679" s="4"/>
      <c r="I2679" s="8"/>
      <c r="J2679" s="5"/>
      <c r="K2679" s="3"/>
      <c r="L2679" s="3" t="str">
        <f t="shared" si="201"/>
        <v/>
      </c>
      <c r="N2679" s="3" t="str">
        <f t="shared" si="200"/>
        <v/>
      </c>
      <c r="O2679" s="6" t="str">
        <f t="shared" si="198"/>
        <v/>
      </c>
      <c r="P2679" s="7">
        <f ca="1">SUMIFS($N$2:$N2679,$B$2:$B2679,"&lt;&gt;"&amp;B2679)+SUM($Q$2:$Q2679)</f>
        <v>135.05500000000001</v>
      </c>
      <c r="R2679" t="b">
        <f>AND(ISNUMBER(FIND($E2679,Tables!$I$2)), ISNUMBER(FIND($D2679,Tables!$J$2)), $E2679&lt;&gt;"")</f>
        <v>0</v>
      </c>
    </row>
    <row r="2680" spans="1:18" x14ac:dyDescent="0.3">
      <c r="A2680">
        <f t="shared" si="199"/>
        <v>2663</v>
      </c>
      <c r="B2680" s="4"/>
      <c r="I2680" s="8"/>
      <c r="J2680" s="5"/>
      <c r="K2680" s="3"/>
      <c r="L2680" s="3" t="str">
        <f t="shared" si="201"/>
        <v/>
      </c>
      <c r="N2680" s="3" t="str">
        <f t="shared" si="200"/>
        <v/>
      </c>
      <c r="O2680" s="6" t="str">
        <f t="shared" si="198"/>
        <v/>
      </c>
      <c r="P2680" s="7">
        <f ca="1">SUMIFS($N$2:$N2680,$B$2:$B2680,"&lt;&gt;"&amp;B2680)+SUM($Q$2:$Q2680)</f>
        <v>135.05500000000001</v>
      </c>
      <c r="R2680" t="b">
        <f>AND(ISNUMBER(FIND($E2680,Tables!$I$2)), ISNUMBER(FIND($D2680,Tables!$J$2)), $E2680&lt;&gt;"")</f>
        <v>0</v>
      </c>
    </row>
    <row r="2681" spans="1:18" x14ac:dyDescent="0.3">
      <c r="A2681">
        <f t="shared" si="199"/>
        <v>2664</v>
      </c>
      <c r="B2681" s="4"/>
      <c r="I2681" s="8"/>
      <c r="J2681" s="5"/>
      <c r="K2681" s="3"/>
      <c r="L2681" s="3" t="str">
        <f t="shared" si="201"/>
        <v/>
      </c>
      <c r="N2681" s="3" t="str">
        <f t="shared" si="200"/>
        <v/>
      </c>
      <c r="O2681" s="6" t="str">
        <f t="shared" si="198"/>
        <v/>
      </c>
      <c r="P2681" s="7">
        <f ca="1">SUMIFS($N$2:$N2681,$B$2:$B2681,"&lt;&gt;"&amp;B2681)+SUM($Q$2:$Q2681)</f>
        <v>135.05500000000001</v>
      </c>
      <c r="R2681" t="b">
        <f>AND(ISNUMBER(FIND($E2681,Tables!$I$2)), ISNUMBER(FIND($D2681,Tables!$J$2)), $E2681&lt;&gt;"")</f>
        <v>0</v>
      </c>
    </row>
    <row r="2682" spans="1:18" x14ac:dyDescent="0.3">
      <c r="A2682">
        <f t="shared" si="199"/>
        <v>2665</v>
      </c>
      <c r="B2682" s="4"/>
      <c r="I2682" s="8"/>
      <c r="J2682" s="5"/>
      <c r="K2682" s="3"/>
      <c r="L2682" s="3" t="str">
        <f t="shared" si="201"/>
        <v/>
      </c>
      <c r="N2682" s="3" t="str">
        <f t="shared" si="200"/>
        <v/>
      </c>
      <c r="O2682" s="6" t="str">
        <f t="shared" si="198"/>
        <v/>
      </c>
      <c r="P2682" s="7">
        <f ca="1">SUMIFS($N$2:$N2682,$B$2:$B2682,"&lt;&gt;"&amp;B2682)+SUM($Q$2:$Q2682)</f>
        <v>135.05500000000001</v>
      </c>
      <c r="R2682" t="b">
        <f>AND(ISNUMBER(FIND($E2682,Tables!$I$2)), ISNUMBER(FIND($D2682,Tables!$J$2)), $E2682&lt;&gt;"")</f>
        <v>0</v>
      </c>
    </row>
    <row r="2683" spans="1:18" x14ac:dyDescent="0.3">
      <c r="A2683">
        <f t="shared" si="199"/>
        <v>2666</v>
      </c>
      <c r="B2683" s="4"/>
      <c r="I2683" s="8"/>
      <c r="J2683" s="5"/>
      <c r="K2683" s="3"/>
      <c r="L2683" s="3" t="str">
        <f t="shared" si="201"/>
        <v/>
      </c>
      <c r="N2683" s="3" t="str">
        <f t="shared" si="200"/>
        <v/>
      </c>
      <c r="O2683" s="6" t="str">
        <f t="shared" si="198"/>
        <v/>
      </c>
      <c r="P2683" s="7">
        <f ca="1">SUMIFS($N$2:$N2683,$B$2:$B2683,"&lt;&gt;"&amp;B2683)+SUM($Q$2:$Q2683)</f>
        <v>135.05500000000001</v>
      </c>
      <c r="R2683" t="b">
        <f>AND(ISNUMBER(FIND($E2683,Tables!$I$2)), ISNUMBER(FIND($D2683,Tables!$J$2)), $E2683&lt;&gt;"")</f>
        <v>0</v>
      </c>
    </row>
    <row r="2684" spans="1:18" x14ac:dyDescent="0.3">
      <c r="A2684">
        <f t="shared" si="199"/>
        <v>2667</v>
      </c>
      <c r="B2684" s="4"/>
      <c r="I2684" s="8"/>
      <c r="J2684" s="5"/>
      <c r="K2684" s="3"/>
      <c r="L2684" s="3" t="str">
        <f t="shared" si="201"/>
        <v/>
      </c>
      <c r="N2684" s="3" t="str">
        <f t="shared" si="200"/>
        <v/>
      </c>
      <c r="O2684" s="6" t="str">
        <f t="shared" si="198"/>
        <v/>
      </c>
      <c r="P2684" s="7">
        <f ca="1">SUMIFS($N$2:$N2684,$B$2:$B2684,"&lt;&gt;"&amp;B2684)+SUM($Q$2:$Q2684)</f>
        <v>135.05500000000001</v>
      </c>
      <c r="R2684" t="b">
        <f>AND(ISNUMBER(FIND($E2684,Tables!$I$2)), ISNUMBER(FIND($D2684,Tables!$J$2)), $E2684&lt;&gt;"")</f>
        <v>0</v>
      </c>
    </row>
    <row r="2685" spans="1:18" x14ac:dyDescent="0.3">
      <c r="A2685">
        <f t="shared" si="199"/>
        <v>2668</v>
      </c>
      <c r="B2685" s="4"/>
      <c r="I2685" s="8"/>
      <c r="J2685" s="5"/>
      <c r="K2685" s="3"/>
      <c r="L2685" s="3" t="str">
        <f t="shared" si="201"/>
        <v/>
      </c>
      <c r="N2685" s="3" t="str">
        <f t="shared" si="200"/>
        <v/>
      </c>
      <c r="O2685" s="6" t="str">
        <f t="shared" si="198"/>
        <v/>
      </c>
      <c r="P2685" s="7">
        <f ca="1">SUMIFS($N$2:$N2685,$B$2:$B2685,"&lt;&gt;"&amp;B2685)+SUM($Q$2:$Q2685)</f>
        <v>135.05500000000001</v>
      </c>
      <c r="R2685" t="b">
        <f>AND(ISNUMBER(FIND($E2685,Tables!$I$2)), ISNUMBER(FIND($D2685,Tables!$J$2)), $E2685&lt;&gt;"")</f>
        <v>0</v>
      </c>
    </row>
    <row r="2686" spans="1:18" x14ac:dyDescent="0.3">
      <c r="A2686">
        <f t="shared" si="199"/>
        <v>2669</v>
      </c>
      <c r="B2686" s="4"/>
      <c r="I2686" s="8"/>
      <c r="J2686" s="5"/>
      <c r="K2686" s="3"/>
      <c r="L2686" s="3" t="str">
        <f t="shared" si="201"/>
        <v/>
      </c>
      <c r="N2686" s="3" t="str">
        <f t="shared" si="200"/>
        <v/>
      </c>
      <c r="O2686" s="6" t="str">
        <f t="shared" si="198"/>
        <v/>
      </c>
      <c r="P2686" s="7">
        <f ca="1">SUMIFS($N$2:$N2686,$B$2:$B2686,"&lt;&gt;"&amp;B2686)+SUM($Q$2:$Q2686)</f>
        <v>135.05500000000001</v>
      </c>
      <c r="R2686" t="b">
        <f>AND(ISNUMBER(FIND($E2686,Tables!$I$2)), ISNUMBER(FIND($D2686,Tables!$J$2)), $E2686&lt;&gt;"")</f>
        <v>0</v>
      </c>
    </row>
    <row r="2687" spans="1:18" x14ac:dyDescent="0.3">
      <c r="A2687">
        <f t="shared" si="199"/>
        <v>2670</v>
      </c>
      <c r="B2687" s="4"/>
      <c r="I2687" s="8"/>
      <c r="J2687" s="5"/>
      <c r="K2687" s="3"/>
      <c r="L2687" s="3" t="str">
        <f t="shared" si="201"/>
        <v/>
      </c>
      <c r="N2687" s="3" t="str">
        <f t="shared" si="200"/>
        <v/>
      </c>
      <c r="O2687" s="6" t="str">
        <f t="shared" si="198"/>
        <v/>
      </c>
      <c r="P2687" s="7">
        <f ca="1">SUMIFS($N$2:$N2687,$B$2:$B2687,"&lt;&gt;"&amp;B2687)+SUM($Q$2:$Q2687)</f>
        <v>135.05500000000001</v>
      </c>
      <c r="R2687" t="b">
        <f>AND(ISNUMBER(FIND($E2687,Tables!$I$2)), ISNUMBER(FIND($D2687,Tables!$J$2)), $E2687&lt;&gt;"")</f>
        <v>0</v>
      </c>
    </row>
    <row r="2688" spans="1:18" x14ac:dyDescent="0.3">
      <c r="A2688">
        <f t="shared" si="199"/>
        <v>2671</v>
      </c>
      <c r="B2688" s="4"/>
      <c r="I2688" s="8"/>
      <c r="J2688" s="5"/>
      <c r="K2688" s="3"/>
      <c r="L2688" s="3" t="str">
        <f t="shared" si="201"/>
        <v/>
      </c>
      <c r="N2688" s="3" t="str">
        <f t="shared" si="200"/>
        <v/>
      </c>
      <c r="O2688" s="6" t="str">
        <f t="shared" si="198"/>
        <v/>
      </c>
      <c r="P2688" s="7">
        <f ca="1">SUMIFS($N$2:$N2688,$B$2:$B2688,"&lt;&gt;"&amp;B2688)+SUM($Q$2:$Q2688)</f>
        <v>135.05500000000001</v>
      </c>
      <c r="R2688" t="b">
        <f>AND(ISNUMBER(FIND($E2688,Tables!$I$2)), ISNUMBER(FIND($D2688,Tables!$J$2)), $E2688&lt;&gt;"")</f>
        <v>0</v>
      </c>
    </row>
    <row r="2689" spans="1:18" x14ac:dyDescent="0.3">
      <c r="A2689">
        <f t="shared" si="199"/>
        <v>2672</v>
      </c>
      <c r="B2689" s="4"/>
      <c r="I2689" s="8"/>
      <c r="J2689" s="5"/>
      <c r="K2689" s="3"/>
      <c r="L2689" s="3" t="str">
        <f t="shared" si="201"/>
        <v/>
      </c>
      <c r="N2689" s="3" t="str">
        <f t="shared" si="200"/>
        <v/>
      </c>
      <c r="O2689" s="6" t="str">
        <f t="shared" si="198"/>
        <v/>
      </c>
      <c r="P2689" s="7">
        <f ca="1">SUMIFS($N$2:$N2689,$B$2:$B2689,"&lt;&gt;"&amp;B2689)+SUM($Q$2:$Q2689)</f>
        <v>135.05500000000001</v>
      </c>
      <c r="R2689" t="b">
        <f>AND(ISNUMBER(FIND($E2689,Tables!$I$2)), ISNUMBER(FIND($D2689,Tables!$J$2)), $E2689&lt;&gt;"")</f>
        <v>0</v>
      </c>
    </row>
    <row r="2690" spans="1:18" x14ac:dyDescent="0.3">
      <c r="A2690">
        <f t="shared" si="199"/>
        <v>2673</v>
      </c>
      <c r="B2690" s="4"/>
      <c r="I2690" s="8"/>
      <c r="J2690" s="5"/>
      <c r="K2690" s="3"/>
      <c r="L2690" s="3" t="str">
        <f t="shared" si="201"/>
        <v/>
      </c>
      <c r="N2690" s="3" t="str">
        <f t="shared" si="200"/>
        <v/>
      </c>
      <c r="O2690" s="6" t="str">
        <f t="shared" ref="O2690:O2717" si="202">IFERROR(K2690/VLOOKUP(_xlfn.MINIFS(A:A,B:B,B2690,C:C,C2690),A:P,16),"")</f>
        <v/>
      </c>
      <c r="P2690" s="7">
        <f ca="1">SUMIFS($N$2:$N2690,$B$2:$B2690,"&lt;&gt;"&amp;B2690)+SUM($Q$2:$Q2690)</f>
        <v>135.05500000000001</v>
      </c>
      <c r="R2690" t="b">
        <f>AND(ISNUMBER(FIND($E2690,Tables!$I$2)), ISNUMBER(FIND($D2690,Tables!$J$2)), $E2690&lt;&gt;"")</f>
        <v>0</v>
      </c>
    </row>
    <row r="2691" spans="1:18" x14ac:dyDescent="0.3">
      <c r="A2691">
        <f t="shared" si="199"/>
        <v>2674</v>
      </c>
      <c r="B2691" s="4"/>
      <c r="I2691" s="8"/>
      <c r="J2691" s="5"/>
      <c r="K2691" s="3"/>
      <c r="L2691" s="3" t="str">
        <f t="shared" si="201"/>
        <v/>
      </c>
      <c r="N2691" s="3" t="str">
        <f t="shared" si="200"/>
        <v/>
      </c>
      <c r="O2691" s="6" t="str">
        <f t="shared" si="202"/>
        <v/>
      </c>
      <c r="P2691" s="7">
        <f ca="1">SUMIFS($N$2:$N2691,$B$2:$B2691,"&lt;&gt;"&amp;B2691)+SUM($Q$2:$Q2691)</f>
        <v>135.05500000000001</v>
      </c>
      <c r="R2691" t="b">
        <f>AND(ISNUMBER(FIND($E2691,Tables!$I$2)), ISNUMBER(FIND($D2691,Tables!$J$2)), $E2691&lt;&gt;"")</f>
        <v>0</v>
      </c>
    </row>
    <row r="2692" spans="1:18" x14ac:dyDescent="0.3">
      <c r="A2692">
        <f t="shared" si="199"/>
        <v>2675</v>
      </c>
      <c r="B2692" s="4"/>
      <c r="I2692" s="8"/>
      <c r="J2692" s="5"/>
      <c r="K2692" s="3"/>
      <c r="L2692" s="3" t="str">
        <f t="shared" si="201"/>
        <v/>
      </c>
      <c r="N2692" s="3" t="str">
        <f t="shared" si="200"/>
        <v/>
      </c>
      <c r="O2692" s="6" t="str">
        <f t="shared" si="202"/>
        <v/>
      </c>
      <c r="P2692" s="7">
        <f ca="1">SUMIFS($N$2:$N2692,$B$2:$B2692,"&lt;&gt;"&amp;B2692)+SUM($Q$2:$Q2692)</f>
        <v>135.05500000000001</v>
      </c>
      <c r="R2692" t="b">
        <f>AND(ISNUMBER(FIND($E2692,Tables!$I$2)), ISNUMBER(FIND($D2692,Tables!$J$2)), $E2692&lt;&gt;"")</f>
        <v>0</v>
      </c>
    </row>
    <row r="2693" spans="1:18" x14ac:dyDescent="0.3">
      <c r="A2693">
        <f t="shared" si="199"/>
        <v>2676</v>
      </c>
      <c r="B2693" s="4"/>
      <c r="I2693" s="8"/>
      <c r="J2693" s="5"/>
      <c r="K2693" s="3"/>
      <c r="L2693" s="3" t="str">
        <f t="shared" si="201"/>
        <v/>
      </c>
      <c r="N2693" s="3" t="str">
        <f t="shared" si="200"/>
        <v/>
      </c>
      <c r="O2693" s="6" t="str">
        <f t="shared" si="202"/>
        <v/>
      </c>
      <c r="P2693" s="7">
        <f ca="1">SUMIFS($N$2:$N2693,$B$2:$B2693,"&lt;&gt;"&amp;B2693)+SUM($Q$2:$Q2693)</f>
        <v>135.05500000000001</v>
      </c>
      <c r="R2693" t="b">
        <f>AND(ISNUMBER(FIND($E2693,Tables!$I$2)), ISNUMBER(FIND($D2693,Tables!$J$2)), $E2693&lt;&gt;"")</f>
        <v>0</v>
      </c>
    </row>
    <row r="2694" spans="1:18" x14ac:dyDescent="0.3">
      <c r="A2694">
        <f t="shared" si="199"/>
        <v>2677</v>
      </c>
      <c r="B2694" s="4"/>
      <c r="I2694" s="8"/>
      <c r="J2694" s="5"/>
      <c r="K2694" s="3"/>
      <c r="L2694" s="3" t="str">
        <f t="shared" si="201"/>
        <v/>
      </c>
      <c r="N2694" s="3" t="str">
        <f t="shared" si="200"/>
        <v/>
      </c>
      <c r="O2694" s="6" t="str">
        <f t="shared" si="202"/>
        <v/>
      </c>
      <c r="P2694" s="7">
        <f ca="1">SUMIFS($N$2:$N2694,$B$2:$B2694,"&lt;&gt;"&amp;B2694)+SUM($Q$2:$Q2694)</f>
        <v>135.05500000000001</v>
      </c>
      <c r="R2694" t="b">
        <f>AND(ISNUMBER(FIND($E2694,Tables!$I$2)), ISNUMBER(FIND($D2694,Tables!$J$2)), $E2694&lt;&gt;"")</f>
        <v>0</v>
      </c>
    </row>
    <row r="2695" spans="1:18" x14ac:dyDescent="0.3">
      <c r="A2695">
        <f t="shared" si="199"/>
        <v>2678</v>
      </c>
      <c r="B2695" s="4"/>
      <c r="I2695" s="8"/>
      <c r="J2695" s="5"/>
      <c r="K2695" s="3"/>
      <c r="L2695" s="3" t="str">
        <f t="shared" si="201"/>
        <v/>
      </c>
      <c r="N2695" s="3" t="str">
        <f t="shared" si="200"/>
        <v/>
      </c>
      <c r="O2695" s="6" t="str">
        <f t="shared" si="202"/>
        <v/>
      </c>
      <c r="P2695" s="7">
        <f ca="1">SUMIFS($N$2:$N2695,$B$2:$B2695,"&lt;&gt;"&amp;B2695)+SUM($Q$2:$Q2695)</f>
        <v>135.05500000000001</v>
      </c>
      <c r="R2695" t="b">
        <f>AND(ISNUMBER(FIND($E2695,Tables!$I$2)), ISNUMBER(FIND($D2695,Tables!$J$2)), $E2695&lt;&gt;"")</f>
        <v>0</v>
      </c>
    </row>
    <row r="2696" spans="1:18" x14ac:dyDescent="0.3">
      <c r="A2696">
        <f t="shared" si="199"/>
        <v>2679</v>
      </c>
      <c r="B2696" s="4"/>
      <c r="I2696" s="8"/>
      <c r="J2696" s="5"/>
      <c r="K2696" s="3"/>
      <c r="L2696" s="3" t="str">
        <f t="shared" si="201"/>
        <v/>
      </c>
      <c r="N2696" s="3" t="str">
        <f t="shared" si="200"/>
        <v/>
      </c>
      <c r="O2696" s="6" t="str">
        <f t="shared" si="202"/>
        <v/>
      </c>
      <c r="P2696" s="7">
        <f ca="1">SUMIFS($N$2:$N2696,$B$2:$B2696,"&lt;&gt;"&amp;B2696)+SUM($Q$2:$Q2696)</f>
        <v>135.05500000000001</v>
      </c>
      <c r="R2696" t="b">
        <f>AND(ISNUMBER(FIND($E2696,Tables!$I$2)), ISNUMBER(FIND($D2696,Tables!$J$2)), $E2696&lt;&gt;"")</f>
        <v>0</v>
      </c>
    </row>
    <row r="2697" spans="1:18" x14ac:dyDescent="0.3">
      <c r="A2697">
        <f t="shared" si="199"/>
        <v>2680</v>
      </c>
      <c r="B2697" s="4"/>
      <c r="I2697" s="8"/>
      <c r="J2697" s="5"/>
      <c r="K2697" s="3"/>
      <c r="L2697" s="3" t="str">
        <f t="shared" si="201"/>
        <v/>
      </c>
      <c r="N2697" s="3" t="str">
        <f t="shared" si="200"/>
        <v/>
      </c>
      <c r="O2697" s="6" t="str">
        <f t="shared" si="202"/>
        <v/>
      </c>
      <c r="P2697" s="7">
        <f ca="1">SUMIFS($N$2:$N2697,$B$2:$B2697,"&lt;&gt;"&amp;B2697)+SUM($Q$2:$Q2697)</f>
        <v>135.05500000000001</v>
      </c>
      <c r="R2697" t="b">
        <f>AND(ISNUMBER(FIND($E2697,Tables!$I$2)), ISNUMBER(FIND($D2697,Tables!$J$2)), $E2697&lt;&gt;"")</f>
        <v>0</v>
      </c>
    </row>
    <row r="2698" spans="1:18" x14ac:dyDescent="0.3">
      <c r="A2698">
        <f t="shared" si="199"/>
        <v>2681</v>
      </c>
      <c r="B2698" s="4"/>
      <c r="I2698" s="8"/>
      <c r="J2698" s="5"/>
      <c r="K2698" s="3"/>
      <c r="L2698" s="3" t="str">
        <f t="shared" si="201"/>
        <v/>
      </c>
      <c r="N2698" s="3" t="str">
        <f t="shared" si="200"/>
        <v/>
      </c>
      <c r="O2698" s="6" t="str">
        <f t="shared" si="202"/>
        <v/>
      </c>
      <c r="P2698" s="7">
        <f ca="1">SUMIFS($N$2:$N2698,$B$2:$B2698,"&lt;&gt;"&amp;B2698)+SUM($Q$2:$Q2698)</f>
        <v>135.05500000000001</v>
      </c>
      <c r="R2698" t="b">
        <f>AND(ISNUMBER(FIND($E2698,Tables!$I$2)), ISNUMBER(FIND($D2698,Tables!$J$2)), $E2698&lt;&gt;"")</f>
        <v>0</v>
      </c>
    </row>
    <row r="2699" spans="1:18" x14ac:dyDescent="0.3">
      <c r="A2699">
        <f t="shared" si="199"/>
        <v>2682</v>
      </c>
      <c r="B2699" s="4"/>
      <c r="I2699" s="8"/>
      <c r="J2699" s="5"/>
      <c r="K2699" s="3"/>
      <c r="L2699" s="3" t="str">
        <f t="shared" si="201"/>
        <v/>
      </c>
      <c r="N2699" s="3" t="str">
        <f t="shared" si="200"/>
        <v/>
      </c>
      <c r="O2699" s="6" t="str">
        <f t="shared" si="202"/>
        <v/>
      </c>
      <c r="P2699" s="7">
        <f ca="1">SUMIFS($N$2:$N2699,$B$2:$B2699,"&lt;&gt;"&amp;B2699)+SUM($Q$2:$Q2699)</f>
        <v>135.05500000000001</v>
      </c>
      <c r="R2699" t="b">
        <f>AND(ISNUMBER(FIND($E2699,Tables!$I$2)), ISNUMBER(FIND($D2699,Tables!$J$2)), $E2699&lt;&gt;"")</f>
        <v>0</v>
      </c>
    </row>
    <row r="2700" spans="1:18" x14ac:dyDescent="0.3">
      <c r="A2700">
        <f t="shared" si="199"/>
        <v>2683</v>
      </c>
      <c r="B2700" s="4"/>
      <c r="I2700" s="8"/>
      <c r="J2700" s="5"/>
      <c r="K2700" s="3"/>
      <c r="L2700" s="3" t="str">
        <f t="shared" si="201"/>
        <v/>
      </c>
      <c r="N2700" s="3" t="str">
        <f t="shared" si="200"/>
        <v/>
      </c>
      <c r="O2700" s="6" t="str">
        <f t="shared" si="202"/>
        <v/>
      </c>
      <c r="P2700" s="7">
        <f ca="1">SUMIFS($N$2:$N2700,$B$2:$B2700,"&lt;&gt;"&amp;B2700)+SUM($Q$2:$Q2700)</f>
        <v>135.05500000000001</v>
      </c>
      <c r="R2700" t="b">
        <f>AND(ISNUMBER(FIND($E2700,Tables!$I$2)), ISNUMBER(FIND($D2700,Tables!$J$2)), $E2700&lt;&gt;"")</f>
        <v>0</v>
      </c>
    </row>
    <row r="2701" spans="1:18" x14ac:dyDescent="0.3">
      <c r="A2701">
        <f t="shared" si="199"/>
        <v>2684</v>
      </c>
      <c r="B2701" s="4"/>
      <c r="I2701" s="8"/>
      <c r="J2701" s="5"/>
      <c r="K2701" s="3"/>
      <c r="L2701" s="3" t="str">
        <f t="shared" si="201"/>
        <v/>
      </c>
      <c r="N2701" s="3" t="str">
        <f t="shared" si="200"/>
        <v/>
      </c>
      <c r="O2701" s="6" t="str">
        <f t="shared" si="202"/>
        <v/>
      </c>
      <c r="P2701" s="7">
        <f ca="1">SUMIFS($N$2:$N2701,$B$2:$B2701,"&lt;&gt;"&amp;B2701)+SUM($Q$2:$Q2701)</f>
        <v>135.05500000000001</v>
      </c>
      <c r="R2701" t="b">
        <f>AND(ISNUMBER(FIND($E2701,Tables!$I$2)), ISNUMBER(FIND($D2701,Tables!$J$2)), $E2701&lt;&gt;"")</f>
        <v>0</v>
      </c>
    </row>
    <row r="2702" spans="1:18" x14ac:dyDescent="0.3">
      <c r="A2702">
        <f t="shared" si="199"/>
        <v>2685</v>
      </c>
      <c r="B2702" s="4"/>
      <c r="I2702" s="8"/>
      <c r="J2702" s="5"/>
      <c r="K2702" s="3"/>
      <c r="L2702" s="3" t="str">
        <f t="shared" si="201"/>
        <v/>
      </c>
      <c r="N2702" s="3" t="str">
        <f t="shared" si="200"/>
        <v/>
      </c>
      <c r="O2702" s="6" t="str">
        <f t="shared" si="202"/>
        <v/>
      </c>
      <c r="P2702" s="7">
        <f ca="1">SUMIFS($N$2:$N2702,$B$2:$B2702,"&lt;&gt;"&amp;B2702)+SUM($Q$2:$Q2702)</f>
        <v>135.05500000000001</v>
      </c>
      <c r="R2702" t="b">
        <f>AND(ISNUMBER(FIND($E2702,Tables!$I$2)), ISNUMBER(FIND($D2702,Tables!$J$2)), $E2702&lt;&gt;"")</f>
        <v>0</v>
      </c>
    </row>
    <row r="2703" spans="1:18" x14ac:dyDescent="0.3">
      <c r="A2703">
        <f t="shared" si="199"/>
        <v>2686</v>
      </c>
      <c r="B2703" s="4"/>
      <c r="I2703" s="8"/>
      <c r="J2703" s="5"/>
      <c r="K2703" s="3"/>
      <c r="L2703" s="3" t="str">
        <f t="shared" si="201"/>
        <v/>
      </c>
      <c r="N2703" s="3" t="str">
        <f t="shared" si="200"/>
        <v/>
      </c>
      <c r="O2703" s="6" t="str">
        <f t="shared" si="202"/>
        <v/>
      </c>
      <c r="P2703" s="7">
        <f ca="1">SUMIFS($N$2:$N2703,$B$2:$B2703,"&lt;&gt;"&amp;B2703)+SUM($Q$2:$Q2703)</f>
        <v>135.05500000000001</v>
      </c>
      <c r="R2703" t="b">
        <f>AND(ISNUMBER(FIND($E2703,Tables!$I$2)), ISNUMBER(FIND($D2703,Tables!$J$2)), $E2703&lt;&gt;"")</f>
        <v>0</v>
      </c>
    </row>
    <row r="2704" spans="1:18" x14ac:dyDescent="0.3">
      <c r="A2704">
        <f t="shared" si="199"/>
        <v>2687</v>
      </c>
      <c r="B2704" s="4"/>
      <c r="I2704" s="8"/>
      <c r="J2704" s="5"/>
      <c r="K2704" s="3"/>
      <c r="L2704" s="3" t="str">
        <f t="shared" si="201"/>
        <v/>
      </c>
      <c r="N2704" s="3" t="str">
        <f t="shared" si="200"/>
        <v/>
      </c>
      <c r="O2704" s="6" t="str">
        <f t="shared" si="202"/>
        <v/>
      </c>
      <c r="P2704" s="7">
        <f ca="1">SUMIFS($N$2:$N2704,$B$2:$B2704,"&lt;&gt;"&amp;B2704)+SUM($Q$2:$Q2704)</f>
        <v>135.05500000000001</v>
      </c>
      <c r="R2704" t="b">
        <f>AND(ISNUMBER(FIND($E2704,Tables!$I$2)), ISNUMBER(FIND($D2704,Tables!$J$2)), $E2704&lt;&gt;"")</f>
        <v>0</v>
      </c>
    </row>
    <row r="2705" spans="1:18" x14ac:dyDescent="0.3">
      <c r="A2705">
        <f t="shared" si="199"/>
        <v>2688</v>
      </c>
      <c r="B2705" s="4"/>
      <c r="I2705" s="8"/>
      <c r="J2705" s="5"/>
      <c r="K2705" s="3"/>
      <c r="L2705" s="3" t="str">
        <f t="shared" si="201"/>
        <v/>
      </c>
      <c r="N2705" s="3" t="str">
        <f t="shared" si="200"/>
        <v/>
      </c>
      <c r="O2705" s="6" t="str">
        <f t="shared" si="202"/>
        <v/>
      </c>
      <c r="P2705" s="7">
        <f ca="1">SUMIFS($N$2:$N2705,$B$2:$B2705,"&lt;&gt;"&amp;B2705)+SUM($Q$2:$Q2705)</f>
        <v>135.05500000000001</v>
      </c>
      <c r="R2705" t="b">
        <f>AND(ISNUMBER(FIND($E2705,Tables!$I$2)), ISNUMBER(FIND($D2705,Tables!$J$2)), $E2705&lt;&gt;"")</f>
        <v>0</v>
      </c>
    </row>
    <row r="2706" spans="1:18" x14ac:dyDescent="0.3">
      <c r="A2706">
        <f t="shared" si="199"/>
        <v>2689</v>
      </c>
      <c r="B2706" s="4"/>
      <c r="I2706" s="8"/>
      <c r="J2706" s="5"/>
      <c r="K2706" s="3"/>
      <c r="L2706" s="3" t="str">
        <f t="shared" si="201"/>
        <v/>
      </c>
      <c r="N2706" s="3" t="str">
        <f t="shared" si="200"/>
        <v/>
      </c>
      <c r="O2706" s="6" t="str">
        <f t="shared" si="202"/>
        <v/>
      </c>
      <c r="P2706" s="7">
        <f ca="1">SUMIFS($N$2:$N2706,$B$2:$B2706,"&lt;&gt;"&amp;B2706)+SUM($Q$2:$Q2706)</f>
        <v>135.05500000000001</v>
      </c>
      <c r="R2706" t="b">
        <f>AND(ISNUMBER(FIND($E2706,Tables!$I$2)), ISNUMBER(FIND($D2706,Tables!$J$2)), $E2706&lt;&gt;"")</f>
        <v>0</v>
      </c>
    </row>
    <row r="2707" spans="1:18" x14ac:dyDescent="0.3">
      <c r="A2707">
        <f t="shared" si="199"/>
        <v>2690</v>
      </c>
      <c r="B2707" s="4"/>
      <c r="I2707" s="8"/>
      <c r="J2707" s="5"/>
      <c r="K2707" s="3"/>
      <c r="L2707" s="3" t="str">
        <f t="shared" si="201"/>
        <v/>
      </c>
      <c r="N2707" s="3" t="str">
        <f t="shared" si="200"/>
        <v/>
      </c>
      <c r="O2707" s="6" t="str">
        <f t="shared" si="202"/>
        <v/>
      </c>
      <c r="P2707" s="7">
        <f ca="1">SUMIFS($N$2:$N2707,$B$2:$B2707,"&lt;&gt;"&amp;B2707)+SUM($Q$2:$Q2707)</f>
        <v>135.05500000000001</v>
      </c>
      <c r="R2707" t="b">
        <f>AND(ISNUMBER(FIND($E2707,Tables!$I$2)), ISNUMBER(FIND($D2707,Tables!$J$2)), $E2707&lt;&gt;"")</f>
        <v>0</v>
      </c>
    </row>
    <row r="2708" spans="1:18" x14ac:dyDescent="0.3">
      <c r="A2708">
        <f t="shared" si="199"/>
        <v>2691</v>
      </c>
      <c r="B2708" s="4"/>
      <c r="I2708" s="8"/>
      <c r="J2708" s="5"/>
      <c r="K2708" s="3"/>
      <c r="L2708" s="3" t="str">
        <f t="shared" si="201"/>
        <v/>
      </c>
      <c r="N2708" s="3" t="str">
        <f t="shared" si="200"/>
        <v/>
      </c>
      <c r="O2708" s="6" t="str">
        <f t="shared" si="202"/>
        <v/>
      </c>
      <c r="P2708" s="7">
        <f ca="1">SUMIFS($N$2:$N2708,$B$2:$B2708,"&lt;&gt;"&amp;B2708)+SUM($Q$2:$Q2708)</f>
        <v>135.05500000000001</v>
      </c>
      <c r="R2708" t="b">
        <f>AND(ISNUMBER(FIND($E2708,Tables!$I$2)), ISNUMBER(FIND($D2708,Tables!$J$2)), $E2708&lt;&gt;"")</f>
        <v>0</v>
      </c>
    </row>
    <row r="2709" spans="1:18" x14ac:dyDescent="0.3">
      <c r="A2709">
        <f t="shared" si="199"/>
        <v>2692</v>
      </c>
      <c r="B2709" s="4"/>
      <c r="I2709" s="8"/>
      <c r="J2709" s="5"/>
      <c r="K2709" s="3"/>
      <c r="L2709" s="3" t="str">
        <f t="shared" si="201"/>
        <v/>
      </c>
      <c r="N2709" s="3" t="str">
        <f t="shared" si="200"/>
        <v/>
      </c>
      <c r="O2709" s="6" t="str">
        <f t="shared" si="202"/>
        <v/>
      </c>
      <c r="P2709" s="7">
        <f ca="1">SUMIFS($N$2:$N2709,$B$2:$B2709,"&lt;&gt;"&amp;B2709)+SUM($Q$2:$Q2709)</f>
        <v>135.05500000000001</v>
      </c>
      <c r="R2709" t="b">
        <f>AND(ISNUMBER(FIND($E2709,Tables!$I$2)), ISNUMBER(FIND($D2709,Tables!$J$2)), $E2709&lt;&gt;"")</f>
        <v>0</v>
      </c>
    </row>
    <row r="2710" spans="1:18" x14ac:dyDescent="0.3">
      <c r="A2710">
        <f t="shared" si="199"/>
        <v>2693</v>
      </c>
      <c r="B2710" s="4"/>
      <c r="I2710" s="8"/>
      <c r="J2710" s="5"/>
      <c r="K2710" s="3"/>
      <c r="L2710" s="3" t="str">
        <f t="shared" si="201"/>
        <v/>
      </c>
      <c r="N2710" s="3" t="str">
        <f t="shared" si="200"/>
        <v/>
      </c>
      <c r="O2710" s="6" t="str">
        <f t="shared" si="202"/>
        <v/>
      </c>
      <c r="P2710" s="7">
        <f ca="1">SUMIFS($N$2:$N2710,$B$2:$B2710,"&lt;&gt;"&amp;B2710)+SUM($Q$2:$Q2710)</f>
        <v>135.05500000000001</v>
      </c>
      <c r="R2710" t="b">
        <f>AND(ISNUMBER(FIND($E2710,Tables!$I$2)), ISNUMBER(FIND($D2710,Tables!$J$2)), $E2710&lt;&gt;"")</f>
        <v>0</v>
      </c>
    </row>
    <row r="2711" spans="1:18" x14ac:dyDescent="0.3">
      <c r="A2711">
        <f t="shared" si="199"/>
        <v>2694</v>
      </c>
      <c r="B2711" s="4"/>
      <c r="I2711" s="8"/>
      <c r="J2711" s="5"/>
      <c r="K2711" s="3"/>
      <c r="L2711" s="3" t="str">
        <f t="shared" si="201"/>
        <v/>
      </c>
      <c r="N2711" s="3" t="str">
        <f t="shared" si="200"/>
        <v/>
      </c>
      <c r="O2711" s="6" t="str">
        <f t="shared" si="202"/>
        <v/>
      </c>
      <c r="P2711" s="7">
        <f ca="1">SUMIFS($N$2:$N2711,$B$2:$B2711,"&lt;&gt;"&amp;B2711)+SUM($Q$2:$Q2711)</f>
        <v>135.05500000000001</v>
      </c>
      <c r="R2711" t="b">
        <f>AND(ISNUMBER(FIND($E2711,Tables!$I$2)), ISNUMBER(FIND($D2711,Tables!$J$2)), $E2711&lt;&gt;"")</f>
        <v>0</v>
      </c>
    </row>
    <row r="2712" spans="1:18" x14ac:dyDescent="0.3">
      <c r="A2712">
        <f t="shared" si="199"/>
        <v>2695</v>
      </c>
      <c r="B2712" s="4"/>
      <c r="I2712" s="8"/>
      <c r="J2712" s="5"/>
      <c r="K2712" s="3"/>
      <c r="L2712" s="3" t="str">
        <f t="shared" si="201"/>
        <v/>
      </c>
      <c r="N2712" s="3" t="str">
        <f t="shared" si="200"/>
        <v/>
      </c>
      <c r="O2712" s="6" t="str">
        <f t="shared" si="202"/>
        <v/>
      </c>
      <c r="P2712" s="7">
        <f ca="1">SUMIFS($N$2:$N2712,$B$2:$B2712,"&lt;&gt;"&amp;B2712)+SUM($Q$2:$Q2712)</f>
        <v>135.05500000000001</v>
      </c>
      <c r="R2712" t="b">
        <f>AND(ISNUMBER(FIND($E2712,Tables!$I$2)), ISNUMBER(FIND($D2712,Tables!$J$2)), $E2712&lt;&gt;"")</f>
        <v>0</v>
      </c>
    </row>
    <row r="2713" spans="1:18" x14ac:dyDescent="0.3">
      <c r="A2713">
        <f t="shared" si="199"/>
        <v>2696</v>
      </c>
      <c r="B2713" s="4"/>
      <c r="I2713" s="8"/>
      <c r="J2713" s="5"/>
      <c r="K2713" s="3"/>
      <c r="L2713" s="3" t="str">
        <f t="shared" si="201"/>
        <v/>
      </c>
      <c r="N2713" s="3" t="str">
        <f t="shared" si="200"/>
        <v/>
      </c>
      <c r="O2713" s="6" t="str">
        <f t="shared" si="202"/>
        <v/>
      </c>
      <c r="P2713" s="7">
        <f ca="1">SUMIFS($N$2:$N2713,$B$2:$B2713,"&lt;&gt;"&amp;B2713)+SUM($Q$2:$Q2713)</f>
        <v>135.05500000000001</v>
      </c>
      <c r="R2713" t="b">
        <f>AND(ISNUMBER(FIND($E2713,Tables!$I$2)), ISNUMBER(FIND($D2713,Tables!$J$2)), $E2713&lt;&gt;"")</f>
        <v>0</v>
      </c>
    </row>
    <row r="2714" spans="1:18" x14ac:dyDescent="0.3">
      <c r="A2714">
        <f t="shared" si="199"/>
        <v>2697</v>
      </c>
      <c r="B2714" s="4"/>
      <c r="I2714" s="8"/>
      <c r="J2714" s="5"/>
      <c r="K2714" s="3"/>
      <c r="L2714" s="3" t="str">
        <f t="shared" si="201"/>
        <v/>
      </c>
      <c r="N2714" s="3" t="str">
        <f t="shared" si="200"/>
        <v/>
      </c>
      <c r="O2714" s="6" t="str">
        <f t="shared" si="202"/>
        <v/>
      </c>
      <c r="P2714" s="7">
        <f ca="1">SUMIFS($N$2:$N2714,$B$2:$B2714,"&lt;&gt;"&amp;B2714)+SUM($Q$2:$Q2714)</f>
        <v>135.05500000000001</v>
      </c>
      <c r="R2714" t="b">
        <f>AND(ISNUMBER(FIND($E2714,Tables!$I$2)), ISNUMBER(FIND($D2714,Tables!$J$2)), $E2714&lt;&gt;"")</f>
        <v>0</v>
      </c>
    </row>
    <row r="2715" spans="1:18" x14ac:dyDescent="0.3">
      <c r="A2715">
        <f t="shared" si="199"/>
        <v>2698</v>
      </c>
      <c r="B2715" s="4"/>
      <c r="I2715" s="8"/>
      <c r="J2715" s="5"/>
      <c r="K2715" s="3"/>
      <c r="L2715" s="3" t="str">
        <f t="shared" si="201"/>
        <v/>
      </c>
      <c r="N2715" s="3" t="str">
        <f t="shared" si="200"/>
        <v/>
      </c>
      <c r="O2715" s="6" t="str">
        <f t="shared" si="202"/>
        <v/>
      </c>
      <c r="P2715" s="7">
        <f ca="1">SUMIFS($N$2:$N2715,$B$2:$B2715,"&lt;&gt;"&amp;B2715)+SUM($Q$2:$Q2715)</f>
        <v>135.05500000000001</v>
      </c>
      <c r="R2715" t="b">
        <f>AND(ISNUMBER(FIND($E2715,Tables!$I$2)), ISNUMBER(FIND($D2715,Tables!$J$2)), $E2715&lt;&gt;"")</f>
        <v>0</v>
      </c>
    </row>
    <row r="2716" spans="1:18" x14ac:dyDescent="0.3">
      <c r="A2716">
        <f t="shared" si="199"/>
        <v>2699</v>
      </c>
      <c r="B2716" s="4"/>
      <c r="I2716" s="8"/>
      <c r="J2716" s="5"/>
      <c r="K2716" s="3"/>
      <c r="L2716" s="3" t="str">
        <f t="shared" si="201"/>
        <v/>
      </c>
      <c r="N2716" s="3" t="str">
        <f t="shared" si="200"/>
        <v/>
      </c>
      <c r="O2716" s="6" t="str">
        <f t="shared" si="202"/>
        <v/>
      </c>
      <c r="P2716" s="7">
        <f ca="1">SUMIFS($N$2:$N2716,$B$2:$B2716,"&lt;&gt;"&amp;B2716)+SUM($Q$2:$Q2716)</f>
        <v>135.05500000000001</v>
      </c>
      <c r="R2716" t="b">
        <f>AND(ISNUMBER(FIND($E2716,Tables!$I$2)), ISNUMBER(FIND($D2716,Tables!$J$2)), $E2716&lt;&gt;"")</f>
        <v>0</v>
      </c>
    </row>
    <row r="2717" spans="1:18" x14ac:dyDescent="0.3">
      <c r="A2717">
        <f t="shared" si="199"/>
        <v>2700</v>
      </c>
      <c r="B2717" s="4"/>
      <c r="I2717" s="8"/>
      <c r="J2717" s="5"/>
      <c r="K2717" s="3"/>
      <c r="L2717" s="3" t="str">
        <f t="shared" si="201"/>
        <v/>
      </c>
      <c r="N2717" s="3" t="str">
        <f t="shared" si="200"/>
        <v/>
      </c>
      <c r="O2717" s="6" t="str">
        <f t="shared" si="202"/>
        <v/>
      </c>
      <c r="P2717" s="7">
        <f ca="1">SUMIFS($N$2:$N2717,$B$2:$B2717,"&lt;&gt;"&amp;B2717)+SUM($Q$2:$Q2717)</f>
        <v>135.05500000000001</v>
      </c>
      <c r="R2717" t="b">
        <f>AND(ISNUMBER(FIND($E2717,Tables!$I$2)), ISNUMBER(FIND($D2717,Tables!$J$2)), $E2717&lt;&gt;"")</f>
        <v>0</v>
      </c>
    </row>
    <row r="2718" spans="1:18" x14ac:dyDescent="0.3">
      <c r="A2718">
        <f t="shared" si="199"/>
        <v>2701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135.05500000000001</v>
      </c>
      <c r="R2718" t="b">
        <f>AND(ISNUMBER(FIND($E2718,Tables!$I$2)), ISNUMBER(FIND($D2718,Tables!$J$2)), $E2718&lt;&gt;"")</f>
        <v>0</v>
      </c>
    </row>
    <row r="2719" spans="1:18" x14ac:dyDescent="0.3">
      <c r="A2719">
        <f t="shared" si="199"/>
        <v>2702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135.05500000000001</v>
      </c>
      <c r="R2719" t="b">
        <f>AND(ISNUMBER(FIND($E2719,Tables!$I$2)), ISNUMBER(FIND($D2719,Tables!$J$2)), $E2719&lt;&gt;"")</f>
        <v>0</v>
      </c>
    </row>
    <row r="2720" spans="1:18" x14ac:dyDescent="0.3">
      <c r="A2720">
        <f t="shared" si="199"/>
        <v>2703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135.05500000000001</v>
      </c>
      <c r="R2720" t="b">
        <f>AND(ISNUMBER(FIND($E2720,Tables!$I$2)), ISNUMBER(FIND($D2720,Tables!$J$2)), $E2720&lt;&gt;"")</f>
        <v>0</v>
      </c>
    </row>
    <row r="2721" spans="1:18" x14ac:dyDescent="0.3">
      <c r="A2721">
        <f t="shared" si="199"/>
        <v>2704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135.05500000000001</v>
      </c>
      <c r="R2721" t="b">
        <f>AND(ISNUMBER(FIND($E2721,Tables!$I$2)), ISNUMBER(FIND($D2721,Tables!$J$2)), $E2721&lt;&gt;"")</f>
        <v>0</v>
      </c>
    </row>
    <row r="2722" spans="1:18" x14ac:dyDescent="0.3">
      <c r="A2722">
        <f t="shared" ref="A2722:A2785" si="203">IF(AND(B2722="", D2722&lt;&gt;""), A2721, A2721+1)</f>
        <v>2705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135.05500000000001</v>
      </c>
      <c r="R2722" t="b">
        <f>AND(ISNUMBER(FIND($E2722,Tables!$I$2)), ISNUMBER(FIND($D2722,Tables!$J$2)), $E2722&lt;&gt;"")</f>
        <v>0</v>
      </c>
    </row>
    <row r="2723" spans="1:18" x14ac:dyDescent="0.3">
      <c r="A2723">
        <f t="shared" si="203"/>
        <v>2706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135.05500000000001</v>
      </c>
      <c r="R2723" t="b">
        <f>AND(ISNUMBER(FIND($E2723,Tables!$I$2)), ISNUMBER(FIND($D2723,Tables!$J$2)), $E2723&lt;&gt;"")</f>
        <v>0</v>
      </c>
    </row>
    <row r="2724" spans="1:18" x14ac:dyDescent="0.3">
      <c r="A2724">
        <f t="shared" si="203"/>
        <v>2707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135.05500000000001</v>
      </c>
      <c r="R2724" t="b">
        <f>AND(ISNUMBER(FIND($E2724,Tables!$I$2)), ISNUMBER(FIND($D2724,Tables!$J$2)), $E2724&lt;&gt;"")</f>
        <v>0</v>
      </c>
    </row>
    <row r="2725" spans="1:18" x14ac:dyDescent="0.3">
      <c r="A2725">
        <f t="shared" si="203"/>
        <v>2708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135.05500000000001</v>
      </c>
      <c r="R2725" t="b">
        <f>AND(ISNUMBER(FIND($E2725,Tables!$I$2)), ISNUMBER(FIND($D2725,Tables!$J$2)), $E2725&lt;&gt;"")</f>
        <v>0</v>
      </c>
    </row>
    <row r="2726" spans="1:18" x14ac:dyDescent="0.3">
      <c r="A2726">
        <f t="shared" si="203"/>
        <v>2709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135.05500000000001</v>
      </c>
      <c r="R2726" t="b">
        <f>AND(ISNUMBER(FIND($E2726,Tables!$I$2)), ISNUMBER(FIND($D2726,Tables!$J$2)), $E2726&lt;&gt;"")</f>
        <v>0</v>
      </c>
    </row>
    <row r="2727" spans="1:18" x14ac:dyDescent="0.3">
      <c r="A2727">
        <f t="shared" si="203"/>
        <v>2710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135.05500000000001</v>
      </c>
      <c r="R2727" t="b">
        <f>AND(ISNUMBER(FIND($E2727,Tables!$I$2)), ISNUMBER(FIND($D2727,Tables!$J$2)), $E2727&lt;&gt;"")</f>
        <v>0</v>
      </c>
    </row>
    <row r="2728" spans="1:18" x14ac:dyDescent="0.3">
      <c r="A2728">
        <f t="shared" si="203"/>
        <v>2711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135.05500000000001</v>
      </c>
      <c r="R2728" t="b">
        <f>AND(ISNUMBER(FIND($E2728,Tables!$I$2)), ISNUMBER(FIND($D2728,Tables!$J$2)), $E2728&lt;&gt;"")</f>
        <v>0</v>
      </c>
    </row>
    <row r="2729" spans="1:18" x14ac:dyDescent="0.3">
      <c r="A2729">
        <f t="shared" si="203"/>
        <v>2712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135.05500000000001</v>
      </c>
      <c r="R2729" t="b">
        <f>AND(ISNUMBER(FIND($E2729,Tables!$I$2)), ISNUMBER(FIND($D2729,Tables!$J$2)), $E2729&lt;&gt;"")</f>
        <v>0</v>
      </c>
    </row>
    <row r="2730" spans="1:18" x14ac:dyDescent="0.3">
      <c r="A2730">
        <f t="shared" si="203"/>
        <v>2713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135.05500000000001</v>
      </c>
      <c r="R2730" t="b">
        <f>AND(ISNUMBER(FIND($E2730,Tables!$I$2)), ISNUMBER(FIND($D2730,Tables!$J$2)), $E2730&lt;&gt;"")</f>
        <v>0</v>
      </c>
    </row>
    <row r="2731" spans="1:18" x14ac:dyDescent="0.3">
      <c r="A2731">
        <f t="shared" si="203"/>
        <v>2714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135.05500000000001</v>
      </c>
      <c r="R2731" t="b">
        <f>AND(ISNUMBER(FIND($E2731,Tables!$I$2)), ISNUMBER(FIND($D2731,Tables!$J$2)), $E2731&lt;&gt;"")</f>
        <v>0</v>
      </c>
    </row>
    <row r="2732" spans="1:18" x14ac:dyDescent="0.3">
      <c r="A2732">
        <f t="shared" si="203"/>
        <v>2715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135.05500000000001</v>
      </c>
      <c r="R2732" t="b">
        <f>AND(ISNUMBER(FIND($E2732,Tables!$I$2)), ISNUMBER(FIND($D2732,Tables!$J$2)), $E2732&lt;&gt;"")</f>
        <v>0</v>
      </c>
    </row>
    <row r="2733" spans="1:18" x14ac:dyDescent="0.3">
      <c r="A2733">
        <f t="shared" si="203"/>
        <v>2716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135.05500000000001</v>
      </c>
      <c r="R2733" t="b">
        <f>AND(ISNUMBER(FIND($E2733,Tables!$I$2)), ISNUMBER(FIND($D2733,Tables!$J$2)), $E2733&lt;&gt;"")</f>
        <v>0</v>
      </c>
    </row>
    <row r="2734" spans="1:18" x14ac:dyDescent="0.3">
      <c r="A2734">
        <f t="shared" si="203"/>
        <v>2717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135.05500000000001</v>
      </c>
      <c r="R2734" t="b">
        <f>AND(ISNUMBER(FIND($E2734,Tables!$I$2)), ISNUMBER(FIND($D2734,Tables!$J$2)), $E2734&lt;&gt;"")</f>
        <v>0</v>
      </c>
    </row>
    <row r="2735" spans="1:18" x14ac:dyDescent="0.3">
      <c r="A2735">
        <f t="shared" si="203"/>
        <v>2718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135.05500000000001</v>
      </c>
      <c r="R2735" t="b">
        <f>AND(ISNUMBER(FIND($E2735,Tables!$I$2)), ISNUMBER(FIND($D2735,Tables!$J$2)), $E2735&lt;&gt;"")</f>
        <v>0</v>
      </c>
    </row>
    <row r="2736" spans="1:18" x14ac:dyDescent="0.3">
      <c r="A2736">
        <f t="shared" si="203"/>
        <v>2719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135.05500000000001</v>
      </c>
      <c r="R2736" t="b">
        <f>AND(ISNUMBER(FIND($E2736,Tables!$I$2)), ISNUMBER(FIND($D2736,Tables!$J$2)), $E2736&lt;&gt;"")</f>
        <v>0</v>
      </c>
    </row>
    <row r="2737" spans="1:18" x14ac:dyDescent="0.3">
      <c r="A2737">
        <f t="shared" si="203"/>
        <v>2720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135.05500000000001</v>
      </c>
      <c r="R2737" t="b">
        <f>AND(ISNUMBER(FIND($E2737,Tables!$I$2)), ISNUMBER(FIND($D2737,Tables!$J$2)), $E2737&lt;&gt;"")</f>
        <v>0</v>
      </c>
    </row>
    <row r="2738" spans="1:18" x14ac:dyDescent="0.3">
      <c r="A2738">
        <f t="shared" si="203"/>
        <v>2721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135.05500000000001</v>
      </c>
      <c r="R2738" t="b">
        <f>AND(ISNUMBER(FIND($E2738,Tables!$I$2)), ISNUMBER(FIND($D2738,Tables!$J$2)), $E2738&lt;&gt;"")</f>
        <v>0</v>
      </c>
    </row>
    <row r="2739" spans="1:18" x14ac:dyDescent="0.3">
      <c r="A2739">
        <f t="shared" si="203"/>
        <v>2722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135.05500000000001</v>
      </c>
      <c r="R2739" t="b">
        <f>AND(ISNUMBER(FIND($E2739,Tables!$I$2)), ISNUMBER(FIND($D2739,Tables!$J$2)), $E2739&lt;&gt;"")</f>
        <v>0</v>
      </c>
    </row>
    <row r="2740" spans="1:18" x14ac:dyDescent="0.3">
      <c r="A2740">
        <f t="shared" si="203"/>
        <v>2723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135.05500000000001</v>
      </c>
      <c r="R2740" t="b">
        <f>AND(ISNUMBER(FIND($E2740,Tables!$I$2)), ISNUMBER(FIND($D2740,Tables!$J$2)), $E2740&lt;&gt;"")</f>
        <v>0</v>
      </c>
    </row>
    <row r="2741" spans="1:18" x14ac:dyDescent="0.3">
      <c r="A2741">
        <f t="shared" si="203"/>
        <v>2724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135.05500000000001</v>
      </c>
      <c r="R2741" t="b">
        <f>AND(ISNUMBER(FIND($E2741,Tables!$I$2)), ISNUMBER(FIND($D2741,Tables!$J$2)), $E2741&lt;&gt;"")</f>
        <v>0</v>
      </c>
    </row>
    <row r="2742" spans="1:18" x14ac:dyDescent="0.3">
      <c r="A2742">
        <f t="shared" si="203"/>
        <v>2725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135.05500000000001</v>
      </c>
      <c r="R2742" t="b">
        <f>AND(ISNUMBER(FIND($E2742,Tables!$I$2)), ISNUMBER(FIND($D2742,Tables!$J$2)), $E2742&lt;&gt;"")</f>
        <v>0</v>
      </c>
    </row>
    <row r="2743" spans="1:18" x14ac:dyDescent="0.3">
      <c r="A2743">
        <f t="shared" si="203"/>
        <v>2726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135.05500000000001</v>
      </c>
      <c r="R2743" t="b">
        <f>AND(ISNUMBER(FIND($E2743,Tables!$I$2)), ISNUMBER(FIND($D2743,Tables!$J$2)), $E2743&lt;&gt;"")</f>
        <v>0</v>
      </c>
    </row>
    <row r="2744" spans="1:18" x14ac:dyDescent="0.3">
      <c r="A2744">
        <f t="shared" si="203"/>
        <v>2727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135.05500000000001</v>
      </c>
      <c r="R2744" t="b">
        <f>AND(ISNUMBER(FIND($E2744,Tables!$I$2)), ISNUMBER(FIND($D2744,Tables!$J$2)), $E2744&lt;&gt;"")</f>
        <v>0</v>
      </c>
    </row>
    <row r="2745" spans="1:18" x14ac:dyDescent="0.3">
      <c r="A2745">
        <f t="shared" si="203"/>
        <v>2728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135.05500000000001</v>
      </c>
      <c r="R2745" t="b">
        <f>AND(ISNUMBER(FIND($E2745,Tables!$I$2)), ISNUMBER(FIND($D2745,Tables!$J$2)), $E2745&lt;&gt;"")</f>
        <v>0</v>
      </c>
    </row>
    <row r="2746" spans="1:18" x14ac:dyDescent="0.3">
      <c r="A2746">
        <f t="shared" si="203"/>
        <v>2729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135.05500000000001</v>
      </c>
      <c r="R2746" t="b">
        <f>AND(ISNUMBER(FIND($E2746,Tables!$I$2)), ISNUMBER(FIND($D2746,Tables!$J$2)), $E2746&lt;&gt;"")</f>
        <v>0</v>
      </c>
    </row>
    <row r="2747" spans="1:18" x14ac:dyDescent="0.3">
      <c r="A2747">
        <f t="shared" si="203"/>
        <v>2730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135.05500000000001</v>
      </c>
      <c r="R2747" t="b">
        <f>AND(ISNUMBER(FIND($E2747,Tables!$I$2)), ISNUMBER(FIND($D2747,Tables!$J$2)), $E2747&lt;&gt;"")</f>
        <v>0</v>
      </c>
    </row>
    <row r="2748" spans="1:18" x14ac:dyDescent="0.3">
      <c r="A2748">
        <f t="shared" si="203"/>
        <v>2731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135.05500000000001</v>
      </c>
      <c r="R2748" t="b">
        <f>AND(ISNUMBER(FIND($E2748,Tables!$I$2)), ISNUMBER(FIND($D2748,Tables!$J$2)), $E2748&lt;&gt;"")</f>
        <v>0</v>
      </c>
    </row>
    <row r="2749" spans="1:18" x14ac:dyDescent="0.3">
      <c r="A2749">
        <f t="shared" si="203"/>
        <v>2732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135.05500000000001</v>
      </c>
      <c r="R2749" t="b">
        <f>AND(ISNUMBER(FIND($E2749,Tables!$I$2)), ISNUMBER(FIND($D2749,Tables!$J$2)), $E2749&lt;&gt;"")</f>
        <v>0</v>
      </c>
    </row>
    <row r="2750" spans="1:18" x14ac:dyDescent="0.3">
      <c r="A2750">
        <f t="shared" si="203"/>
        <v>2733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135.05500000000001</v>
      </c>
      <c r="R2750" t="b">
        <f>AND(ISNUMBER(FIND($E2750,Tables!$I$2)), ISNUMBER(FIND($D2750,Tables!$J$2)), $E2750&lt;&gt;"")</f>
        <v>0</v>
      </c>
    </row>
    <row r="2751" spans="1:18" x14ac:dyDescent="0.3">
      <c r="A2751">
        <f t="shared" si="203"/>
        <v>2734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135.05500000000001</v>
      </c>
      <c r="R2751" t="b">
        <f>AND(ISNUMBER(FIND($E2751,Tables!$I$2)), ISNUMBER(FIND($D2751,Tables!$J$2)), $E2751&lt;&gt;"")</f>
        <v>0</v>
      </c>
    </row>
    <row r="2752" spans="1:18" x14ac:dyDescent="0.3">
      <c r="A2752">
        <f t="shared" si="203"/>
        <v>2735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135.05500000000001</v>
      </c>
      <c r="R2752" t="b">
        <f>AND(ISNUMBER(FIND($E2752,Tables!$I$2)), ISNUMBER(FIND($D2752,Tables!$J$2)), $E2752&lt;&gt;"")</f>
        <v>0</v>
      </c>
    </row>
    <row r="2753" spans="1:18" x14ac:dyDescent="0.3">
      <c r="A2753">
        <f t="shared" si="203"/>
        <v>2736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135.05500000000001</v>
      </c>
      <c r="R2753" t="b">
        <f>AND(ISNUMBER(FIND($E2753,Tables!$I$2)), ISNUMBER(FIND($D2753,Tables!$J$2)), $E2753&lt;&gt;"")</f>
        <v>0</v>
      </c>
    </row>
    <row r="2754" spans="1:18" x14ac:dyDescent="0.3">
      <c r="A2754">
        <f t="shared" si="203"/>
        <v>2737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135.05500000000001</v>
      </c>
      <c r="R2754" t="b">
        <f>AND(ISNUMBER(FIND($E2754,Tables!$I$2)), ISNUMBER(FIND($D2754,Tables!$J$2)), $E2754&lt;&gt;"")</f>
        <v>0</v>
      </c>
    </row>
    <row r="2755" spans="1:18" x14ac:dyDescent="0.3">
      <c r="A2755">
        <f t="shared" si="203"/>
        <v>2738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135.05500000000001</v>
      </c>
      <c r="R2755" t="b">
        <f>AND(ISNUMBER(FIND($E2755,Tables!$I$2)), ISNUMBER(FIND($D2755,Tables!$J$2)), $E2755&lt;&gt;"")</f>
        <v>0</v>
      </c>
    </row>
    <row r="2756" spans="1:18" x14ac:dyDescent="0.3">
      <c r="A2756">
        <f t="shared" si="203"/>
        <v>2739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135.05500000000001</v>
      </c>
      <c r="R2756" t="b">
        <f>AND(ISNUMBER(FIND($E2756,Tables!$I$2)), ISNUMBER(FIND($D2756,Tables!$J$2)), $E2756&lt;&gt;"")</f>
        <v>0</v>
      </c>
    </row>
    <row r="2757" spans="1:18" x14ac:dyDescent="0.3">
      <c r="A2757">
        <f t="shared" si="203"/>
        <v>2740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135.05500000000001</v>
      </c>
      <c r="R2757" t="b">
        <f>AND(ISNUMBER(FIND($E2757,Tables!$I$2)), ISNUMBER(FIND($D2757,Tables!$J$2)), $E2757&lt;&gt;"")</f>
        <v>0</v>
      </c>
    </row>
    <row r="2758" spans="1:18" x14ac:dyDescent="0.3">
      <c r="A2758">
        <f t="shared" si="203"/>
        <v>2741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135.05500000000001</v>
      </c>
      <c r="R2758" t="b">
        <f>AND(ISNUMBER(FIND($E2758,Tables!$I$2)), ISNUMBER(FIND($D2758,Tables!$J$2)), $E2758&lt;&gt;"")</f>
        <v>0</v>
      </c>
    </row>
    <row r="2759" spans="1:18" x14ac:dyDescent="0.3">
      <c r="A2759">
        <f t="shared" si="203"/>
        <v>2742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135.05500000000001</v>
      </c>
      <c r="R2759" t="b">
        <f>AND(ISNUMBER(FIND($E2759,Tables!$I$2)), ISNUMBER(FIND($D2759,Tables!$J$2)), $E2759&lt;&gt;"")</f>
        <v>0</v>
      </c>
    </row>
    <row r="2760" spans="1:18" x14ac:dyDescent="0.3">
      <c r="A2760">
        <f t="shared" si="203"/>
        <v>2743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135.05500000000001</v>
      </c>
      <c r="R2760" t="b">
        <f>AND(ISNUMBER(FIND($E2760,Tables!$I$2)), ISNUMBER(FIND($D2760,Tables!$J$2)), $E2760&lt;&gt;"")</f>
        <v>0</v>
      </c>
    </row>
    <row r="2761" spans="1:18" x14ac:dyDescent="0.3">
      <c r="A2761">
        <f t="shared" si="203"/>
        <v>2744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135.05500000000001</v>
      </c>
      <c r="R2761" t="b">
        <f>AND(ISNUMBER(FIND($E2761,Tables!$I$2)), ISNUMBER(FIND($D2761,Tables!$J$2)), $E2761&lt;&gt;"")</f>
        <v>0</v>
      </c>
    </row>
    <row r="2762" spans="1:18" x14ac:dyDescent="0.3">
      <c r="A2762">
        <f t="shared" si="203"/>
        <v>2745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135.05500000000001</v>
      </c>
      <c r="R2762" t="b">
        <f>AND(ISNUMBER(FIND($E2762,Tables!$I$2)), ISNUMBER(FIND($D2762,Tables!$J$2)), $E2762&lt;&gt;"")</f>
        <v>0</v>
      </c>
    </row>
    <row r="2763" spans="1:18" x14ac:dyDescent="0.3">
      <c r="A2763">
        <f t="shared" si="203"/>
        <v>2746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135.05500000000001</v>
      </c>
      <c r="R2763" t="b">
        <f>AND(ISNUMBER(FIND($E2763,Tables!$I$2)), ISNUMBER(FIND($D2763,Tables!$J$2)), $E2763&lt;&gt;"")</f>
        <v>0</v>
      </c>
    </row>
    <row r="2764" spans="1:18" x14ac:dyDescent="0.3">
      <c r="A2764">
        <f t="shared" si="203"/>
        <v>2747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135.05500000000001</v>
      </c>
      <c r="R2764" t="b">
        <f>AND(ISNUMBER(FIND($E2764,Tables!$I$2)), ISNUMBER(FIND($D2764,Tables!$J$2)), $E2764&lt;&gt;"")</f>
        <v>0</v>
      </c>
    </row>
    <row r="2765" spans="1:18" x14ac:dyDescent="0.3">
      <c r="A2765">
        <f t="shared" si="203"/>
        <v>2748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135.05500000000001</v>
      </c>
      <c r="R2765" t="b">
        <f>AND(ISNUMBER(FIND($E2765,Tables!$I$2)), ISNUMBER(FIND($D2765,Tables!$J$2)), $E2765&lt;&gt;"")</f>
        <v>0</v>
      </c>
    </row>
    <row r="2766" spans="1:18" x14ac:dyDescent="0.3">
      <c r="A2766">
        <f t="shared" si="203"/>
        <v>2749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135.05500000000001</v>
      </c>
      <c r="R2766" t="b">
        <f>AND(ISNUMBER(FIND($E2766,Tables!$I$2)), ISNUMBER(FIND($D2766,Tables!$J$2)), $E2766&lt;&gt;"")</f>
        <v>0</v>
      </c>
    </row>
    <row r="2767" spans="1:18" x14ac:dyDescent="0.3">
      <c r="A2767">
        <f t="shared" si="203"/>
        <v>2750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135.05500000000001</v>
      </c>
      <c r="R2767" t="b">
        <f>AND(ISNUMBER(FIND($E2767,Tables!$I$2)), ISNUMBER(FIND($D2767,Tables!$J$2)), $E2767&lt;&gt;"")</f>
        <v>0</v>
      </c>
    </row>
    <row r="2768" spans="1:18" x14ac:dyDescent="0.3">
      <c r="A2768">
        <f t="shared" si="203"/>
        <v>2751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135.05500000000001</v>
      </c>
      <c r="R2768" t="b">
        <f>AND(ISNUMBER(FIND($E2768,Tables!$I$2)), ISNUMBER(FIND($D2768,Tables!$J$2)), $E2768&lt;&gt;"")</f>
        <v>0</v>
      </c>
    </row>
    <row r="2769" spans="1:18" x14ac:dyDescent="0.3">
      <c r="A2769">
        <f t="shared" si="203"/>
        <v>2752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135.05500000000001</v>
      </c>
      <c r="R2769" t="b">
        <f>AND(ISNUMBER(FIND($E2769,Tables!$I$2)), ISNUMBER(FIND($D2769,Tables!$J$2)), $E2769&lt;&gt;"")</f>
        <v>0</v>
      </c>
    </row>
    <row r="2770" spans="1:18" x14ac:dyDescent="0.3">
      <c r="A2770">
        <f t="shared" si="203"/>
        <v>2753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135.05500000000001</v>
      </c>
      <c r="R2770" t="b">
        <f>AND(ISNUMBER(FIND($E2770,Tables!$I$2)), ISNUMBER(FIND($D2770,Tables!$J$2)), $E2770&lt;&gt;"")</f>
        <v>0</v>
      </c>
    </row>
    <row r="2771" spans="1:18" x14ac:dyDescent="0.3">
      <c r="A2771">
        <f t="shared" si="203"/>
        <v>2754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135.05500000000001</v>
      </c>
      <c r="R2771" t="b">
        <f>AND(ISNUMBER(FIND($E2771,Tables!$I$2)), ISNUMBER(FIND($D2771,Tables!$J$2)), $E2771&lt;&gt;"")</f>
        <v>0</v>
      </c>
    </row>
    <row r="2772" spans="1:18" x14ac:dyDescent="0.3">
      <c r="A2772">
        <f t="shared" si="203"/>
        <v>2755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135.05500000000001</v>
      </c>
      <c r="R2772" t="b">
        <f>AND(ISNUMBER(FIND($E2772,Tables!$I$2)), ISNUMBER(FIND($D2772,Tables!$J$2)), $E2772&lt;&gt;"")</f>
        <v>0</v>
      </c>
    </row>
    <row r="2773" spans="1:18" x14ac:dyDescent="0.3">
      <c r="A2773">
        <f t="shared" si="203"/>
        <v>2756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135.05500000000001</v>
      </c>
      <c r="R2773" t="b">
        <f>AND(ISNUMBER(FIND($E2773,Tables!$I$2)), ISNUMBER(FIND($D2773,Tables!$J$2)), $E2773&lt;&gt;"")</f>
        <v>0</v>
      </c>
    </row>
    <row r="2774" spans="1:18" x14ac:dyDescent="0.3">
      <c r="A2774">
        <f t="shared" si="203"/>
        <v>2757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135.05500000000001</v>
      </c>
      <c r="R2774" t="b">
        <f>AND(ISNUMBER(FIND($E2774,Tables!$I$2)), ISNUMBER(FIND($D2774,Tables!$J$2)), $E2774&lt;&gt;"")</f>
        <v>0</v>
      </c>
    </row>
    <row r="2775" spans="1:18" x14ac:dyDescent="0.3">
      <c r="A2775">
        <f t="shared" si="203"/>
        <v>2758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135.05500000000001</v>
      </c>
      <c r="R2775" t="b">
        <f>AND(ISNUMBER(FIND($E2775,Tables!$I$2)), ISNUMBER(FIND($D2775,Tables!$J$2)), $E2775&lt;&gt;"")</f>
        <v>0</v>
      </c>
    </row>
    <row r="2776" spans="1:18" x14ac:dyDescent="0.3">
      <c r="A2776">
        <f t="shared" si="203"/>
        <v>2759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135.05500000000001</v>
      </c>
      <c r="R2776" t="b">
        <f>AND(ISNUMBER(FIND($E2776,Tables!$I$2)), ISNUMBER(FIND($D2776,Tables!$J$2)), $E2776&lt;&gt;"")</f>
        <v>0</v>
      </c>
    </row>
    <row r="2777" spans="1:18" x14ac:dyDescent="0.3">
      <c r="A2777">
        <f t="shared" si="203"/>
        <v>2760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135.05500000000001</v>
      </c>
      <c r="R2777" t="b">
        <f>AND(ISNUMBER(FIND($E2777,Tables!$I$2)), ISNUMBER(FIND($D2777,Tables!$J$2)), $E2777&lt;&gt;"")</f>
        <v>0</v>
      </c>
    </row>
    <row r="2778" spans="1:18" x14ac:dyDescent="0.3">
      <c r="A2778">
        <f t="shared" si="203"/>
        <v>2761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135.05500000000001</v>
      </c>
      <c r="R2778" t="b">
        <f>AND(ISNUMBER(FIND($E2778,Tables!$I$2)), ISNUMBER(FIND($D2778,Tables!$J$2)), $E2778&lt;&gt;"")</f>
        <v>0</v>
      </c>
    </row>
    <row r="2779" spans="1:18" x14ac:dyDescent="0.3">
      <c r="A2779">
        <f t="shared" si="203"/>
        <v>2762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135.05500000000001</v>
      </c>
      <c r="R2779" t="b">
        <f>AND(ISNUMBER(FIND($E2779,Tables!$I$2)), ISNUMBER(FIND($D2779,Tables!$J$2)), $E2779&lt;&gt;"")</f>
        <v>0</v>
      </c>
    </row>
    <row r="2780" spans="1:18" x14ac:dyDescent="0.3">
      <c r="A2780">
        <f t="shared" si="203"/>
        <v>2763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135.05500000000001</v>
      </c>
      <c r="R2780" t="b">
        <f>AND(ISNUMBER(FIND($E2780,Tables!$I$2)), ISNUMBER(FIND($D2780,Tables!$J$2)), $E2780&lt;&gt;"")</f>
        <v>0</v>
      </c>
    </row>
    <row r="2781" spans="1:18" x14ac:dyDescent="0.3">
      <c r="A2781">
        <f t="shared" si="203"/>
        <v>2764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135.05500000000001</v>
      </c>
      <c r="R2781" t="b">
        <f>AND(ISNUMBER(FIND($E2781,Tables!$I$2)), ISNUMBER(FIND($D2781,Tables!$J$2)), $E2781&lt;&gt;"")</f>
        <v>0</v>
      </c>
    </row>
    <row r="2782" spans="1:18" x14ac:dyDescent="0.3">
      <c r="A2782">
        <f t="shared" si="203"/>
        <v>2765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135.05500000000001</v>
      </c>
      <c r="R2782" t="b">
        <f>AND(ISNUMBER(FIND($E2782,Tables!$I$2)), ISNUMBER(FIND($D2782,Tables!$J$2)), $E2782&lt;&gt;"")</f>
        <v>0</v>
      </c>
    </row>
    <row r="2783" spans="1:18" x14ac:dyDescent="0.3">
      <c r="A2783">
        <f t="shared" si="203"/>
        <v>2766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135.05500000000001</v>
      </c>
      <c r="R2783" t="b">
        <f>AND(ISNUMBER(FIND($E2783,Tables!$I$2)), ISNUMBER(FIND($D2783,Tables!$J$2)), $E2783&lt;&gt;"")</f>
        <v>0</v>
      </c>
    </row>
    <row r="2784" spans="1:18" x14ac:dyDescent="0.3">
      <c r="A2784">
        <f t="shared" si="203"/>
        <v>2767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135.05500000000001</v>
      </c>
      <c r="R2784" t="b">
        <f>AND(ISNUMBER(FIND($E2784,Tables!$I$2)), ISNUMBER(FIND($D2784,Tables!$J$2)), $E2784&lt;&gt;"")</f>
        <v>0</v>
      </c>
    </row>
    <row r="2785" spans="1:18" x14ac:dyDescent="0.3">
      <c r="A2785">
        <f t="shared" si="203"/>
        <v>2768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135.05500000000001</v>
      </c>
      <c r="R2785" t="b">
        <f>AND(ISNUMBER(FIND($E2785,Tables!$I$2)), ISNUMBER(FIND($D2785,Tables!$J$2)), $E2785&lt;&gt;"")</f>
        <v>0</v>
      </c>
    </row>
    <row r="2786" spans="1:18" x14ac:dyDescent="0.3">
      <c r="A2786">
        <f t="shared" ref="A2786:A2849" si="204">IF(AND(B2786="", D2786&lt;&gt;""), A2785, A2785+1)</f>
        <v>2769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135.05500000000001</v>
      </c>
      <c r="R2786" t="b">
        <f>AND(ISNUMBER(FIND($E2786,Tables!$I$2)), ISNUMBER(FIND($D2786,Tables!$J$2)), $E2786&lt;&gt;"")</f>
        <v>0</v>
      </c>
    </row>
    <row r="2787" spans="1:18" x14ac:dyDescent="0.3">
      <c r="A2787">
        <f t="shared" si="204"/>
        <v>2770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135.05500000000001</v>
      </c>
      <c r="R2787" t="b">
        <f>AND(ISNUMBER(FIND($E2787,Tables!$I$2)), ISNUMBER(FIND($D2787,Tables!$J$2)), $E2787&lt;&gt;"")</f>
        <v>0</v>
      </c>
    </row>
    <row r="2788" spans="1:18" x14ac:dyDescent="0.3">
      <c r="A2788">
        <f t="shared" si="204"/>
        <v>2771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135.05500000000001</v>
      </c>
      <c r="R2788" t="b">
        <f>AND(ISNUMBER(FIND($E2788,Tables!$I$2)), ISNUMBER(FIND($D2788,Tables!$J$2)), $E2788&lt;&gt;"")</f>
        <v>0</v>
      </c>
    </row>
    <row r="2789" spans="1:18" x14ac:dyDescent="0.3">
      <c r="A2789">
        <f t="shared" si="204"/>
        <v>2772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135.05500000000001</v>
      </c>
      <c r="R2789" t="b">
        <f>AND(ISNUMBER(FIND($E2789,Tables!$I$2)), ISNUMBER(FIND($D2789,Tables!$J$2)), $E2789&lt;&gt;"")</f>
        <v>0</v>
      </c>
    </row>
    <row r="2790" spans="1:18" x14ac:dyDescent="0.3">
      <c r="A2790">
        <f t="shared" si="204"/>
        <v>2773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135.05500000000001</v>
      </c>
      <c r="R2790" t="b">
        <f>AND(ISNUMBER(FIND($E2790,Tables!$I$2)), ISNUMBER(FIND($D2790,Tables!$J$2)), $E2790&lt;&gt;"")</f>
        <v>0</v>
      </c>
    </row>
    <row r="2791" spans="1:18" x14ac:dyDescent="0.3">
      <c r="A2791">
        <f t="shared" si="204"/>
        <v>2774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135.05500000000001</v>
      </c>
      <c r="R2791" t="b">
        <f>AND(ISNUMBER(FIND($E2791,Tables!$I$2)), ISNUMBER(FIND($D2791,Tables!$J$2)), $E2791&lt;&gt;"")</f>
        <v>0</v>
      </c>
    </row>
    <row r="2792" spans="1:18" x14ac:dyDescent="0.3">
      <c r="A2792">
        <f t="shared" si="204"/>
        <v>2775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135.05500000000001</v>
      </c>
      <c r="R2792" t="b">
        <f>AND(ISNUMBER(FIND($E2792,Tables!$I$2)), ISNUMBER(FIND($D2792,Tables!$J$2)), $E2792&lt;&gt;"")</f>
        <v>0</v>
      </c>
    </row>
    <row r="2793" spans="1:18" x14ac:dyDescent="0.3">
      <c r="A2793">
        <f t="shared" si="204"/>
        <v>2776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135.05500000000001</v>
      </c>
      <c r="R2793" t="b">
        <f>AND(ISNUMBER(FIND($E2793,Tables!$I$2)), ISNUMBER(FIND($D2793,Tables!$J$2)), $E2793&lt;&gt;"")</f>
        <v>0</v>
      </c>
    </row>
    <row r="2794" spans="1:18" x14ac:dyDescent="0.3">
      <c r="A2794">
        <f t="shared" si="204"/>
        <v>2777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135.05500000000001</v>
      </c>
      <c r="R2794" t="b">
        <f>AND(ISNUMBER(FIND($E2794,Tables!$I$2)), ISNUMBER(FIND($D2794,Tables!$J$2)), $E2794&lt;&gt;"")</f>
        <v>0</v>
      </c>
    </row>
    <row r="2795" spans="1:18" x14ac:dyDescent="0.3">
      <c r="A2795">
        <f t="shared" si="204"/>
        <v>2778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135.05500000000001</v>
      </c>
      <c r="R2795" t="b">
        <f>AND(ISNUMBER(FIND($E2795,Tables!$I$2)), ISNUMBER(FIND($D2795,Tables!$J$2)), $E2795&lt;&gt;"")</f>
        <v>0</v>
      </c>
    </row>
    <row r="2796" spans="1:18" x14ac:dyDescent="0.3">
      <c r="A2796">
        <f t="shared" si="204"/>
        <v>2779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135.05500000000001</v>
      </c>
      <c r="R2796" t="b">
        <f>AND(ISNUMBER(FIND($E2796,Tables!$I$2)), ISNUMBER(FIND($D2796,Tables!$J$2)), $E2796&lt;&gt;"")</f>
        <v>0</v>
      </c>
    </row>
    <row r="2797" spans="1:18" x14ac:dyDescent="0.3">
      <c r="A2797">
        <f t="shared" si="204"/>
        <v>2780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135.05500000000001</v>
      </c>
      <c r="R2797" t="b">
        <f>AND(ISNUMBER(FIND($E2797,Tables!$I$2)), ISNUMBER(FIND($D2797,Tables!$J$2)), $E2797&lt;&gt;"")</f>
        <v>0</v>
      </c>
    </row>
    <row r="2798" spans="1:18" x14ac:dyDescent="0.3">
      <c r="A2798">
        <f t="shared" si="204"/>
        <v>2781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135.05500000000001</v>
      </c>
      <c r="R2798" t="b">
        <f>AND(ISNUMBER(FIND($E2798,Tables!$I$2)), ISNUMBER(FIND($D2798,Tables!$J$2)), $E2798&lt;&gt;"")</f>
        <v>0</v>
      </c>
    </row>
    <row r="2799" spans="1:18" x14ac:dyDescent="0.3">
      <c r="A2799">
        <f t="shared" si="204"/>
        <v>2782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135.05500000000001</v>
      </c>
      <c r="R2799" t="b">
        <f>AND(ISNUMBER(FIND($E2799,Tables!$I$2)), ISNUMBER(FIND($D2799,Tables!$J$2)), $E2799&lt;&gt;"")</f>
        <v>0</v>
      </c>
    </row>
    <row r="2800" spans="1:18" x14ac:dyDescent="0.3">
      <c r="A2800">
        <f t="shared" si="204"/>
        <v>2783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135.05500000000001</v>
      </c>
      <c r="R2800" t="b">
        <f>AND(ISNUMBER(FIND($E2800,Tables!$I$2)), ISNUMBER(FIND($D2800,Tables!$J$2)), $E2800&lt;&gt;"")</f>
        <v>0</v>
      </c>
    </row>
    <row r="2801" spans="1:18" x14ac:dyDescent="0.3">
      <c r="A2801">
        <f t="shared" si="204"/>
        <v>2784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135.05500000000001</v>
      </c>
      <c r="R2801" t="b">
        <f>AND(ISNUMBER(FIND($E2801,Tables!$I$2)), ISNUMBER(FIND($D2801,Tables!$J$2)), $E2801&lt;&gt;"")</f>
        <v>0</v>
      </c>
    </row>
    <row r="2802" spans="1:18" x14ac:dyDescent="0.3">
      <c r="A2802">
        <f t="shared" si="204"/>
        <v>2785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135.05500000000001</v>
      </c>
      <c r="R2802" t="b">
        <f>AND(ISNUMBER(FIND($E2802,Tables!$I$2)), ISNUMBER(FIND($D2802,Tables!$J$2)), $E2802&lt;&gt;"")</f>
        <v>0</v>
      </c>
    </row>
    <row r="2803" spans="1:18" x14ac:dyDescent="0.3">
      <c r="A2803">
        <f t="shared" si="204"/>
        <v>2786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135.05500000000001</v>
      </c>
      <c r="R2803" t="b">
        <f>AND(ISNUMBER(FIND($E2803,Tables!$I$2)), ISNUMBER(FIND($D2803,Tables!$J$2)), $E2803&lt;&gt;"")</f>
        <v>0</v>
      </c>
    </row>
    <row r="2804" spans="1:18" x14ac:dyDescent="0.3">
      <c r="A2804">
        <f t="shared" si="204"/>
        <v>2787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135.05500000000001</v>
      </c>
      <c r="R2804" t="b">
        <f>AND(ISNUMBER(FIND($E2804,Tables!$I$2)), ISNUMBER(FIND($D2804,Tables!$J$2)), $E2804&lt;&gt;"")</f>
        <v>0</v>
      </c>
    </row>
    <row r="2805" spans="1:18" x14ac:dyDescent="0.3">
      <c r="A2805">
        <f t="shared" si="204"/>
        <v>2788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135.05500000000001</v>
      </c>
      <c r="R2805" t="b">
        <f>AND(ISNUMBER(FIND($E2805,Tables!$I$2)), ISNUMBER(FIND($D2805,Tables!$J$2)), $E2805&lt;&gt;"")</f>
        <v>0</v>
      </c>
    </row>
    <row r="2806" spans="1:18" x14ac:dyDescent="0.3">
      <c r="A2806">
        <f t="shared" si="204"/>
        <v>2789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135.05500000000001</v>
      </c>
      <c r="R2806" t="b">
        <f>AND(ISNUMBER(FIND($E2806,Tables!$I$2)), ISNUMBER(FIND($D2806,Tables!$J$2)), $E2806&lt;&gt;"")</f>
        <v>0</v>
      </c>
    </row>
    <row r="2807" spans="1:18" x14ac:dyDescent="0.3">
      <c r="A2807">
        <f t="shared" si="204"/>
        <v>2790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135.05500000000001</v>
      </c>
      <c r="R2807" t="b">
        <f>AND(ISNUMBER(FIND($E2807,Tables!$I$2)), ISNUMBER(FIND($D2807,Tables!$J$2)), $E2807&lt;&gt;"")</f>
        <v>0</v>
      </c>
    </row>
    <row r="2808" spans="1:18" x14ac:dyDescent="0.3">
      <c r="A2808">
        <f t="shared" si="204"/>
        <v>2791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135.05500000000001</v>
      </c>
      <c r="R2808" t="b">
        <f>AND(ISNUMBER(FIND($E2808,Tables!$I$2)), ISNUMBER(FIND($D2808,Tables!$J$2)), $E2808&lt;&gt;"")</f>
        <v>0</v>
      </c>
    </row>
    <row r="2809" spans="1:18" x14ac:dyDescent="0.3">
      <c r="A2809">
        <f t="shared" si="204"/>
        <v>2792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135.05500000000001</v>
      </c>
      <c r="R2809" t="b">
        <f>AND(ISNUMBER(FIND($E2809,Tables!$I$2)), ISNUMBER(FIND($D2809,Tables!$J$2)), $E2809&lt;&gt;"")</f>
        <v>0</v>
      </c>
    </row>
    <row r="2810" spans="1:18" x14ac:dyDescent="0.3">
      <c r="A2810">
        <f t="shared" si="204"/>
        <v>2793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135.05500000000001</v>
      </c>
      <c r="R2810" t="b">
        <f>AND(ISNUMBER(FIND($E2810,Tables!$I$2)), ISNUMBER(FIND($D2810,Tables!$J$2)), $E2810&lt;&gt;"")</f>
        <v>0</v>
      </c>
    </row>
    <row r="2811" spans="1:18" x14ac:dyDescent="0.3">
      <c r="A2811">
        <f t="shared" si="204"/>
        <v>2794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135.05500000000001</v>
      </c>
      <c r="R2811" t="b">
        <f>AND(ISNUMBER(FIND($E2811,Tables!$I$2)), ISNUMBER(FIND($D2811,Tables!$J$2)), $E2811&lt;&gt;"")</f>
        <v>0</v>
      </c>
    </row>
    <row r="2812" spans="1:18" x14ac:dyDescent="0.3">
      <c r="A2812">
        <f t="shared" si="204"/>
        <v>2795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135.05500000000001</v>
      </c>
      <c r="R2812" t="b">
        <f>AND(ISNUMBER(FIND($E2812,Tables!$I$2)), ISNUMBER(FIND($D2812,Tables!$J$2)), $E2812&lt;&gt;"")</f>
        <v>0</v>
      </c>
    </row>
    <row r="2813" spans="1:18" x14ac:dyDescent="0.3">
      <c r="A2813">
        <f t="shared" si="204"/>
        <v>2796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135.05500000000001</v>
      </c>
      <c r="R2813" t="b">
        <f>AND(ISNUMBER(FIND($E2813,Tables!$I$2)), ISNUMBER(FIND($D2813,Tables!$J$2)), $E2813&lt;&gt;"")</f>
        <v>0</v>
      </c>
    </row>
    <row r="2814" spans="1:18" x14ac:dyDescent="0.3">
      <c r="A2814">
        <f t="shared" si="204"/>
        <v>2797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135.05500000000001</v>
      </c>
      <c r="R2814" t="b">
        <f>AND(ISNUMBER(FIND($E2814,Tables!$I$2)), ISNUMBER(FIND($D2814,Tables!$J$2)), $E2814&lt;&gt;"")</f>
        <v>0</v>
      </c>
    </row>
    <row r="2815" spans="1:18" x14ac:dyDescent="0.3">
      <c r="A2815">
        <f t="shared" si="204"/>
        <v>2798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135.05500000000001</v>
      </c>
      <c r="R2815" t="b">
        <f>AND(ISNUMBER(FIND($E2815,Tables!$I$2)), ISNUMBER(FIND($D2815,Tables!$J$2)), $E2815&lt;&gt;"")</f>
        <v>0</v>
      </c>
    </row>
    <row r="2816" spans="1:18" x14ac:dyDescent="0.3">
      <c r="A2816">
        <f t="shared" si="204"/>
        <v>2799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135.05500000000001</v>
      </c>
      <c r="R2816" t="b">
        <f>AND(ISNUMBER(FIND($E2816,Tables!$I$2)), ISNUMBER(FIND($D2816,Tables!$J$2)), $E2816&lt;&gt;"")</f>
        <v>0</v>
      </c>
    </row>
    <row r="2817" spans="1:18" x14ac:dyDescent="0.3">
      <c r="A2817">
        <f t="shared" si="204"/>
        <v>2800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135.05500000000001</v>
      </c>
      <c r="R2817" t="b">
        <f>AND(ISNUMBER(FIND($E2817,Tables!$I$2)), ISNUMBER(FIND($D2817,Tables!$J$2)), $E2817&lt;&gt;"")</f>
        <v>0</v>
      </c>
    </row>
    <row r="2818" spans="1:18" x14ac:dyDescent="0.3">
      <c r="A2818">
        <f t="shared" si="204"/>
        <v>2801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135.05500000000001</v>
      </c>
      <c r="R2818" t="b">
        <f>AND(ISNUMBER(FIND($E2818,Tables!$I$2)), ISNUMBER(FIND($D2818,Tables!$J$2)), $E2818&lt;&gt;"")</f>
        <v>0</v>
      </c>
    </row>
    <row r="2819" spans="1:18" x14ac:dyDescent="0.3">
      <c r="A2819">
        <f t="shared" si="204"/>
        <v>2802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135.05500000000001</v>
      </c>
      <c r="R2819" t="b">
        <f>AND(ISNUMBER(FIND($E2819,Tables!$I$2)), ISNUMBER(FIND($D2819,Tables!$J$2)), $E2819&lt;&gt;"")</f>
        <v>0</v>
      </c>
    </row>
    <row r="2820" spans="1:18" x14ac:dyDescent="0.3">
      <c r="A2820">
        <f t="shared" si="204"/>
        <v>2803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135.05500000000001</v>
      </c>
      <c r="R2820" t="b">
        <f>AND(ISNUMBER(FIND($E2820,Tables!$I$2)), ISNUMBER(FIND($D2820,Tables!$J$2)), $E2820&lt;&gt;"")</f>
        <v>0</v>
      </c>
    </row>
    <row r="2821" spans="1:18" x14ac:dyDescent="0.3">
      <c r="A2821">
        <f t="shared" si="204"/>
        <v>2804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135.05500000000001</v>
      </c>
      <c r="R2821" t="b">
        <f>AND(ISNUMBER(FIND($E2821,Tables!$I$2)), ISNUMBER(FIND($D2821,Tables!$J$2)), $E2821&lt;&gt;"")</f>
        <v>0</v>
      </c>
    </row>
    <row r="2822" spans="1:18" x14ac:dyDescent="0.3">
      <c r="A2822">
        <f t="shared" si="204"/>
        <v>2805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135.05500000000001</v>
      </c>
      <c r="R2822" t="b">
        <f>AND(ISNUMBER(FIND($E2822,Tables!$I$2)), ISNUMBER(FIND($D2822,Tables!$J$2)), $E2822&lt;&gt;"")</f>
        <v>0</v>
      </c>
    </row>
    <row r="2823" spans="1:18" x14ac:dyDescent="0.3">
      <c r="A2823">
        <f t="shared" si="204"/>
        <v>2806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135.05500000000001</v>
      </c>
      <c r="R2823" t="b">
        <f>AND(ISNUMBER(FIND($E2823,Tables!$I$2)), ISNUMBER(FIND($D2823,Tables!$J$2)), $E2823&lt;&gt;"")</f>
        <v>0</v>
      </c>
    </row>
    <row r="2824" spans="1:18" x14ac:dyDescent="0.3">
      <c r="A2824">
        <f t="shared" si="204"/>
        <v>2807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135.05500000000001</v>
      </c>
      <c r="R2824" t="b">
        <f>AND(ISNUMBER(FIND($E2824,Tables!$I$2)), ISNUMBER(FIND($D2824,Tables!$J$2)), $E2824&lt;&gt;"")</f>
        <v>0</v>
      </c>
    </row>
    <row r="2825" spans="1:18" x14ac:dyDescent="0.3">
      <c r="A2825">
        <f t="shared" si="204"/>
        <v>2808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135.05500000000001</v>
      </c>
      <c r="R2825" t="b">
        <f>AND(ISNUMBER(FIND($E2825,Tables!$I$2)), ISNUMBER(FIND($D2825,Tables!$J$2)), $E2825&lt;&gt;"")</f>
        <v>0</v>
      </c>
    </row>
    <row r="2826" spans="1:18" x14ac:dyDescent="0.3">
      <c r="A2826">
        <f t="shared" si="204"/>
        <v>2809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135.05500000000001</v>
      </c>
      <c r="R2826" t="b">
        <f>AND(ISNUMBER(FIND($E2826,Tables!$I$2)), ISNUMBER(FIND($D2826,Tables!$J$2)), $E2826&lt;&gt;"")</f>
        <v>0</v>
      </c>
    </row>
    <row r="2827" spans="1:18" x14ac:dyDescent="0.3">
      <c r="A2827">
        <f t="shared" si="204"/>
        <v>2810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135.05500000000001</v>
      </c>
      <c r="R2827" t="b">
        <f>AND(ISNUMBER(FIND($E2827,Tables!$I$2)), ISNUMBER(FIND($D2827,Tables!$J$2)), $E2827&lt;&gt;"")</f>
        <v>0</v>
      </c>
    </row>
    <row r="2828" spans="1:18" x14ac:dyDescent="0.3">
      <c r="A2828">
        <f t="shared" si="204"/>
        <v>2811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135.05500000000001</v>
      </c>
      <c r="R2828" t="b">
        <f>AND(ISNUMBER(FIND($E2828,Tables!$I$2)), ISNUMBER(FIND($D2828,Tables!$J$2)), $E2828&lt;&gt;"")</f>
        <v>0</v>
      </c>
    </row>
    <row r="2829" spans="1:18" x14ac:dyDescent="0.3">
      <c r="A2829">
        <f t="shared" si="204"/>
        <v>2812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135.05500000000001</v>
      </c>
      <c r="R2829" t="b">
        <f>AND(ISNUMBER(FIND($E2829,Tables!$I$2)), ISNUMBER(FIND($D2829,Tables!$J$2)), $E2829&lt;&gt;"")</f>
        <v>0</v>
      </c>
    </row>
    <row r="2830" spans="1:18" x14ac:dyDescent="0.3">
      <c r="A2830">
        <f t="shared" si="204"/>
        <v>2813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135.05500000000001</v>
      </c>
      <c r="R2830" t="b">
        <f>AND(ISNUMBER(FIND($E2830,Tables!$I$2)), ISNUMBER(FIND($D2830,Tables!$J$2)), $E2830&lt;&gt;"")</f>
        <v>0</v>
      </c>
    </row>
    <row r="2831" spans="1:18" x14ac:dyDescent="0.3">
      <c r="A2831">
        <f t="shared" si="204"/>
        <v>2814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135.05500000000001</v>
      </c>
      <c r="R2831" t="b">
        <f>AND(ISNUMBER(FIND($E2831,Tables!$I$2)), ISNUMBER(FIND($D2831,Tables!$J$2)), $E2831&lt;&gt;"")</f>
        <v>0</v>
      </c>
    </row>
    <row r="2832" spans="1:18" x14ac:dyDescent="0.3">
      <c r="A2832">
        <f t="shared" si="204"/>
        <v>2815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135.05500000000001</v>
      </c>
      <c r="R2832" t="b">
        <f>AND(ISNUMBER(FIND($E2832,Tables!$I$2)), ISNUMBER(FIND($D2832,Tables!$J$2)), $E2832&lt;&gt;"")</f>
        <v>0</v>
      </c>
    </row>
    <row r="2833" spans="1:18" x14ac:dyDescent="0.3">
      <c r="A2833">
        <f t="shared" si="204"/>
        <v>2816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135.05500000000001</v>
      </c>
      <c r="R2833" t="b">
        <f>AND(ISNUMBER(FIND($E2833,Tables!$I$2)), ISNUMBER(FIND($D2833,Tables!$J$2)), $E2833&lt;&gt;"")</f>
        <v>0</v>
      </c>
    </row>
    <row r="2834" spans="1:18" x14ac:dyDescent="0.3">
      <c r="A2834">
        <f t="shared" si="204"/>
        <v>2817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135.05500000000001</v>
      </c>
      <c r="R2834" t="b">
        <f>AND(ISNUMBER(FIND($E2834,Tables!$I$2)), ISNUMBER(FIND($D2834,Tables!$J$2)), $E2834&lt;&gt;"")</f>
        <v>0</v>
      </c>
    </row>
    <row r="2835" spans="1:18" x14ac:dyDescent="0.3">
      <c r="A2835">
        <f t="shared" si="204"/>
        <v>2818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135.05500000000001</v>
      </c>
      <c r="R2835" t="b">
        <f>AND(ISNUMBER(FIND($E2835,Tables!$I$2)), ISNUMBER(FIND($D2835,Tables!$J$2)), $E2835&lt;&gt;"")</f>
        <v>0</v>
      </c>
    </row>
    <row r="2836" spans="1:18" x14ac:dyDescent="0.3">
      <c r="A2836">
        <f t="shared" si="204"/>
        <v>2819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135.05500000000001</v>
      </c>
      <c r="R2836" t="b">
        <f>AND(ISNUMBER(FIND($E2836,Tables!$I$2)), ISNUMBER(FIND($D2836,Tables!$J$2)), $E2836&lt;&gt;"")</f>
        <v>0</v>
      </c>
    </row>
    <row r="2837" spans="1:18" x14ac:dyDescent="0.3">
      <c r="A2837">
        <f t="shared" si="204"/>
        <v>2820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135.05500000000001</v>
      </c>
      <c r="R2837" t="b">
        <f>AND(ISNUMBER(FIND($E2837,Tables!$I$2)), ISNUMBER(FIND($D2837,Tables!$J$2)), $E2837&lt;&gt;"")</f>
        <v>0</v>
      </c>
    </row>
    <row r="2838" spans="1:18" x14ac:dyDescent="0.3">
      <c r="A2838">
        <f t="shared" si="204"/>
        <v>2821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135.05500000000001</v>
      </c>
      <c r="R2838" t="b">
        <f>AND(ISNUMBER(FIND($E2838,Tables!$I$2)), ISNUMBER(FIND($D2838,Tables!$J$2)), $E2838&lt;&gt;"")</f>
        <v>0</v>
      </c>
    </row>
    <row r="2839" spans="1:18" x14ac:dyDescent="0.3">
      <c r="A2839">
        <f t="shared" si="204"/>
        <v>2822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135.05500000000001</v>
      </c>
      <c r="R2839" t="b">
        <f>AND(ISNUMBER(FIND($E2839,Tables!$I$2)), ISNUMBER(FIND($D2839,Tables!$J$2)), $E2839&lt;&gt;"")</f>
        <v>0</v>
      </c>
    </row>
    <row r="2840" spans="1:18" x14ac:dyDescent="0.3">
      <c r="A2840">
        <f t="shared" si="204"/>
        <v>2823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135.05500000000001</v>
      </c>
      <c r="R2840" t="b">
        <f>AND(ISNUMBER(FIND($E2840,Tables!$I$2)), ISNUMBER(FIND($D2840,Tables!$J$2)), $E2840&lt;&gt;"")</f>
        <v>0</v>
      </c>
    </row>
    <row r="2841" spans="1:18" x14ac:dyDescent="0.3">
      <c r="A2841">
        <f t="shared" si="204"/>
        <v>2824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135.05500000000001</v>
      </c>
      <c r="R2841" t="b">
        <f>AND(ISNUMBER(FIND($E2841,Tables!$I$2)), ISNUMBER(FIND($D2841,Tables!$J$2)), $E2841&lt;&gt;"")</f>
        <v>0</v>
      </c>
    </row>
    <row r="2842" spans="1:18" x14ac:dyDescent="0.3">
      <c r="A2842">
        <f t="shared" si="204"/>
        <v>2825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135.05500000000001</v>
      </c>
      <c r="R2842" t="b">
        <f>AND(ISNUMBER(FIND($E2842,Tables!$I$2)), ISNUMBER(FIND($D2842,Tables!$J$2)), $E2842&lt;&gt;"")</f>
        <v>0</v>
      </c>
    </row>
    <row r="2843" spans="1:18" x14ac:dyDescent="0.3">
      <c r="A2843">
        <f t="shared" si="204"/>
        <v>2826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135.05500000000001</v>
      </c>
      <c r="R2843" t="b">
        <f>AND(ISNUMBER(FIND($E2843,Tables!$I$2)), ISNUMBER(FIND($D2843,Tables!$J$2)), $E2843&lt;&gt;"")</f>
        <v>0</v>
      </c>
    </row>
    <row r="2844" spans="1:18" x14ac:dyDescent="0.3">
      <c r="A2844">
        <f t="shared" si="204"/>
        <v>2827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135.05500000000001</v>
      </c>
      <c r="R2844" t="b">
        <f>AND(ISNUMBER(FIND($E2844,Tables!$I$2)), ISNUMBER(FIND($D2844,Tables!$J$2)), $E2844&lt;&gt;"")</f>
        <v>0</v>
      </c>
    </row>
    <row r="2845" spans="1:18" x14ac:dyDescent="0.3">
      <c r="A2845">
        <f t="shared" si="204"/>
        <v>2828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135.05500000000001</v>
      </c>
      <c r="R2845" t="b">
        <f>AND(ISNUMBER(FIND($E2845,Tables!$I$2)), ISNUMBER(FIND($D2845,Tables!$J$2)), $E2845&lt;&gt;"")</f>
        <v>0</v>
      </c>
    </row>
    <row r="2846" spans="1:18" x14ac:dyDescent="0.3">
      <c r="A2846">
        <f t="shared" si="204"/>
        <v>2829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135.05500000000001</v>
      </c>
      <c r="R2846" t="b">
        <f>AND(ISNUMBER(FIND($E2846,Tables!$I$2)), ISNUMBER(FIND($D2846,Tables!$J$2)), $E2846&lt;&gt;"")</f>
        <v>0</v>
      </c>
    </row>
    <row r="2847" spans="1:18" x14ac:dyDescent="0.3">
      <c r="A2847">
        <f t="shared" si="204"/>
        <v>2830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135.05500000000001</v>
      </c>
      <c r="R2847" t="b">
        <f>AND(ISNUMBER(FIND($E2847,Tables!$I$2)), ISNUMBER(FIND($D2847,Tables!$J$2)), $E2847&lt;&gt;"")</f>
        <v>0</v>
      </c>
    </row>
    <row r="2848" spans="1:18" x14ac:dyDescent="0.3">
      <c r="A2848">
        <f t="shared" si="204"/>
        <v>2831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135.05500000000001</v>
      </c>
      <c r="R2848" t="b">
        <f>AND(ISNUMBER(FIND($E2848,Tables!$I$2)), ISNUMBER(FIND($D2848,Tables!$J$2)), $E2848&lt;&gt;"")</f>
        <v>0</v>
      </c>
    </row>
    <row r="2849" spans="1:18" x14ac:dyDescent="0.3">
      <c r="A2849">
        <f t="shared" si="204"/>
        <v>2832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135.05500000000001</v>
      </c>
      <c r="R2849" t="b">
        <f>AND(ISNUMBER(FIND($E2849,Tables!$I$2)), ISNUMBER(FIND($D2849,Tables!$J$2)), $E2849&lt;&gt;"")</f>
        <v>0</v>
      </c>
    </row>
    <row r="2850" spans="1:18" x14ac:dyDescent="0.3">
      <c r="A2850">
        <f t="shared" ref="A2850:A2913" si="205">IF(AND(B2850="", D2850&lt;&gt;""), A2849, A2849+1)</f>
        <v>2833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135.05500000000001</v>
      </c>
      <c r="R2850" t="b">
        <f>AND(ISNUMBER(FIND($E2850,Tables!$I$2)), ISNUMBER(FIND($D2850,Tables!$J$2)), $E2850&lt;&gt;"")</f>
        <v>0</v>
      </c>
    </row>
    <row r="2851" spans="1:18" x14ac:dyDescent="0.3">
      <c r="A2851">
        <f t="shared" si="205"/>
        <v>2834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135.05500000000001</v>
      </c>
      <c r="R2851" t="b">
        <f>AND(ISNUMBER(FIND($E2851,Tables!$I$2)), ISNUMBER(FIND($D2851,Tables!$J$2)), $E2851&lt;&gt;"")</f>
        <v>0</v>
      </c>
    </row>
    <row r="2852" spans="1:18" x14ac:dyDescent="0.3">
      <c r="A2852">
        <f t="shared" si="205"/>
        <v>2835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135.05500000000001</v>
      </c>
      <c r="R2852" t="b">
        <f>AND(ISNUMBER(FIND($E2852,Tables!$I$2)), ISNUMBER(FIND($D2852,Tables!$J$2)), $E2852&lt;&gt;"")</f>
        <v>0</v>
      </c>
    </row>
    <row r="2853" spans="1:18" x14ac:dyDescent="0.3">
      <c r="A2853">
        <f t="shared" si="205"/>
        <v>2836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135.05500000000001</v>
      </c>
      <c r="R2853" t="b">
        <f>AND(ISNUMBER(FIND($E2853,Tables!$I$2)), ISNUMBER(FIND($D2853,Tables!$J$2)), $E2853&lt;&gt;"")</f>
        <v>0</v>
      </c>
    </row>
    <row r="2854" spans="1:18" x14ac:dyDescent="0.3">
      <c r="A2854">
        <f t="shared" si="205"/>
        <v>2837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135.05500000000001</v>
      </c>
      <c r="R2854" t="b">
        <f>AND(ISNUMBER(FIND($E2854,Tables!$I$2)), ISNUMBER(FIND($D2854,Tables!$J$2)), $E2854&lt;&gt;"")</f>
        <v>0</v>
      </c>
    </row>
    <row r="2855" spans="1:18" x14ac:dyDescent="0.3">
      <c r="A2855">
        <f t="shared" si="205"/>
        <v>2838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135.05500000000001</v>
      </c>
      <c r="R2855" t="b">
        <f>AND(ISNUMBER(FIND($E2855,Tables!$I$2)), ISNUMBER(FIND($D2855,Tables!$J$2)), $E2855&lt;&gt;"")</f>
        <v>0</v>
      </c>
    </row>
    <row r="2856" spans="1:18" x14ac:dyDescent="0.3">
      <c r="A2856">
        <f t="shared" si="205"/>
        <v>2839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135.05500000000001</v>
      </c>
      <c r="R2856" t="b">
        <f>AND(ISNUMBER(FIND($E2856,Tables!$I$2)), ISNUMBER(FIND($D2856,Tables!$J$2)), $E2856&lt;&gt;"")</f>
        <v>0</v>
      </c>
    </row>
    <row r="2857" spans="1:18" x14ac:dyDescent="0.3">
      <c r="A2857">
        <f t="shared" si="205"/>
        <v>2840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135.05500000000001</v>
      </c>
      <c r="R2857" t="b">
        <f>AND(ISNUMBER(FIND($E2857,Tables!$I$2)), ISNUMBER(FIND($D2857,Tables!$J$2)), $E2857&lt;&gt;"")</f>
        <v>0</v>
      </c>
    </row>
    <row r="2858" spans="1:18" x14ac:dyDescent="0.3">
      <c r="A2858">
        <f t="shared" si="205"/>
        <v>2841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135.05500000000001</v>
      </c>
      <c r="R2858" t="b">
        <f>AND(ISNUMBER(FIND($E2858,Tables!$I$2)), ISNUMBER(FIND($D2858,Tables!$J$2)), $E2858&lt;&gt;"")</f>
        <v>0</v>
      </c>
    </row>
    <row r="2859" spans="1:18" x14ac:dyDescent="0.3">
      <c r="A2859">
        <f t="shared" si="205"/>
        <v>2842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135.05500000000001</v>
      </c>
      <c r="R2859" t="b">
        <f>AND(ISNUMBER(FIND($E2859,Tables!$I$2)), ISNUMBER(FIND($D2859,Tables!$J$2)), $E2859&lt;&gt;"")</f>
        <v>0</v>
      </c>
    </row>
    <row r="2860" spans="1:18" x14ac:dyDescent="0.3">
      <c r="A2860">
        <f t="shared" si="205"/>
        <v>2843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135.05500000000001</v>
      </c>
      <c r="R2860" t="b">
        <f>AND(ISNUMBER(FIND($E2860,Tables!$I$2)), ISNUMBER(FIND($D2860,Tables!$J$2)), $E2860&lt;&gt;"")</f>
        <v>0</v>
      </c>
    </row>
    <row r="2861" spans="1:18" x14ac:dyDescent="0.3">
      <c r="A2861">
        <f t="shared" si="205"/>
        <v>2844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135.05500000000001</v>
      </c>
      <c r="R2861" t="b">
        <f>AND(ISNUMBER(FIND($E2861,Tables!$I$2)), ISNUMBER(FIND($D2861,Tables!$J$2)), $E2861&lt;&gt;"")</f>
        <v>0</v>
      </c>
    </row>
    <row r="2862" spans="1:18" x14ac:dyDescent="0.3">
      <c r="A2862">
        <f t="shared" si="205"/>
        <v>2845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135.05500000000001</v>
      </c>
      <c r="R2862" t="b">
        <f>AND(ISNUMBER(FIND($E2862,Tables!$I$2)), ISNUMBER(FIND($D2862,Tables!$J$2)), $E2862&lt;&gt;"")</f>
        <v>0</v>
      </c>
    </row>
    <row r="2863" spans="1:18" x14ac:dyDescent="0.3">
      <c r="A2863">
        <f t="shared" si="205"/>
        <v>2846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135.05500000000001</v>
      </c>
      <c r="R2863" t="b">
        <f>AND(ISNUMBER(FIND($E2863,Tables!$I$2)), ISNUMBER(FIND($D2863,Tables!$J$2)), $E2863&lt;&gt;"")</f>
        <v>0</v>
      </c>
    </row>
    <row r="2864" spans="1:18" x14ac:dyDescent="0.3">
      <c r="A2864">
        <f t="shared" si="205"/>
        <v>2847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135.05500000000001</v>
      </c>
      <c r="R2864" t="b">
        <f>AND(ISNUMBER(FIND($E2864,Tables!$I$2)), ISNUMBER(FIND($D2864,Tables!$J$2)), $E2864&lt;&gt;"")</f>
        <v>0</v>
      </c>
    </row>
    <row r="2865" spans="1:18" x14ac:dyDescent="0.3">
      <c r="A2865">
        <f t="shared" si="205"/>
        <v>2848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135.05500000000001</v>
      </c>
      <c r="R2865" t="b">
        <f>AND(ISNUMBER(FIND($E2865,Tables!$I$2)), ISNUMBER(FIND($D2865,Tables!$J$2)), $E2865&lt;&gt;"")</f>
        <v>0</v>
      </c>
    </row>
    <row r="2866" spans="1:18" x14ac:dyDescent="0.3">
      <c r="A2866">
        <f t="shared" si="205"/>
        <v>2849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135.05500000000001</v>
      </c>
      <c r="R2866" t="b">
        <f>AND(ISNUMBER(FIND($E2866,Tables!$I$2)), ISNUMBER(FIND($D2866,Tables!$J$2)), $E2866&lt;&gt;"")</f>
        <v>0</v>
      </c>
    </row>
    <row r="2867" spans="1:18" x14ac:dyDescent="0.3">
      <c r="A2867">
        <f t="shared" si="205"/>
        <v>2850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135.05500000000001</v>
      </c>
      <c r="R2867" t="b">
        <f>AND(ISNUMBER(FIND($E2867,Tables!$I$2)), ISNUMBER(FIND($D2867,Tables!$J$2)), $E2867&lt;&gt;"")</f>
        <v>0</v>
      </c>
    </row>
    <row r="2868" spans="1:18" x14ac:dyDescent="0.3">
      <c r="A2868">
        <f t="shared" si="205"/>
        <v>2851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135.05500000000001</v>
      </c>
      <c r="R2868" t="b">
        <f>AND(ISNUMBER(FIND($E2868,Tables!$I$2)), ISNUMBER(FIND($D2868,Tables!$J$2)), $E2868&lt;&gt;"")</f>
        <v>0</v>
      </c>
    </row>
    <row r="2869" spans="1:18" x14ac:dyDescent="0.3">
      <c r="A2869">
        <f t="shared" si="205"/>
        <v>2852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135.05500000000001</v>
      </c>
      <c r="R2869" t="b">
        <f>AND(ISNUMBER(FIND($E2869,Tables!$I$2)), ISNUMBER(FIND($D2869,Tables!$J$2)), $E2869&lt;&gt;"")</f>
        <v>0</v>
      </c>
    </row>
    <row r="2870" spans="1:18" x14ac:dyDescent="0.3">
      <c r="A2870">
        <f t="shared" si="205"/>
        <v>2853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135.05500000000001</v>
      </c>
      <c r="R2870" t="b">
        <f>AND(ISNUMBER(FIND($E2870,Tables!$I$2)), ISNUMBER(FIND($D2870,Tables!$J$2)), $E2870&lt;&gt;"")</f>
        <v>0</v>
      </c>
    </row>
    <row r="2871" spans="1:18" x14ac:dyDescent="0.3">
      <c r="A2871">
        <f t="shared" si="205"/>
        <v>2854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135.05500000000001</v>
      </c>
      <c r="R2871" t="b">
        <f>AND(ISNUMBER(FIND($E2871,Tables!$I$2)), ISNUMBER(FIND($D2871,Tables!$J$2)), $E2871&lt;&gt;"")</f>
        <v>0</v>
      </c>
    </row>
    <row r="2872" spans="1:18" x14ac:dyDescent="0.3">
      <c r="A2872">
        <f t="shared" si="205"/>
        <v>2855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135.05500000000001</v>
      </c>
      <c r="R2872" t="b">
        <f>AND(ISNUMBER(FIND($E2872,Tables!$I$2)), ISNUMBER(FIND($D2872,Tables!$J$2)), $E2872&lt;&gt;"")</f>
        <v>0</v>
      </c>
    </row>
    <row r="2873" spans="1:18" x14ac:dyDescent="0.3">
      <c r="A2873">
        <f t="shared" si="205"/>
        <v>2856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135.05500000000001</v>
      </c>
      <c r="R2873" t="b">
        <f>AND(ISNUMBER(FIND($E2873,Tables!$I$2)), ISNUMBER(FIND($D2873,Tables!$J$2)), $E2873&lt;&gt;"")</f>
        <v>0</v>
      </c>
    </row>
    <row r="2874" spans="1:18" x14ac:dyDescent="0.3">
      <c r="A2874">
        <f t="shared" si="205"/>
        <v>2857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135.05500000000001</v>
      </c>
      <c r="R2874" t="b">
        <f>AND(ISNUMBER(FIND($E2874,Tables!$I$2)), ISNUMBER(FIND($D2874,Tables!$J$2)), $E2874&lt;&gt;"")</f>
        <v>0</v>
      </c>
    </row>
    <row r="2875" spans="1:18" x14ac:dyDescent="0.3">
      <c r="A2875">
        <f t="shared" si="205"/>
        <v>2858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135.05500000000001</v>
      </c>
      <c r="R2875" t="b">
        <f>AND(ISNUMBER(FIND($E2875,Tables!$I$2)), ISNUMBER(FIND($D2875,Tables!$J$2)), $E2875&lt;&gt;"")</f>
        <v>0</v>
      </c>
    </row>
    <row r="2876" spans="1:18" x14ac:dyDescent="0.3">
      <c r="A2876">
        <f t="shared" si="205"/>
        <v>2859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135.05500000000001</v>
      </c>
      <c r="R2876" t="b">
        <f>AND(ISNUMBER(FIND($E2876,Tables!$I$2)), ISNUMBER(FIND($D2876,Tables!$J$2)), $E2876&lt;&gt;"")</f>
        <v>0</v>
      </c>
    </row>
    <row r="2877" spans="1:18" x14ac:dyDescent="0.3">
      <c r="A2877">
        <f t="shared" si="205"/>
        <v>2860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135.05500000000001</v>
      </c>
      <c r="R2877" t="b">
        <f>AND(ISNUMBER(FIND($E2877,Tables!$I$2)), ISNUMBER(FIND($D2877,Tables!$J$2)), $E2877&lt;&gt;"")</f>
        <v>0</v>
      </c>
    </row>
    <row r="2878" spans="1:18" x14ac:dyDescent="0.3">
      <c r="A2878">
        <f t="shared" si="205"/>
        <v>2861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135.05500000000001</v>
      </c>
      <c r="R2878" t="b">
        <f>AND(ISNUMBER(FIND($E2878,Tables!$I$2)), ISNUMBER(FIND($D2878,Tables!$J$2)), $E2878&lt;&gt;"")</f>
        <v>0</v>
      </c>
    </row>
    <row r="2879" spans="1:18" x14ac:dyDescent="0.3">
      <c r="A2879">
        <f t="shared" si="205"/>
        <v>2862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135.05500000000001</v>
      </c>
      <c r="R2879" t="b">
        <f>AND(ISNUMBER(FIND($E2879,Tables!$I$2)), ISNUMBER(FIND($D2879,Tables!$J$2)), $E2879&lt;&gt;"")</f>
        <v>0</v>
      </c>
    </row>
    <row r="2880" spans="1:18" x14ac:dyDescent="0.3">
      <c r="A2880">
        <f t="shared" si="205"/>
        <v>2863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135.05500000000001</v>
      </c>
      <c r="R2880" t="b">
        <f>AND(ISNUMBER(FIND($E2880,Tables!$I$2)), ISNUMBER(FIND($D2880,Tables!$J$2)), $E2880&lt;&gt;"")</f>
        <v>0</v>
      </c>
    </row>
    <row r="2881" spans="1:18" x14ac:dyDescent="0.3">
      <c r="A2881">
        <f t="shared" si="205"/>
        <v>2864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135.05500000000001</v>
      </c>
      <c r="R2881" t="b">
        <f>AND(ISNUMBER(FIND($E2881,Tables!$I$2)), ISNUMBER(FIND($D2881,Tables!$J$2)), $E2881&lt;&gt;"")</f>
        <v>0</v>
      </c>
    </row>
    <row r="2882" spans="1:18" x14ac:dyDescent="0.3">
      <c r="A2882">
        <f t="shared" si="205"/>
        <v>2865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135.05500000000001</v>
      </c>
      <c r="R2882" t="b">
        <f>AND(ISNUMBER(FIND($E2882,Tables!$I$2)), ISNUMBER(FIND($D2882,Tables!$J$2)), $E2882&lt;&gt;"")</f>
        <v>0</v>
      </c>
    </row>
    <row r="2883" spans="1:18" x14ac:dyDescent="0.3">
      <c r="A2883">
        <f t="shared" si="205"/>
        <v>2866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135.05500000000001</v>
      </c>
      <c r="R2883" t="b">
        <f>AND(ISNUMBER(FIND($E2883,Tables!$I$2)), ISNUMBER(FIND($D2883,Tables!$J$2)), $E2883&lt;&gt;"")</f>
        <v>0</v>
      </c>
    </row>
    <row r="2884" spans="1:18" x14ac:dyDescent="0.3">
      <c r="A2884">
        <f t="shared" si="205"/>
        <v>2867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135.05500000000001</v>
      </c>
      <c r="R2884" t="b">
        <f>AND(ISNUMBER(FIND($E2884,Tables!$I$2)), ISNUMBER(FIND($D2884,Tables!$J$2)), $E2884&lt;&gt;"")</f>
        <v>0</v>
      </c>
    </row>
    <row r="2885" spans="1:18" x14ac:dyDescent="0.3">
      <c r="A2885">
        <f t="shared" si="205"/>
        <v>2868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135.05500000000001</v>
      </c>
      <c r="R2885" t="b">
        <f>AND(ISNUMBER(FIND($E2885,Tables!$I$2)), ISNUMBER(FIND($D2885,Tables!$J$2)), $E2885&lt;&gt;"")</f>
        <v>0</v>
      </c>
    </row>
    <row r="2886" spans="1:18" x14ac:dyDescent="0.3">
      <c r="A2886">
        <f t="shared" si="205"/>
        <v>2869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135.05500000000001</v>
      </c>
      <c r="R2886" t="b">
        <f>AND(ISNUMBER(FIND($E2886,Tables!$I$2)), ISNUMBER(FIND($D2886,Tables!$J$2)), $E2886&lt;&gt;"")</f>
        <v>0</v>
      </c>
    </row>
    <row r="2887" spans="1:18" x14ac:dyDescent="0.3">
      <c r="A2887">
        <f t="shared" si="205"/>
        <v>2870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135.05500000000001</v>
      </c>
      <c r="R2887" t="b">
        <f>AND(ISNUMBER(FIND($E2887,Tables!$I$2)), ISNUMBER(FIND($D2887,Tables!$J$2)), $E2887&lt;&gt;"")</f>
        <v>0</v>
      </c>
    </row>
    <row r="2888" spans="1:18" x14ac:dyDescent="0.3">
      <c r="A2888">
        <f t="shared" si="205"/>
        <v>2871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135.05500000000001</v>
      </c>
      <c r="R2888" t="b">
        <f>AND(ISNUMBER(FIND($E2888,Tables!$I$2)), ISNUMBER(FIND($D2888,Tables!$J$2)), $E2888&lt;&gt;"")</f>
        <v>0</v>
      </c>
    </row>
    <row r="2889" spans="1:18" x14ac:dyDescent="0.3">
      <c r="A2889">
        <f t="shared" si="205"/>
        <v>2872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135.05500000000001</v>
      </c>
      <c r="R2889" t="b">
        <f>AND(ISNUMBER(FIND($E2889,Tables!$I$2)), ISNUMBER(FIND($D2889,Tables!$J$2)), $E2889&lt;&gt;"")</f>
        <v>0</v>
      </c>
    </row>
    <row r="2890" spans="1:18" x14ac:dyDescent="0.3">
      <c r="A2890">
        <f t="shared" si="205"/>
        <v>2873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135.05500000000001</v>
      </c>
      <c r="R2890" t="b">
        <f>AND(ISNUMBER(FIND($E2890,Tables!$I$2)), ISNUMBER(FIND($D2890,Tables!$J$2)), $E2890&lt;&gt;"")</f>
        <v>0</v>
      </c>
    </row>
    <row r="2891" spans="1:18" x14ac:dyDescent="0.3">
      <c r="A2891">
        <f t="shared" si="205"/>
        <v>2874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135.05500000000001</v>
      </c>
      <c r="R2891" t="b">
        <f>AND(ISNUMBER(FIND($E2891,Tables!$I$2)), ISNUMBER(FIND($D2891,Tables!$J$2)), $E2891&lt;&gt;"")</f>
        <v>0</v>
      </c>
    </row>
    <row r="2892" spans="1:18" x14ac:dyDescent="0.3">
      <c r="A2892">
        <f t="shared" si="205"/>
        <v>2875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135.05500000000001</v>
      </c>
      <c r="R2892" t="b">
        <f>AND(ISNUMBER(FIND($E2892,Tables!$I$2)), ISNUMBER(FIND($D2892,Tables!$J$2)), $E2892&lt;&gt;"")</f>
        <v>0</v>
      </c>
    </row>
    <row r="2893" spans="1:18" x14ac:dyDescent="0.3">
      <c r="A2893">
        <f t="shared" si="205"/>
        <v>2876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135.05500000000001</v>
      </c>
      <c r="R2893" t="b">
        <f>AND(ISNUMBER(FIND($E2893,Tables!$I$2)), ISNUMBER(FIND($D2893,Tables!$J$2)), $E2893&lt;&gt;"")</f>
        <v>0</v>
      </c>
    </row>
    <row r="2894" spans="1:18" x14ac:dyDescent="0.3">
      <c r="A2894">
        <f t="shared" si="205"/>
        <v>2877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135.05500000000001</v>
      </c>
      <c r="R2894" t="b">
        <f>AND(ISNUMBER(FIND($E2894,Tables!$I$2)), ISNUMBER(FIND($D2894,Tables!$J$2)), $E2894&lt;&gt;"")</f>
        <v>0</v>
      </c>
    </row>
    <row r="2895" spans="1:18" x14ac:dyDescent="0.3">
      <c r="A2895">
        <f t="shared" si="205"/>
        <v>2878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135.05500000000001</v>
      </c>
      <c r="R2895" t="b">
        <f>AND(ISNUMBER(FIND($E2895,Tables!$I$2)), ISNUMBER(FIND($D2895,Tables!$J$2)), $E2895&lt;&gt;"")</f>
        <v>0</v>
      </c>
    </row>
    <row r="2896" spans="1:18" x14ac:dyDescent="0.3">
      <c r="A2896">
        <f t="shared" si="205"/>
        <v>2879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135.05500000000001</v>
      </c>
      <c r="R2896" t="b">
        <f>AND(ISNUMBER(FIND($E2896,Tables!$I$2)), ISNUMBER(FIND($D2896,Tables!$J$2)), $E2896&lt;&gt;"")</f>
        <v>0</v>
      </c>
    </row>
    <row r="2897" spans="1:18" x14ac:dyDescent="0.3">
      <c r="A2897">
        <f t="shared" si="205"/>
        <v>2880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135.05500000000001</v>
      </c>
      <c r="R2897" t="b">
        <f>AND(ISNUMBER(FIND($E2897,Tables!$I$2)), ISNUMBER(FIND($D2897,Tables!$J$2)), $E2897&lt;&gt;"")</f>
        <v>0</v>
      </c>
    </row>
    <row r="2898" spans="1:18" x14ac:dyDescent="0.3">
      <c r="A2898">
        <f t="shared" si="205"/>
        <v>2881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135.05500000000001</v>
      </c>
      <c r="R2898" t="b">
        <f>AND(ISNUMBER(FIND($E2898,Tables!$I$2)), ISNUMBER(FIND($D2898,Tables!$J$2)), $E2898&lt;&gt;"")</f>
        <v>0</v>
      </c>
    </row>
    <row r="2899" spans="1:18" x14ac:dyDescent="0.3">
      <c r="A2899">
        <f t="shared" si="205"/>
        <v>2882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135.05500000000001</v>
      </c>
      <c r="R2899" t="b">
        <f>AND(ISNUMBER(FIND($E2899,Tables!$I$2)), ISNUMBER(FIND($D2899,Tables!$J$2)), $E2899&lt;&gt;"")</f>
        <v>0</v>
      </c>
    </row>
    <row r="2900" spans="1:18" x14ac:dyDescent="0.3">
      <c r="A2900">
        <f t="shared" si="205"/>
        <v>2883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135.05500000000001</v>
      </c>
      <c r="R2900" t="b">
        <f>AND(ISNUMBER(FIND($E2900,Tables!$I$2)), ISNUMBER(FIND($D2900,Tables!$J$2)), $E2900&lt;&gt;"")</f>
        <v>0</v>
      </c>
    </row>
    <row r="2901" spans="1:18" x14ac:dyDescent="0.3">
      <c r="A2901">
        <f t="shared" si="205"/>
        <v>2884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135.05500000000001</v>
      </c>
      <c r="R2901" t="b">
        <f>AND(ISNUMBER(FIND($E2901,Tables!$I$2)), ISNUMBER(FIND($D2901,Tables!$J$2)), $E2901&lt;&gt;"")</f>
        <v>0</v>
      </c>
    </row>
    <row r="2902" spans="1:18" x14ac:dyDescent="0.3">
      <c r="A2902">
        <f t="shared" si="205"/>
        <v>2885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135.05500000000001</v>
      </c>
      <c r="R2902" t="b">
        <f>AND(ISNUMBER(FIND($E2902,Tables!$I$2)), ISNUMBER(FIND($D2902,Tables!$J$2)), $E2902&lt;&gt;"")</f>
        <v>0</v>
      </c>
    </row>
    <row r="2903" spans="1:18" x14ac:dyDescent="0.3">
      <c r="A2903">
        <f t="shared" si="205"/>
        <v>2886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135.05500000000001</v>
      </c>
      <c r="R2903" t="b">
        <f>AND(ISNUMBER(FIND($E2903,Tables!$I$2)), ISNUMBER(FIND($D2903,Tables!$J$2)), $E2903&lt;&gt;"")</f>
        <v>0</v>
      </c>
    </row>
    <row r="2904" spans="1:18" x14ac:dyDescent="0.3">
      <c r="A2904">
        <f t="shared" si="205"/>
        <v>2887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135.05500000000001</v>
      </c>
      <c r="R2904" t="b">
        <f>AND(ISNUMBER(FIND($E2904,Tables!$I$2)), ISNUMBER(FIND($D2904,Tables!$J$2)), $E2904&lt;&gt;"")</f>
        <v>0</v>
      </c>
    </row>
    <row r="2905" spans="1:18" x14ac:dyDescent="0.3">
      <c r="A2905">
        <f t="shared" si="205"/>
        <v>2888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135.05500000000001</v>
      </c>
      <c r="R2905" t="b">
        <f>AND(ISNUMBER(FIND($E2905,Tables!$I$2)), ISNUMBER(FIND($D2905,Tables!$J$2)), $E2905&lt;&gt;"")</f>
        <v>0</v>
      </c>
    </row>
    <row r="2906" spans="1:18" x14ac:dyDescent="0.3">
      <c r="A2906">
        <f t="shared" si="205"/>
        <v>2889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135.05500000000001</v>
      </c>
      <c r="R2906" t="b">
        <f>AND(ISNUMBER(FIND($E2906,Tables!$I$2)), ISNUMBER(FIND($D2906,Tables!$J$2)), $E2906&lt;&gt;"")</f>
        <v>0</v>
      </c>
    </row>
    <row r="2907" spans="1:18" x14ac:dyDescent="0.3">
      <c r="A2907">
        <f t="shared" si="205"/>
        <v>2890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135.05500000000001</v>
      </c>
      <c r="R2907" t="b">
        <f>AND(ISNUMBER(FIND($E2907,Tables!$I$2)), ISNUMBER(FIND($D2907,Tables!$J$2)), $E2907&lt;&gt;"")</f>
        <v>0</v>
      </c>
    </row>
    <row r="2908" spans="1:18" x14ac:dyDescent="0.3">
      <c r="A2908">
        <f t="shared" si="205"/>
        <v>2891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135.05500000000001</v>
      </c>
      <c r="R2908" t="b">
        <f>AND(ISNUMBER(FIND($E2908,Tables!$I$2)), ISNUMBER(FIND($D2908,Tables!$J$2)), $E2908&lt;&gt;"")</f>
        <v>0</v>
      </c>
    </row>
    <row r="2909" spans="1:18" x14ac:dyDescent="0.3">
      <c r="A2909">
        <f t="shared" si="205"/>
        <v>2892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135.05500000000001</v>
      </c>
      <c r="R2909" t="b">
        <f>AND(ISNUMBER(FIND($E2909,Tables!$I$2)), ISNUMBER(FIND($D2909,Tables!$J$2)), $E2909&lt;&gt;"")</f>
        <v>0</v>
      </c>
    </row>
    <row r="2910" spans="1:18" x14ac:dyDescent="0.3">
      <c r="A2910">
        <f t="shared" si="205"/>
        <v>2893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135.05500000000001</v>
      </c>
      <c r="R2910" t="b">
        <f>AND(ISNUMBER(FIND($E2910,Tables!$I$2)), ISNUMBER(FIND($D2910,Tables!$J$2)), $E2910&lt;&gt;"")</f>
        <v>0</v>
      </c>
    </row>
    <row r="2911" spans="1:18" x14ac:dyDescent="0.3">
      <c r="A2911">
        <f t="shared" si="205"/>
        <v>2894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135.05500000000001</v>
      </c>
      <c r="R2911" t="b">
        <f>AND(ISNUMBER(FIND($E2911,Tables!$I$2)), ISNUMBER(FIND($D2911,Tables!$J$2)), $E2911&lt;&gt;"")</f>
        <v>0</v>
      </c>
    </row>
    <row r="2912" spans="1:18" x14ac:dyDescent="0.3">
      <c r="A2912">
        <f t="shared" si="205"/>
        <v>2895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135.05500000000001</v>
      </c>
      <c r="R2912" t="b">
        <f>AND(ISNUMBER(FIND($E2912,Tables!$I$2)), ISNUMBER(FIND($D2912,Tables!$J$2)), $E2912&lt;&gt;"")</f>
        <v>0</v>
      </c>
    </row>
    <row r="2913" spans="1:18" x14ac:dyDescent="0.3">
      <c r="A2913">
        <f t="shared" si="205"/>
        <v>2896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135.05500000000001</v>
      </c>
      <c r="R2913" t="b">
        <f>AND(ISNUMBER(FIND($E2913,Tables!$I$2)), ISNUMBER(FIND($D2913,Tables!$J$2)), $E2913&lt;&gt;"")</f>
        <v>0</v>
      </c>
    </row>
    <row r="2914" spans="1:18" x14ac:dyDescent="0.3">
      <c r="A2914">
        <f t="shared" ref="A2914:A2977" si="206">IF(AND(B2914="", D2914&lt;&gt;""), A2913, A2913+1)</f>
        <v>2897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135.05500000000001</v>
      </c>
      <c r="R2914" t="b">
        <f>AND(ISNUMBER(FIND($E2914,Tables!$I$2)), ISNUMBER(FIND($D2914,Tables!$J$2)), $E2914&lt;&gt;"")</f>
        <v>0</v>
      </c>
    </row>
    <row r="2915" spans="1:18" x14ac:dyDescent="0.3">
      <c r="A2915">
        <f t="shared" si="206"/>
        <v>2898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135.05500000000001</v>
      </c>
      <c r="R2915" t="b">
        <f>AND(ISNUMBER(FIND($E2915,Tables!$I$2)), ISNUMBER(FIND($D2915,Tables!$J$2)), $E2915&lt;&gt;"")</f>
        <v>0</v>
      </c>
    </row>
    <row r="2916" spans="1:18" x14ac:dyDescent="0.3">
      <c r="A2916">
        <f t="shared" si="206"/>
        <v>2899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135.05500000000001</v>
      </c>
      <c r="R2916" t="b">
        <f>AND(ISNUMBER(FIND($E2916,Tables!$I$2)), ISNUMBER(FIND($D2916,Tables!$J$2)), $E2916&lt;&gt;"")</f>
        <v>0</v>
      </c>
    </row>
    <row r="2917" spans="1:18" x14ac:dyDescent="0.3">
      <c r="A2917">
        <f t="shared" si="206"/>
        <v>2900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135.05500000000001</v>
      </c>
      <c r="R2917" t="b">
        <f>AND(ISNUMBER(FIND($E2917,Tables!$I$2)), ISNUMBER(FIND($D2917,Tables!$J$2)), $E2917&lt;&gt;"")</f>
        <v>0</v>
      </c>
    </row>
    <row r="2918" spans="1:18" x14ac:dyDescent="0.3">
      <c r="A2918">
        <f t="shared" si="206"/>
        <v>2901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135.05500000000001</v>
      </c>
      <c r="R2918" t="b">
        <f>AND(ISNUMBER(FIND($E2918,Tables!$I$2)), ISNUMBER(FIND($D2918,Tables!$J$2)), $E2918&lt;&gt;"")</f>
        <v>0</v>
      </c>
    </row>
    <row r="2919" spans="1:18" x14ac:dyDescent="0.3">
      <c r="A2919">
        <f t="shared" si="206"/>
        <v>2902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135.05500000000001</v>
      </c>
      <c r="R2919" t="b">
        <f>AND(ISNUMBER(FIND($E2919,Tables!$I$2)), ISNUMBER(FIND($D2919,Tables!$J$2)), $E2919&lt;&gt;"")</f>
        <v>0</v>
      </c>
    </row>
    <row r="2920" spans="1:18" x14ac:dyDescent="0.3">
      <c r="A2920">
        <f t="shared" si="206"/>
        <v>2903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135.05500000000001</v>
      </c>
      <c r="R2920" t="b">
        <f>AND(ISNUMBER(FIND($E2920,Tables!$I$2)), ISNUMBER(FIND($D2920,Tables!$J$2)), $E2920&lt;&gt;"")</f>
        <v>0</v>
      </c>
    </row>
    <row r="2921" spans="1:18" x14ac:dyDescent="0.3">
      <c r="A2921">
        <f t="shared" si="206"/>
        <v>2904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135.05500000000001</v>
      </c>
      <c r="R2921" t="b">
        <f>AND(ISNUMBER(FIND($E2921,Tables!$I$2)), ISNUMBER(FIND($D2921,Tables!$J$2)), $E2921&lt;&gt;"")</f>
        <v>0</v>
      </c>
    </row>
    <row r="2922" spans="1:18" x14ac:dyDescent="0.3">
      <c r="A2922">
        <f t="shared" si="206"/>
        <v>2905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135.05500000000001</v>
      </c>
      <c r="R2922" t="b">
        <f>AND(ISNUMBER(FIND($E2922,Tables!$I$2)), ISNUMBER(FIND($D2922,Tables!$J$2)), $E2922&lt;&gt;"")</f>
        <v>0</v>
      </c>
    </row>
    <row r="2923" spans="1:18" x14ac:dyDescent="0.3">
      <c r="A2923">
        <f t="shared" si="206"/>
        <v>2906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135.05500000000001</v>
      </c>
      <c r="R2923" t="b">
        <f>AND(ISNUMBER(FIND($E2923,Tables!$I$2)), ISNUMBER(FIND($D2923,Tables!$J$2)), $E2923&lt;&gt;"")</f>
        <v>0</v>
      </c>
    </row>
    <row r="2924" spans="1:18" x14ac:dyDescent="0.3">
      <c r="A2924">
        <f t="shared" si="206"/>
        <v>2907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135.05500000000001</v>
      </c>
      <c r="R2924" t="b">
        <f>AND(ISNUMBER(FIND($E2924,Tables!$I$2)), ISNUMBER(FIND($D2924,Tables!$J$2)), $E2924&lt;&gt;"")</f>
        <v>0</v>
      </c>
    </row>
    <row r="2925" spans="1:18" x14ac:dyDescent="0.3">
      <c r="A2925">
        <f t="shared" si="206"/>
        <v>2908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135.05500000000001</v>
      </c>
      <c r="R2925" t="b">
        <f>AND(ISNUMBER(FIND($E2925,Tables!$I$2)), ISNUMBER(FIND($D2925,Tables!$J$2)), $E2925&lt;&gt;"")</f>
        <v>0</v>
      </c>
    </row>
    <row r="2926" spans="1:18" x14ac:dyDescent="0.3">
      <c r="A2926">
        <f t="shared" si="206"/>
        <v>2909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135.05500000000001</v>
      </c>
      <c r="R2926" t="b">
        <f>AND(ISNUMBER(FIND($E2926,Tables!$I$2)), ISNUMBER(FIND($D2926,Tables!$J$2)), $E2926&lt;&gt;"")</f>
        <v>0</v>
      </c>
    </row>
    <row r="2927" spans="1:18" x14ac:dyDescent="0.3">
      <c r="A2927">
        <f t="shared" si="206"/>
        <v>2910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135.05500000000001</v>
      </c>
      <c r="R2927" t="b">
        <f>AND(ISNUMBER(FIND($E2927,Tables!$I$2)), ISNUMBER(FIND($D2927,Tables!$J$2)), $E2927&lt;&gt;"")</f>
        <v>0</v>
      </c>
    </row>
    <row r="2928" spans="1:18" x14ac:dyDescent="0.3">
      <c r="A2928">
        <f t="shared" si="206"/>
        <v>2911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135.05500000000001</v>
      </c>
      <c r="R2928" t="b">
        <f>AND(ISNUMBER(FIND($E2928,Tables!$I$2)), ISNUMBER(FIND($D2928,Tables!$J$2)), $E2928&lt;&gt;"")</f>
        <v>0</v>
      </c>
    </row>
    <row r="2929" spans="1:18" x14ac:dyDescent="0.3">
      <c r="A2929">
        <f t="shared" si="206"/>
        <v>2912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135.05500000000001</v>
      </c>
      <c r="R2929" t="b">
        <f>AND(ISNUMBER(FIND($E2929,Tables!$I$2)), ISNUMBER(FIND($D2929,Tables!$J$2)), $E2929&lt;&gt;"")</f>
        <v>0</v>
      </c>
    </row>
    <row r="2930" spans="1:18" x14ac:dyDescent="0.3">
      <c r="A2930">
        <f t="shared" si="206"/>
        <v>2913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135.05500000000001</v>
      </c>
      <c r="R2930" t="b">
        <f>AND(ISNUMBER(FIND($E2930,Tables!$I$2)), ISNUMBER(FIND($D2930,Tables!$J$2)), $E2930&lt;&gt;"")</f>
        <v>0</v>
      </c>
    </row>
    <row r="2931" spans="1:18" x14ac:dyDescent="0.3">
      <c r="A2931">
        <f t="shared" si="206"/>
        <v>2914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135.05500000000001</v>
      </c>
      <c r="R2931" t="b">
        <f>AND(ISNUMBER(FIND($E2931,Tables!$I$2)), ISNUMBER(FIND($D2931,Tables!$J$2)), $E2931&lt;&gt;"")</f>
        <v>0</v>
      </c>
    </row>
    <row r="2932" spans="1:18" x14ac:dyDescent="0.3">
      <c r="A2932">
        <f t="shared" si="206"/>
        <v>2915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135.05500000000001</v>
      </c>
      <c r="R2932" t="b">
        <f>AND(ISNUMBER(FIND($E2932,Tables!$I$2)), ISNUMBER(FIND($D2932,Tables!$J$2)), $E2932&lt;&gt;"")</f>
        <v>0</v>
      </c>
    </row>
    <row r="2933" spans="1:18" x14ac:dyDescent="0.3">
      <c r="A2933">
        <f t="shared" si="206"/>
        <v>2916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135.05500000000001</v>
      </c>
      <c r="R2933" t="b">
        <f>AND(ISNUMBER(FIND($E2933,Tables!$I$2)), ISNUMBER(FIND($D2933,Tables!$J$2)), $E2933&lt;&gt;"")</f>
        <v>0</v>
      </c>
    </row>
    <row r="2934" spans="1:18" x14ac:dyDescent="0.3">
      <c r="A2934">
        <f t="shared" si="206"/>
        <v>2917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135.05500000000001</v>
      </c>
      <c r="R2934" t="b">
        <f>AND(ISNUMBER(FIND($E2934,Tables!$I$2)), ISNUMBER(FIND($D2934,Tables!$J$2)), $E2934&lt;&gt;"")</f>
        <v>0</v>
      </c>
    </row>
    <row r="2935" spans="1:18" x14ac:dyDescent="0.3">
      <c r="A2935">
        <f t="shared" si="206"/>
        <v>2918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135.05500000000001</v>
      </c>
      <c r="R2935" t="b">
        <f>AND(ISNUMBER(FIND($E2935,Tables!$I$2)), ISNUMBER(FIND($D2935,Tables!$J$2)), $E2935&lt;&gt;"")</f>
        <v>0</v>
      </c>
    </row>
    <row r="2936" spans="1:18" x14ac:dyDescent="0.3">
      <c r="A2936">
        <f t="shared" si="206"/>
        <v>2919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135.05500000000001</v>
      </c>
      <c r="R2936" t="b">
        <f>AND(ISNUMBER(FIND($E2936,Tables!$I$2)), ISNUMBER(FIND($D2936,Tables!$J$2)), $E2936&lt;&gt;"")</f>
        <v>0</v>
      </c>
    </row>
    <row r="2937" spans="1:18" x14ac:dyDescent="0.3">
      <c r="A2937">
        <f t="shared" si="206"/>
        <v>2920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135.05500000000001</v>
      </c>
      <c r="R2937" t="b">
        <f>AND(ISNUMBER(FIND($E2937,Tables!$I$2)), ISNUMBER(FIND($D2937,Tables!$J$2)), $E2937&lt;&gt;"")</f>
        <v>0</v>
      </c>
    </row>
    <row r="2938" spans="1:18" x14ac:dyDescent="0.3">
      <c r="A2938">
        <f t="shared" si="206"/>
        <v>2921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135.05500000000001</v>
      </c>
      <c r="R2938" t="b">
        <f>AND(ISNUMBER(FIND($E2938,Tables!$I$2)), ISNUMBER(FIND($D2938,Tables!$J$2)), $E2938&lt;&gt;"")</f>
        <v>0</v>
      </c>
    </row>
    <row r="2939" spans="1:18" x14ac:dyDescent="0.3">
      <c r="A2939">
        <f t="shared" si="206"/>
        <v>2922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135.05500000000001</v>
      </c>
      <c r="R2939" t="b">
        <f>AND(ISNUMBER(FIND($E2939,Tables!$I$2)), ISNUMBER(FIND($D2939,Tables!$J$2)), $E2939&lt;&gt;"")</f>
        <v>0</v>
      </c>
    </row>
    <row r="2940" spans="1:18" x14ac:dyDescent="0.3">
      <c r="A2940">
        <f t="shared" si="206"/>
        <v>2923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135.05500000000001</v>
      </c>
      <c r="R2940" t="b">
        <f>AND(ISNUMBER(FIND($E2940,Tables!$I$2)), ISNUMBER(FIND($D2940,Tables!$J$2)), $E2940&lt;&gt;"")</f>
        <v>0</v>
      </c>
    </row>
    <row r="2941" spans="1:18" x14ac:dyDescent="0.3">
      <c r="A2941">
        <f t="shared" si="206"/>
        <v>2924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135.05500000000001</v>
      </c>
      <c r="R2941" t="b">
        <f>AND(ISNUMBER(FIND($E2941,Tables!$I$2)), ISNUMBER(FIND($D2941,Tables!$J$2)), $E2941&lt;&gt;"")</f>
        <v>0</v>
      </c>
    </row>
    <row r="2942" spans="1:18" x14ac:dyDescent="0.3">
      <c r="A2942">
        <f t="shared" si="206"/>
        <v>2925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135.05500000000001</v>
      </c>
      <c r="R2942" t="b">
        <f>AND(ISNUMBER(FIND($E2942,Tables!$I$2)), ISNUMBER(FIND($D2942,Tables!$J$2)), $E2942&lt;&gt;"")</f>
        <v>0</v>
      </c>
    </row>
    <row r="2943" spans="1:18" x14ac:dyDescent="0.3">
      <c r="A2943">
        <f t="shared" si="206"/>
        <v>2926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135.05500000000001</v>
      </c>
      <c r="R2943" t="b">
        <f>AND(ISNUMBER(FIND($E2943,Tables!$I$2)), ISNUMBER(FIND($D2943,Tables!$J$2)), $E2943&lt;&gt;"")</f>
        <v>0</v>
      </c>
    </row>
    <row r="2944" spans="1:18" x14ac:dyDescent="0.3">
      <c r="A2944">
        <f t="shared" si="206"/>
        <v>2927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135.05500000000001</v>
      </c>
      <c r="R2944" t="b">
        <f>AND(ISNUMBER(FIND($E2944,Tables!$I$2)), ISNUMBER(FIND($D2944,Tables!$J$2)), $E2944&lt;&gt;"")</f>
        <v>0</v>
      </c>
    </row>
    <row r="2945" spans="1:18" x14ac:dyDescent="0.3">
      <c r="A2945">
        <f t="shared" si="206"/>
        <v>2928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135.05500000000001</v>
      </c>
      <c r="R2945" t="b">
        <f>AND(ISNUMBER(FIND($E2945,Tables!$I$2)), ISNUMBER(FIND($D2945,Tables!$J$2)), $E2945&lt;&gt;"")</f>
        <v>0</v>
      </c>
    </row>
    <row r="2946" spans="1:18" x14ac:dyDescent="0.3">
      <c r="A2946">
        <f t="shared" si="206"/>
        <v>2929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135.05500000000001</v>
      </c>
      <c r="R2946" t="b">
        <f>AND(ISNUMBER(FIND($E2946,Tables!$I$2)), ISNUMBER(FIND($D2946,Tables!$J$2)), $E2946&lt;&gt;"")</f>
        <v>0</v>
      </c>
    </row>
    <row r="2947" spans="1:18" x14ac:dyDescent="0.3">
      <c r="A2947">
        <f t="shared" si="206"/>
        <v>2930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135.05500000000001</v>
      </c>
      <c r="R2947" t="b">
        <f>AND(ISNUMBER(FIND($E2947,Tables!$I$2)), ISNUMBER(FIND($D2947,Tables!$J$2)), $E2947&lt;&gt;"")</f>
        <v>0</v>
      </c>
    </row>
    <row r="2948" spans="1:18" x14ac:dyDescent="0.3">
      <c r="A2948">
        <f t="shared" si="206"/>
        <v>2931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135.05500000000001</v>
      </c>
      <c r="R2948" t="b">
        <f>AND(ISNUMBER(FIND($E2948,Tables!$I$2)), ISNUMBER(FIND($D2948,Tables!$J$2)), $E2948&lt;&gt;"")</f>
        <v>0</v>
      </c>
    </row>
    <row r="2949" spans="1:18" x14ac:dyDescent="0.3">
      <c r="A2949">
        <f t="shared" si="206"/>
        <v>2932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135.05500000000001</v>
      </c>
      <c r="R2949" t="b">
        <f>AND(ISNUMBER(FIND($E2949,Tables!$I$2)), ISNUMBER(FIND($D2949,Tables!$J$2)), $E2949&lt;&gt;"")</f>
        <v>0</v>
      </c>
    </row>
    <row r="2950" spans="1:18" x14ac:dyDescent="0.3">
      <c r="A2950">
        <f t="shared" si="206"/>
        <v>2933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135.05500000000001</v>
      </c>
      <c r="R2950" t="b">
        <f>AND(ISNUMBER(FIND($E2950,Tables!$I$2)), ISNUMBER(FIND($D2950,Tables!$J$2)), $E2950&lt;&gt;"")</f>
        <v>0</v>
      </c>
    </row>
    <row r="2951" spans="1:18" x14ac:dyDescent="0.3">
      <c r="A2951">
        <f t="shared" si="206"/>
        <v>2934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135.05500000000001</v>
      </c>
      <c r="R2951" t="b">
        <f>AND(ISNUMBER(FIND($E2951,Tables!$I$2)), ISNUMBER(FIND($D2951,Tables!$J$2)), $E2951&lt;&gt;"")</f>
        <v>0</v>
      </c>
    </row>
    <row r="2952" spans="1:18" x14ac:dyDescent="0.3">
      <c r="A2952">
        <f t="shared" si="206"/>
        <v>2935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135.05500000000001</v>
      </c>
      <c r="R2952" t="b">
        <f>AND(ISNUMBER(FIND($E2952,Tables!$I$2)), ISNUMBER(FIND($D2952,Tables!$J$2)), $E2952&lt;&gt;"")</f>
        <v>0</v>
      </c>
    </row>
    <row r="2953" spans="1:18" x14ac:dyDescent="0.3">
      <c r="A2953">
        <f t="shared" si="206"/>
        <v>2936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135.05500000000001</v>
      </c>
      <c r="R2953" t="b">
        <f>AND(ISNUMBER(FIND($E2953,Tables!$I$2)), ISNUMBER(FIND($D2953,Tables!$J$2)), $E2953&lt;&gt;"")</f>
        <v>0</v>
      </c>
    </row>
    <row r="2954" spans="1:18" x14ac:dyDescent="0.3">
      <c r="A2954">
        <f t="shared" si="206"/>
        <v>2937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135.05500000000001</v>
      </c>
      <c r="R2954" t="b">
        <f>AND(ISNUMBER(FIND($E2954,Tables!$I$2)), ISNUMBER(FIND($D2954,Tables!$J$2)), $E2954&lt;&gt;"")</f>
        <v>0</v>
      </c>
    </row>
    <row r="2955" spans="1:18" x14ac:dyDescent="0.3">
      <c r="A2955">
        <f t="shared" si="206"/>
        <v>2938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135.05500000000001</v>
      </c>
      <c r="R2955" t="b">
        <f>AND(ISNUMBER(FIND($E2955,Tables!$I$2)), ISNUMBER(FIND($D2955,Tables!$J$2)), $E2955&lt;&gt;"")</f>
        <v>0</v>
      </c>
    </row>
    <row r="2956" spans="1:18" x14ac:dyDescent="0.3">
      <c r="A2956">
        <f t="shared" si="206"/>
        <v>2939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135.05500000000001</v>
      </c>
      <c r="R2956" t="b">
        <f>AND(ISNUMBER(FIND($E2956,Tables!$I$2)), ISNUMBER(FIND($D2956,Tables!$J$2)), $E2956&lt;&gt;"")</f>
        <v>0</v>
      </c>
    </row>
    <row r="2957" spans="1:18" x14ac:dyDescent="0.3">
      <c r="A2957">
        <f t="shared" si="206"/>
        <v>2940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135.05500000000001</v>
      </c>
      <c r="R2957" t="b">
        <f>AND(ISNUMBER(FIND($E2957,Tables!$I$2)), ISNUMBER(FIND($D2957,Tables!$J$2)), $E2957&lt;&gt;"")</f>
        <v>0</v>
      </c>
    </row>
    <row r="2958" spans="1:18" x14ac:dyDescent="0.3">
      <c r="A2958">
        <f t="shared" si="206"/>
        <v>2941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135.05500000000001</v>
      </c>
      <c r="R2958" t="b">
        <f>AND(ISNUMBER(FIND($E2958,Tables!$I$2)), ISNUMBER(FIND($D2958,Tables!$J$2)), $E2958&lt;&gt;"")</f>
        <v>0</v>
      </c>
    </row>
    <row r="2959" spans="1:18" x14ac:dyDescent="0.3">
      <c r="A2959">
        <f t="shared" si="206"/>
        <v>2942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135.05500000000001</v>
      </c>
      <c r="R2959" t="b">
        <f>AND(ISNUMBER(FIND($E2959,Tables!$I$2)), ISNUMBER(FIND($D2959,Tables!$J$2)), $E2959&lt;&gt;"")</f>
        <v>0</v>
      </c>
    </row>
    <row r="2960" spans="1:18" x14ac:dyDescent="0.3">
      <c r="A2960">
        <f t="shared" si="206"/>
        <v>2943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135.05500000000001</v>
      </c>
      <c r="R2960" t="b">
        <f>AND(ISNUMBER(FIND($E2960,Tables!$I$2)), ISNUMBER(FIND($D2960,Tables!$J$2)), $E2960&lt;&gt;"")</f>
        <v>0</v>
      </c>
    </row>
    <row r="2961" spans="1:18" x14ac:dyDescent="0.3">
      <c r="A2961">
        <f t="shared" si="206"/>
        <v>2944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135.05500000000001</v>
      </c>
      <c r="R2961" t="b">
        <f>AND(ISNUMBER(FIND($E2961,Tables!$I$2)), ISNUMBER(FIND($D2961,Tables!$J$2)), $E2961&lt;&gt;"")</f>
        <v>0</v>
      </c>
    </row>
    <row r="2962" spans="1:18" x14ac:dyDescent="0.3">
      <c r="A2962">
        <f t="shared" si="206"/>
        <v>2945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135.05500000000001</v>
      </c>
      <c r="R2962" t="b">
        <f>AND(ISNUMBER(FIND($E2962,Tables!$I$2)), ISNUMBER(FIND($D2962,Tables!$J$2)), $E2962&lt;&gt;"")</f>
        <v>0</v>
      </c>
    </row>
    <row r="2963" spans="1:18" x14ac:dyDescent="0.3">
      <c r="A2963">
        <f t="shared" si="206"/>
        <v>2946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135.05500000000001</v>
      </c>
      <c r="R2963" t="b">
        <f>AND(ISNUMBER(FIND($E2963,Tables!$I$2)), ISNUMBER(FIND($D2963,Tables!$J$2)), $E2963&lt;&gt;"")</f>
        <v>0</v>
      </c>
    </row>
    <row r="2964" spans="1:18" x14ac:dyDescent="0.3">
      <c r="A2964">
        <f t="shared" si="206"/>
        <v>2947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135.05500000000001</v>
      </c>
      <c r="R2964" t="b">
        <f>AND(ISNUMBER(FIND($E2964,Tables!$I$2)), ISNUMBER(FIND($D2964,Tables!$J$2)), $E2964&lt;&gt;"")</f>
        <v>0</v>
      </c>
    </row>
    <row r="2965" spans="1:18" x14ac:dyDescent="0.3">
      <c r="A2965">
        <f t="shared" si="206"/>
        <v>2948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135.05500000000001</v>
      </c>
      <c r="R2965" t="b">
        <f>AND(ISNUMBER(FIND($E2965,Tables!$I$2)), ISNUMBER(FIND($D2965,Tables!$J$2)), $E2965&lt;&gt;"")</f>
        <v>0</v>
      </c>
    </row>
    <row r="2966" spans="1:18" x14ac:dyDescent="0.3">
      <c r="A2966">
        <f t="shared" si="206"/>
        <v>2949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135.05500000000001</v>
      </c>
      <c r="R2966" t="b">
        <f>AND(ISNUMBER(FIND($E2966,Tables!$I$2)), ISNUMBER(FIND($D2966,Tables!$J$2)), $E2966&lt;&gt;"")</f>
        <v>0</v>
      </c>
    </row>
    <row r="2967" spans="1:18" x14ac:dyDescent="0.3">
      <c r="A2967">
        <f t="shared" si="206"/>
        <v>2950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135.05500000000001</v>
      </c>
      <c r="R2967" t="b">
        <f>AND(ISNUMBER(FIND($E2967,Tables!$I$2)), ISNUMBER(FIND($D2967,Tables!$J$2)), $E2967&lt;&gt;"")</f>
        <v>0</v>
      </c>
    </row>
    <row r="2968" spans="1:18" x14ac:dyDescent="0.3">
      <c r="A2968">
        <f t="shared" si="206"/>
        <v>2951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135.05500000000001</v>
      </c>
      <c r="R2968" t="b">
        <f>AND(ISNUMBER(FIND($E2968,Tables!$I$2)), ISNUMBER(FIND($D2968,Tables!$J$2)), $E2968&lt;&gt;"")</f>
        <v>0</v>
      </c>
    </row>
    <row r="2969" spans="1:18" x14ac:dyDescent="0.3">
      <c r="A2969">
        <f t="shared" si="206"/>
        <v>2952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135.05500000000001</v>
      </c>
      <c r="R2969" t="b">
        <f>AND(ISNUMBER(FIND($E2969,Tables!$I$2)), ISNUMBER(FIND($D2969,Tables!$J$2)), $E2969&lt;&gt;"")</f>
        <v>0</v>
      </c>
    </row>
    <row r="2970" spans="1:18" x14ac:dyDescent="0.3">
      <c r="A2970">
        <f t="shared" si="206"/>
        <v>2953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135.05500000000001</v>
      </c>
      <c r="R2970" t="b">
        <f>AND(ISNUMBER(FIND($E2970,Tables!$I$2)), ISNUMBER(FIND($D2970,Tables!$J$2)), $E2970&lt;&gt;"")</f>
        <v>0</v>
      </c>
    </row>
    <row r="2971" spans="1:18" x14ac:dyDescent="0.3">
      <c r="A2971">
        <f t="shared" si="206"/>
        <v>2954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135.05500000000001</v>
      </c>
      <c r="R2971" t="b">
        <f>AND(ISNUMBER(FIND($E2971,Tables!$I$2)), ISNUMBER(FIND($D2971,Tables!$J$2)), $E2971&lt;&gt;"")</f>
        <v>0</v>
      </c>
    </row>
    <row r="2972" spans="1:18" x14ac:dyDescent="0.3">
      <c r="A2972">
        <f t="shared" si="206"/>
        <v>2955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135.05500000000001</v>
      </c>
      <c r="R2972" t="b">
        <f>AND(ISNUMBER(FIND($E2972,Tables!$I$2)), ISNUMBER(FIND($D2972,Tables!$J$2)), $E2972&lt;&gt;"")</f>
        <v>0</v>
      </c>
    </row>
    <row r="2973" spans="1:18" x14ac:dyDescent="0.3">
      <c r="A2973">
        <f t="shared" si="206"/>
        <v>2956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135.05500000000001</v>
      </c>
      <c r="R2973" t="b">
        <f>AND(ISNUMBER(FIND($E2973,Tables!$I$2)), ISNUMBER(FIND($D2973,Tables!$J$2)), $E2973&lt;&gt;"")</f>
        <v>0</v>
      </c>
    </row>
    <row r="2974" spans="1:18" x14ac:dyDescent="0.3">
      <c r="A2974">
        <f t="shared" si="206"/>
        <v>2957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135.05500000000001</v>
      </c>
      <c r="R2974" t="b">
        <f>AND(ISNUMBER(FIND($E2974,Tables!$I$2)), ISNUMBER(FIND($D2974,Tables!$J$2)), $E2974&lt;&gt;"")</f>
        <v>0</v>
      </c>
    </row>
    <row r="2975" spans="1:18" x14ac:dyDescent="0.3">
      <c r="A2975">
        <f t="shared" si="206"/>
        <v>2958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135.05500000000001</v>
      </c>
      <c r="R2975" t="b">
        <f>AND(ISNUMBER(FIND($E2975,Tables!$I$2)), ISNUMBER(FIND($D2975,Tables!$J$2)), $E2975&lt;&gt;"")</f>
        <v>0</v>
      </c>
    </row>
    <row r="2976" spans="1:18" x14ac:dyDescent="0.3">
      <c r="A2976">
        <f t="shared" si="206"/>
        <v>2959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135.05500000000001</v>
      </c>
      <c r="R2976" t="b">
        <f>AND(ISNUMBER(FIND($E2976,Tables!$I$2)), ISNUMBER(FIND($D2976,Tables!$J$2)), $E2976&lt;&gt;"")</f>
        <v>0</v>
      </c>
    </row>
    <row r="2977" spans="1:18" x14ac:dyDescent="0.3">
      <c r="A2977">
        <f t="shared" si="206"/>
        <v>2960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135.05500000000001</v>
      </c>
      <c r="R2977" t="b">
        <f>AND(ISNUMBER(FIND($E2977,Tables!$I$2)), ISNUMBER(FIND($D2977,Tables!$J$2)), $E2977&lt;&gt;"")</f>
        <v>0</v>
      </c>
    </row>
    <row r="2978" spans="1:18" x14ac:dyDescent="0.3">
      <c r="A2978">
        <f t="shared" ref="A2978:A3041" si="207">IF(AND(B2978="", D2978&lt;&gt;""), A2977, A2977+1)</f>
        <v>2961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135.05500000000001</v>
      </c>
      <c r="R2978" t="b">
        <f>AND(ISNUMBER(FIND($E2978,Tables!$I$2)), ISNUMBER(FIND($D2978,Tables!$J$2)), $E2978&lt;&gt;"")</f>
        <v>0</v>
      </c>
    </row>
    <row r="2979" spans="1:18" x14ac:dyDescent="0.3">
      <c r="A2979">
        <f t="shared" si="207"/>
        <v>2962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135.05500000000001</v>
      </c>
      <c r="R2979" t="b">
        <f>AND(ISNUMBER(FIND($E2979,Tables!$I$2)), ISNUMBER(FIND($D2979,Tables!$J$2)), $E2979&lt;&gt;"")</f>
        <v>0</v>
      </c>
    </row>
    <row r="2980" spans="1:18" x14ac:dyDescent="0.3">
      <c r="A2980">
        <f t="shared" si="207"/>
        <v>2963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135.05500000000001</v>
      </c>
      <c r="R2980" t="b">
        <f>AND(ISNUMBER(FIND($E2980,Tables!$I$2)), ISNUMBER(FIND($D2980,Tables!$J$2)), $E2980&lt;&gt;"")</f>
        <v>0</v>
      </c>
    </row>
    <row r="2981" spans="1:18" x14ac:dyDescent="0.3">
      <c r="A2981">
        <f t="shared" si="207"/>
        <v>2964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135.05500000000001</v>
      </c>
      <c r="R2981" t="b">
        <f>AND(ISNUMBER(FIND($E2981,Tables!$I$2)), ISNUMBER(FIND($D2981,Tables!$J$2)), $E2981&lt;&gt;"")</f>
        <v>0</v>
      </c>
    </row>
    <row r="2982" spans="1:18" x14ac:dyDescent="0.3">
      <c r="A2982">
        <f t="shared" si="207"/>
        <v>2965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135.05500000000001</v>
      </c>
      <c r="R2982" t="b">
        <f>AND(ISNUMBER(FIND($E2982,Tables!$I$2)), ISNUMBER(FIND($D2982,Tables!$J$2)), $E2982&lt;&gt;"")</f>
        <v>0</v>
      </c>
    </row>
    <row r="2983" spans="1:18" x14ac:dyDescent="0.3">
      <c r="A2983">
        <f t="shared" si="207"/>
        <v>2966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135.05500000000001</v>
      </c>
      <c r="R2983" t="b">
        <f>AND(ISNUMBER(FIND($E2983,Tables!$I$2)), ISNUMBER(FIND($D2983,Tables!$J$2)), $E2983&lt;&gt;"")</f>
        <v>0</v>
      </c>
    </row>
    <row r="2984" spans="1:18" x14ac:dyDescent="0.3">
      <c r="A2984">
        <f t="shared" si="207"/>
        <v>2967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135.05500000000001</v>
      </c>
      <c r="R2984" t="b">
        <f>AND(ISNUMBER(FIND($E2984,Tables!$I$2)), ISNUMBER(FIND($D2984,Tables!$J$2)), $E2984&lt;&gt;"")</f>
        <v>0</v>
      </c>
    </row>
    <row r="2985" spans="1:18" x14ac:dyDescent="0.3">
      <c r="A2985">
        <f t="shared" si="207"/>
        <v>2968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135.05500000000001</v>
      </c>
      <c r="R2985" t="b">
        <f>AND(ISNUMBER(FIND($E2985,Tables!$I$2)), ISNUMBER(FIND($D2985,Tables!$J$2)), $E2985&lt;&gt;"")</f>
        <v>0</v>
      </c>
    </row>
    <row r="2986" spans="1:18" x14ac:dyDescent="0.3">
      <c r="A2986">
        <f t="shared" si="207"/>
        <v>2969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135.05500000000001</v>
      </c>
      <c r="R2986" t="b">
        <f>AND(ISNUMBER(FIND($E2986,Tables!$I$2)), ISNUMBER(FIND($D2986,Tables!$J$2)), $E2986&lt;&gt;"")</f>
        <v>0</v>
      </c>
    </row>
    <row r="2987" spans="1:18" x14ac:dyDescent="0.3">
      <c r="A2987">
        <f t="shared" si="207"/>
        <v>2970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135.05500000000001</v>
      </c>
      <c r="R2987" t="b">
        <f>AND(ISNUMBER(FIND($E2987,Tables!$I$2)), ISNUMBER(FIND($D2987,Tables!$J$2)), $E2987&lt;&gt;"")</f>
        <v>0</v>
      </c>
    </row>
    <row r="2988" spans="1:18" x14ac:dyDescent="0.3">
      <c r="A2988">
        <f t="shared" si="207"/>
        <v>2971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135.05500000000001</v>
      </c>
      <c r="R2988" t="b">
        <f>AND(ISNUMBER(FIND($E2988,Tables!$I$2)), ISNUMBER(FIND($D2988,Tables!$J$2)), $E2988&lt;&gt;"")</f>
        <v>0</v>
      </c>
    </row>
    <row r="2989" spans="1:18" x14ac:dyDescent="0.3">
      <c r="A2989">
        <f t="shared" si="207"/>
        <v>2972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135.05500000000001</v>
      </c>
      <c r="R2989" t="b">
        <f>AND(ISNUMBER(FIND($E2989,Tables!$I$2)), ISNUMBER(FIND($D2989,Tables!$J$2)), $E2989&lt;&gt;"")</f>
        <v>0</v>
      </c>
    </row>
    <row r="2990" spans="1:18" x14ac:dyDescent="0.3">
      <c r="A2990">
        <f t="shared" si="207"/>
        <v>2973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135.05500000000001</v>
      </c>
      <c r="R2990" t="b">
        <f>AND(ISNUMBER(FIND($E2990,Tables!$I$2)), ISNUMBER(FIND($D2990,Tables!$J$2)), $E2990&lt;&gt;"")</f>
        <v>0</v>
      </c>
    </row>
    <row r="2991" spans="1:18" x14ac:dyDescent="0.3">
      <c r="A2991">
        <f t="shared" si="207"/>
        <v>2974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135.05500000000001</v>
      </c>
      <c r="R2991" t="b">
        <f>AND(ISNUMBER(FIND($E2991,Tables!$I$2)), ISNUMBER(FIND($D2991,Tables!$J$2)), $E2991&lt;&gt;"")</f>
        <v>0</v>
      </c>
    </row>
    <row r="2992" spans="1:18" x14ac:dyDescent="0.3">
      <c r="A2992">
        <f t="shared" si="207"/>
        <v>2975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135.05500000000001</v>
      </c>
      <c r="R2992" t="b">
        <f>AND(ISNUMBER(FIND($E2992,Tables!$I$2)), ISNUMBER(FIND($D2992,Tables!$J$2)), $E2992&lt;&gt;"")</f>
        <v>0</v>
      </c>
    </row>
    <row r="2993" spans="1:18" x14ac:dyDescent="0.3">
      <c r="A2993">
        <f t="shared" si="207"/>
        <v>2976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135.05500000000001</v>
      </c>
      <c r="R2993" t="b">
        <f>AND(ISNUMBER(FIND($E2993,Tables!$I$2)), ISNUMBER(FIND($D2993,Tables!$J$2)), $E2993&lt;&gt;"")</f>
        <v>0</v>
      </c>
    </row>
    <row r="2994" spans="1:18" x14ac:dyDescent="0.3">
      <c r="A2994">
        <f t="shared" si="207"/>
        <v>2977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135.05500000000001</v>
      </c>
      <c r="R2994" t="b">
        <f>AND(ISNUMBER(FIND($E2994,Tables!$I$2)), ISNUMBER(FIND($D2994,Tables!$J$2)), $E2994&lt;&gt;"")</f>
        <v>0</v>
      </c>
    </row>
    <row r="2995" spans="1:18" x14ac:dyDescent="0.3">
      <c r="A2995">
        <f t="shared" si="207"/>
        <v>2978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135.05500000000001</v>
      </c>
      <c r="R2995" t="b">
        <f>AND(ISNUMBER(FIND($E2995,Tables!$I$2)), ISNUMBER(FIND($D2995,Tables!$J$2)), $E2995&lt;&gt;"")</f>
        <v>0</v>
      </c>
    </row>
    <row r="2996" spans="1:18" x14ac:dyDescent="0.3">
      <c r="A2996">
        <f t="shared" si="207"/>
        <v>2979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135.05500000000001</v>
      </c>
      <c r="R2996" t="b">
        <f>AND(ISNUMBER(FIND($E2996,Tables!$I$2)), ISNUMBER(FIND($D2996,Tables!$J$2)), $E2996&lt;&gt;"")</f>
        <v>0</v>
      </c>
    </row>
    <row r="2997" spans="1:18" x14ac:dyDescent="0.3">
      <c r="A2997">
        <f t="shared" si="207"/>
        <v>2980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135.05500000000001</v>
      </c>
      <c r="R2997" t="b">
        <f>AND(ISNUMBER(FIND($E2997,Tables!$I$2)), ISNUMBER(FIND($D2997,Tables!$J$2)), $E2997&lt;&gt;"")</f>
        <v>0</v>
      </c>
    </row>
    <row r="2998" spans="1:18" x14ac:dyDescent="0.3">
      <c r="A2998">
        <f t="shared" si="207"/>
        <v>2981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135.05500000000001</v>
      </c>
      <c r="R2998" t="b">
        <f>AND(ISNUMBER(FIND($E2998,Tables!$I$2)), ISNUMBER(FIND($D2998,Tables!$J$2)), $E2998&lt;&gt;"")</f>
        <v>0</v>
      </c>
    </row>
    <row r="2999" spans="1:18" x14ac:dyDescent="0.3">
      <c r="A2999">
        <f t="shared" si="207"/>
        <v>2982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135.05500000000001</v>
      </c>
      <c r="R2999" t="b">
        <f>AND(ISNUMBER(FIND($E2999,Tables!$I$2)), ISNUMBER(FIND($D2999,Tables!$J$2)), $E2999&lt;&gt;"")</f>
        <v>0</v>
      </c>
    </row>
    <row r="3000" spans="1:18" x14ac:dyDescent="0.3">
      <c r="A3000">
        <f t="shared" si="207"/>
        <v>2983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135.05500000000001</v>
      </c>
      <c r="R3000" t="b">
        <f>AND(ISNUMBER(FIND($E3000,Tables!$I$2)), ISNUMBER(FIND($D3000,Tables!$J$2)), $E3000&lt;&gt;"")</f>
        <v>0</v>
      </c>
    </row>
    <row r="3001" spans="1:18" x14ac:dyDescent="0.3">
      <c r="A3001">
        <f t="shared" si="207"/>
        <v>2984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135.05500000000001</v>
      </c>
      <c r="R3001" t="b">
        <f>AND(ISNUMBER(FIND($E3001,Tables!$I$2)), ISNUMBER(FIND($D3001,Tables!$J$2)), $E3001&lt;&gt;"")</f>
        <v>0</v>
      </c>
    </row>
    <row r="3002" spans="1:18" x14ac:dyDescent="0.3">
      <c r="A3002">
        <f t="shared" si="207"/>
        <v>2985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135.05500000000001</v>
      </c>
      <c r="R3002" t="b">
        <f>AND(ISNUMBER(FIND($E3002,Tables!$I$2)), ISNUMBER(FIND($D3002,Tables!$J$2)), $E3002&lt;&gt;"")</f>
        <v>0</v>
      </c>
    </row>
    <row r="3003" spans="1:18" x14ac:dyDescent="0.3">
      <c r="A3003">
        <f t="shared" si="207"/>
        <v>2986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135.05500000000001</v>
      </c>
      <c r="R3003" t="b">
        <f>AND(ISNUMBER(FIND($E3003,Tables!$I$2)), ISNUMBER(FIND($D3003,Tables!$J$2)), $E3003&lt;&gt;"")</f>
        <v>0</v>
      </c>
    </row>
    <row r="3004" spans="1:18" x14ac:dyDescent="0.3">
      <c r="A3004">
        <f t="shared" si="207"/>
        <v>2987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135.05500000000001</v>
      </c>
      <c r="R3004" t="b">
        <f>AND(ISNUMBER(FIND($E3004,Tables!$I$2)), ISNUMBER(FIND($D3004,Tables!$J$2)), $E3004&lt;&gt;"")</f>
        <v>0</v>
      </c>
    </row>
    <row r="3005" spans="1:18" x14ac:dyDescent="0.3">
      <c r="A3005">
        <f t="shared" si="207"/>
        <v>2988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135.05500000000001</v>
      </c>
      <c r="R3005" t="b">
        <f>AND(ISNUMBER(FIND($E3005,Tables!$I$2)), ISNUMBER(FIND($D3005,Tables!$J$2)), $E3005&lt;&gt;"")</f>
        <v>0</v>
      </c>
    </row>
    <row r="3006" spans="1:18" x14ac:dyDescent="0.3">
      <c r="A3006">
        <f t="shared" si="207"/>
        <v>2989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135.05500000000001</v>
      </c>
      <c r="R3006" t="b">
        <f>AND(ISNUMBER(FIND($E3006,Tables!$I$2)), ISNUMBER(FIND($D3006,Tables!$J$2)), $E3006&lt;&gt;"")</f>
        <v>0</v>
      </c>
    </row>
    <row r="3007" spans="1:18" x14ac:dyDescent="0.3">
      <c r="A3007">
        <f t="shared" si="207"/>
        <v>2990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135.05500000000001</v>
      </c>
      <c r="R3007" t="b">
        <f>AND(ISNUMBER(FIND($E3007,Tables!$I$2)), ISNUMBER(FIND($D3007,Tables!$J$2)), $E3007&lt;&gt;"")</f>
        <v>0</v>
      </c>
    </row>
    <row r="3008" spans="1:18" x14ac:dyDescent="0.3">
      <c r="A3008">
        <f t="shared" si="207"/>
        <v>2991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135.05500000000001</v>
      </c>
      <c r="R3008" t="b">
        <f>AND(ISNUMBER(FIND($E3008,Tables!$I$2)), ISNUMBER(FIND($D3008,Tables!$J$2)), $E3008&lt;&gt;"")</f>
        <v>0</v>
      </c>
    </row>
    <row r="3009" spans="1:18" x14ac:dyDescent="0.3">
      <c r="A3009">
        <f t="shared" si="207"/>
        <v>2992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135.05500000000001</v>
      </c>
      <c r="R3009" t="b">
        <f>AND(ISNUMBER(FIND($E3009,Tables!$I$2)), ISNUMBER(FIND($D3009,Tables!$J$2)), $E3009&lt;&gt;"")</f>
        <v>0</v>
      </c>
    </row>
    <row r="3010" spans="1:18" x14ac:dyDescent="0.3">
      <c r="A3010">
        <f t="shared" si="207"/>
        <v>2993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135.05500000000001</v>
      </c>
      <c r="R3010" t="b">
        <f>AND(ISNUMBER(FIND($E3010,Tables!$I$2)), ISNUMBER(FIND($D3010,Tables!$J$2)), $E3010&lt;&gt;"")</f>
        <v>0</v>
      </c>
    </row>
    <row r="3011" spans="1:18" x14ac:dyDescent="0.3">
      <c r="A3011">
        <f t="shared" si="207"/>
        <v>2994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135.05500000000001</v>
      </c>
      <c r="R3011" t="b">
        <f>AND(ISNUMBER(FIND($E3011,Tables!$I$2)), ISNUMBER(FIND($D3011,Tables!$J$2)), $E3011&lt;&gt;"")</f>
        <v>0</v>
      </c>
    </row>
    <row r="3012" spans="1:18" x14ac:dyDescent="0.3">
      <c r="A3012">
        <f t="shared" si="207"/>
        <v>2995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135.05500000000001</v>
      </c>
      <c r="R3012" t="b">
        <f>AND(ISNUMBER(FIND($E3012,Tables!$I$2)), ISNUMBER(FIND($D3012,Tables!$J$2)), $E3012&lt;&gt;"")</f>
        <v>0</v>
      </c>
    </row>
    <row r="3013" spans="1:18" x14ac:dyDescent="0.3">
      <c r="A3013">
        <f t="shared" si="207"/>
        <v>2996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135.05500000000001</v>
      </c>
      <c r="R3013" t="b">
        <f>AND(ISNUMBER(FIND($E3013,Tables!$I$2)), ISNUMBER(FIND($D3013,Tables!$J$2)), $E3013&lt;&gt;"")</f>
        <v>0</v>
      </c>
    </row>
    <row r="3014" spans="1:18" x14ac:dyDescent="0.3">
      <c r="A3014">
        <f t="shared" si="207"/>
        <v>2997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135.05500000000001</v>
      </c>
      <c r="R3014" t="b">
        <f>AND(ISNUMBER(FIND($E3014,Tables!$I$2)), ISNUMBER(FIND($D3014,Tables!$J$2)), $E3014&lt;&gt;"")</f>
        <v>0</v>
      </c>
    </row>
    <row r="3015" spans="1:18" x14ac:dyDescent="0.3">
      <c r="A3015">
        <f t="shared" si="207"/>
        <v>2998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135.05500000000001</v>
      </c>
      <c r="R3015" t="b">
        <f>AND(ISNUMBER(FIND($E3015,Tables!$I$2)), ISNUMBER(FIND($D3015,Tables!$J$2)), $E3015&lt;&gt;"")</f>
        <v>0</v>
      </c>
    </row>
    <row r="3016" spans="1:18" x14ac:dyDescent="0.3">
      <c r="A3016">
        <f t="shared" si="207"/>
        <v>2999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135.05500000000001</v>
      </c>
      <c r="R3016" t="b">
        <f>AND(ISNUMBER(FIND($E3016,Tables!$I$2)), ISNUMBER(FIND($D3016,Tables!$J$2)), $E3016&lt;&gt;"")</f>
        <v>0</v>
      </c>
    </row>
    <row r="3017" spans="1:18" x14ac:dyDescent="0.3">
      <c r="A3017">
        <f t="shared" si="207"/>
        <v>3000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135.05500000000001</v>
      </c>
      <c r="R3017" t="b">
        <f>AND(ISNUMBER(FIND($E3017,Tables!$I$2)), ISNUMBER(FIND($D3017,Tables!$J$2)), $E3017&lt;&gt;"")</f>
        <v>0</v>
      </c>
    </row>
    <row r="3018" spans="1:18" x14ac:dyDescent="0.3">
      <c r="A3018">
        <f t="shared" si="207"/>
        <v>3001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135.05500000000001</v>
      </c>
      <c r="R3018" t="b">
        <f>AND(ISNUMBER(FIND($E3018,Tables!$I$2)), ISNUMBER(FIND($D3018,Tables!$J$2)), $E3018&lt;&gt;"")</f>
        <v>0</v>
      </c>
    </row>
    <row r="3019" spans="1:18" x14ac:dyDescent="0.3">
      <c r="A3019">
        <f t="shared" si="207"/>
        <v>3002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135.05500000000001</v>
      </c>
      <c r="R3019" t="b">
        <f>AND(ISNUMBER(FIND($E3019,Tables!$I$2)), ISNUMBER(FIND($D3019,Tables!$J$2)), $E3019&lt;&gt;"")</f>
        <v>0</v>
      </c>
    </row>
    <row r="3020" spans="1:18" x14ac:dyDescent="0.3">
      <c r="A3020">
        <f t="shared" si="207"/>
        <v>3003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135.05500000000001</v>
      </c>
      <c r="R3020" t="b">
        <f>AND(ISNUMBER(FIND($E3020,Tables!$I$2)), ISNUMBER(FIND($D3020,Tables!$J$2)), $E3020&lt;&gt;"")</f>
        <v>0</v>
      </c>
    </row>
    <row r="3021" spans="1:18" x14ac:dyDescent="0.3">
      <c r="A3021">
        <f t="shared" si="207"/>
        <v>3004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135.05500000000001</v>
      </c>
      <c r="R3021" t="b">
        <f>AND(ISNUMBER(FIND($E3021,Tables!$I$2)), ISNUMBER(FIND($D3021,Tables!$J$2)), $E3021&lt;&gt;"")</f>
        <v>0</v>
      </c>
    </row>
    <row r="3022" spans="1:18" x14ac:dyDescent="0.3">
      <c r="A3022">
        <f t="shared" si="207"/>
        <v>3005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135.05500000000001</v>
      </c>
      <c r="R3022" t="b">
        <f>AND(ISNUMBER(FIND($E3022,Tables!$I$2)), ISNUMBER(FIND($D3022,Tables!$J$2)), $E3022&lt;&gt;"")</f>
        <v>0</v>
      </c>
    </row>
    <row r="3023" spans="1:18" x14ac:dyDescent="0.3">
      <c r="A3023">
        <f t="shared" si="207"/>
        <v>3006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135.05500000000001</v>
      </c>
      <c r="R3023" t="b">
        <f>AND(ISNUMBER(FIND($E3023,Tables!$I$2)), ISNUMBER(FIND($D3023,Tables!$J$2)), $E3023&lt;&gt;"")</f>
        <v>0</v>
      </c>
    </row>
    <row r="3024" spans="1:18" x14ac:dyDescent="0.3">
      <c r="A3024">
        <f t="shared" si="207"/>
        <v>3007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135.05500000000001</v>
      </c>
      <c r="R3024" t="b">
        <f>AND(ISNUMBER(FIND($E3024,Tables!$I$2)), ISNUMBER(FIND($D3024,Tables!$J$2)), $E3024&lt;&gt;"")</f>
        <v>0</v>
      </c>
    </row>
    <row r="3025" spans="1:18" x14ac:dyDescent="0.3">
      <c r="A3025">
        <f t="shared" si="207"/>
        <v>3008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135.05500000000001</v>
      </c>
      <c r="R3025" t="b">
        <f>AND(ISNUMBER(FIND($E3025,Tables!$I$2)), ISNUMBER(FIND($D3025,Tables!$J$2)), $E3025&lt;&gt;"")</f>
        <v>0</v>
      </c>
    </row>
    <row r="3026" spans="1:18" x14ac:dyDescent="0.3">
      <c r="A3026">
        <f t="shared" si="207"/>
        <v>3009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135.05500000000001</v>
      </c>
      <c r="R3026" t="b">
        <f>AND(ISNUMBER(FIND($E3026,Tables!$I$2)), ISNUMBER(FIND($D3026,Tables!$J$2)), $E3026&lt;&gt;"")</f>
        <v>0</v>
      </c>
    </row>
    <row r="3027" spans="1:18" x14ac:dyDescent="0.3">
      <c r="A3027">
        <f t="shared" si="207"/>
        <v>3010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135.05500000000001</v>
      </c>
      <c r="R3027" t="b">
        <f>AND(ISNUMBER(FIND($E3027,Tables!$I$2)), ISNUMBER(FIND($D3027,Tables!$J$2)), $E3027&lt;&gt;"")</f>
        <v>0</v>
      </c>
    </row>
    <row r="3028" spans="1:18" x14ac:dyDescent="0.3">
      <c r="A3028">
        <f t="shared" si="207"/>
        <v>3011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135.05500000000001</v>
      </c>
      <c r="R3028" t="b">
        <f>AND(ISNUMBER(FIND($E3028,Tables!$I$2)), ISNUMBER(FIND($D3028,Tables!$J$2)), $E3028&lt;&gt;"")</f>
        <v>0</v>
      </c>
    </row>
    <row r="3029" spans="1:18" x14ac:dyDescent="0.3">
      <c r="A3029">
        <f t="shared" si="207"/>
        <v>3012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135.05500000000001</v>
      </c>
      <c r="R3029" t="b">
        <f>AND(ISNUMBER(FIND($E3029,Tables!$I$2)), ISNUMBER(FIND($D3029,Tables!$J$2)), $E3029&lt;&gt;"")</f>
        <v>0</v>
      </c>
    </row>
    <row r="3030" spans="1:18" x14ac:dyDescent="0.3">
      <c r="A3030">
        <f t="shared" si="207"/>
        <v>3013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135.05500000000001</v>
      </c>
      <c r="R3030" t="b">
        <f>AND(ISNUMBER(FIND($E3030,Tables!$I$2)), ISNUMBER(FIND($D3030,Tables!$J$2)), $E3030&lt;&gt;"")</f>
        <v>0</v>
      </c>
    </row>
    <row r="3031" spans="1:18" x14ac:dyDescent="0.3">
      <c r="A3031">
        <f t="shared" si="207"/>
        <v>3014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135.05500000000001</v>
      </c>
      <c r="R3031" t="b">
        <f>AND(ISNUMBER(FIND($E3031,Tables!$I$2)), ISNUMBER(FIND($D3031,Tables!$J$2)), $E3031&lt;&gt;"")</f>
        <v>0</v>
      </c>
    </row>
    <row r="3032" spans="1:18" x14ac:dyDescent="0.3">
      <c r="A3032">
        <f t="shared" si="207"/>
        <v>3015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135.05500000000001</v>
      </c>
      <c r="R3032" t="b">
        <f>AND(ISNUMBER(FIND($E3032,Tables!$I$2)), ISNUMBER(FIND($D3032,Tables!$J$2)), $E3032&lt;&gt;"")</f>
        <v>0</v>
      </c>
    </row>
    <row r="3033" spans="1:18" x14ac:dyDescent="0.3">
      <c r="A3033">
        <f t="shared" si="207"/>
        <v>3016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135.05500000000001</v>
      </c>
      <c r="R3033" t="b">
        <f>AND(ISNUMBER(FIND($E3033,Tables!$I$2)), ISNUMBER(FIND($D3033,Tables!$J$2)), $E3033&lt;&gt;"")</f>
        <v>0</v>
      </c>
    </row>
    <row r="3034" spans="1:18" x14ac:dyDescent="0.3">
      <c r="A3034">
        <f t="shared" si="207"/>
        <v>3017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135.05500000000001</v>
      </c>
      <c r="R3034" t="b">
        <f>AND(ISNUMBER(FIND($E3034,Tables!$I$2)), ISNUMBER(FIND($D3034,Tables!$J$2)), $E3034&lt;&gt;"")</f>
        <v>0</v>
      </c>
    </row>
    <row r="3035" spans="1:18" x14ac:dyDescent="0.3">
      <c r="A3035">
        <f t="shared" si="207"/>
        <v>3018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135.05500000000001</v>
      </c>
      <c r="R3035" t="b">
        <f>AND(ISNUMBER(FIND($E3035,Tables!$I$2)), ISNUMBER(FIND($D3035,Tables!$J$2)), $E3035&lt;&gt;"")</f>
        <v>0</v>
      </c>
    </row>
    <row r="3036" spans="1:18" x14ac:dyDescent="0.3">
      <c r="A3036">
        <f t="shared" si="207"/>
        <v>3019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135.05500000000001</v>
      </c>
      <c r="R3036" t="b">
        <f>AND(ISNUMBER(FIND($E3036,Tables!$I$2)), ISNUMBER(FIND($D3036,Tables!$J$2)), $E3036&lt;&gt;"")</f>
        <v>0</v>
      </c>
    </row>
    <row r="3037" spans="1:18" x14ac:dyDescent="0.3">
      <c r="A3037">
        <f t="shared" si="207"/>
        <v>3020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135.05500000000001</v>
      </c>
      <c r="R3037" t="b">
        <f>AND(ISNUMBER(FIND($E3037,Tables!$I$2)), ISNUMBER(FIND($D3037,Tables!$J$2)), $E3037&lt;&gt;"")</f>
        <v>0</v>
      </c>
    </row>
    <row r="3038" spans="1:18" x14ac:dyDescent="0.3">
      <c r="A3038">
        <f t="shared" si="207"/>
        <v>3021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135.05500000000001</v>
      </c>
      <c r="R3038" t="b">
        <f>AND(ISNUMBER(FIND($E3038,Tables!$I$2)), ISNUMBER(FIND($D3038,Tables!$J$2)), $E3038&lt;&gt;"")</f>
        <v>0</v>
      </c>
    </row>
    <row r="3039" spans="1:18" x14ac:dyDescent="0.3">
      <c r="A3039">
        <f t="shared" si="207"/>
        <v>3022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135.05500000000001</v>
      </c>
      <c r="R3039" t="b">
        <f>AND(ISNUMBER(FIND($E3039,Tables!$I$2)), ISNUMBER(FIND($D3039,Tables!$J$2)), $E3039&lt;&gt;"")</f>
        <v>0</v>
      </c>
    </row>
    <row r="3040" spans="1:18" x14ac:dyDescent="0.3">
      <c r="A3040">
        <f t="shared" si="207"/>
        <v>3023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135.05500000000001</v>
      </c>
      <c r="R3040" t="b">
        <f>AND(ISNUMBER(FIND($E3040,Tables!$I$2)), ISNUMBER(FIND($D3040,Tables!$J$2)), $E3040&lt;&gt;"")</f>
        <v>0</v>
      </c>
    </row>
    <row r="3041" spans="1:18" x14ac:dyDescent="0.3">
      <c r="A3041">
        <f t="shared" si="207"/>
        <v>3024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135.05500000000001</v>
      </c>
      <c r="R3041" t="b">
        <f>AND(ISNUMBER(FIND($E3041,Tables!$I$2)), ISNUMBER(FIND($D3041,Tables!$J$2)), $E3041&lt;&gt;"")</f>
        <v>0</v>
      </c>
    </row>
    <row r="3042" spans="1:18" x14ac:dyDescent="0.3">
      <c r="A3042">
        <f t="shared" ref="A3042:A3105" si="208">IF(AND(B3042="", D3042&lt;&gt;""), A3041, A3041+1)</f>
        <v>3025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135.05500000000001</v>
      </c>
      <c r="R3042" t="b">
        <f>AND(ISNUMBER(FIND($E3042,Tables!$I$2)), ISNUMBER(FIND($D3042,Tables!$J$2)), $E3042&lt;&gt;"")</f>
        <v>0</v>
      </c>
    </row>
    <row r="3043" spans="1:18" x14ac:dyDescent="0.3">
      <c r="A3043">
        <f t="shared" si="208"/>
        <v>3026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135.05500000000001</v>
      </c>
      <c r="R3043" t="b">
        <f>AND(ISNUMBER(FIND($E3043,Tables!$I$2)), ISNUMBER(FIND($D3043,Tables!$J$2)), $E3043&lt;&gt;"")</f>
        <v>0</v>
      </c>
    </row>
    <row r="3044" spans="1:18" x14ac:dyDescent="0.3">
      <c r="A3044">
        <f t="shared" si="208"/>
        <v>3027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135.05500000000001</v>
      </c>
      <c r="R3044" t="b">
        <f>AND(ISNUMBER(FIND($E3044,Tables!$I$2)), ISNUMBER(FIND($D3044,Tables!$J$2)), $E3044&lt;&gt;"")</f>
        <v>0</v>
      </c>
    </row>
    <row r="3045" spans="1:18" x14ac:dyDescent="0.3">
      <c r="A3045">
        <f t="shared" si="208"/>
        <v>3028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135.05500000000001</v>
      </c>
      <c r="R3045" t="b">
        <f>AND(ISNUMBER(FIND($E3045,Tables!$I$2)), ISNUMBER(FIND($D3045,Tables!$J$2)), $E3045&lt;&gt;"")</f>
        <v>0</v>
      </c>
    </row>
    <row r="3046" spans="1:18" x14ac:dyDescent="0.3">
      <c r="A3046">
        <f t="shared" si="208"/>
        <v>3029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135.05500000000001</v>
      </c>
      <c r="R3046" t="b">
        <f>AND(ISNUMBER(FIND($E3046,Tables!$I$2)), ISNUMBER(FIND($D3046,Tables!$J$2)), $E3046&lt;&gt;"")</f>
        <v>0</v>
      </c>
    </row>
    <row r="3047" spans="1:18" x14ac:dyDescent="0.3">
      <c r="A3047">
        <f t="shared" si="208"/>
        <v>3030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135.05500000000001</v>
      </c>
      <c r="R3047" t="b">
        <f>AND(ISNUMBER(FIND($E3047,Tables!$I$2)), ISNUMBER(FIND($D3047,Tables!$J$2)), $E3047&lt;&gt;"")</f>
        <v>0</v>
      </c>
    </row>
    <row r="3048" spans="1:18" x14ac:dyDescent="0.3">
      <c r="A3048">
        <f t="shared" si="208"/>
        <v>3031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135.05500000000001</v>
      </c>
      <c r="R3048" t="b">
        <f>AND(ISNUMBER(FIND($E3048,Tables!$I$2)), ISNUMBER(FIND($D3048,Tables!$J$2)), $E3048&lt;&gt;"")</f>
        <v>0</v>
      </c>
    </row>
    <row r="3049" spans="1:18" x14ac:dyDescent="0.3">
      <c r="A3049">
        <f t="shared" si="208"/>
        <v>3032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135.05500000000001</v>
      </c>
      <c r="R3049" t="b">
        <f>AND(ISNUMBER(FIND($E3049,Tables!$I$2)), ISNUMBER(FIND($D3049,Tables!$J$2)), $E3049&lt;&gt;"")</f>
        <v>0</v>
      </c>
    </row>
    <row r="3050" spans="1:18" x14ac:dyDescent="0.3">
      <c r="A3050">
        <f t="shared" si="208"/>
        <v>3033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135.05500000000001</v>
      </c>
      <c r="R3050" t="b">
        <f>AND(ISNUMBER(FIND($E3050,Tables!$I$2)), ISNUMBER(FIND($D3050,Tables!$J$2)), $E3050&lt;&gt;"")</f>
        <v>0</v>
      </c>
    </row>
    <row r="3051" spans="1:18" x14ac:dyDescent="0.3">
      <c r="A3051">
        <f t="shared" si="208"/>
        <v>3034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135.05500000000001</v>
      </c>
      <c r="R3051" t="b">
        <f>AND(ISNUMBER(FIND($E3051,Tables!$I$2)), ISNUMBER(FIND($D3051,Tables!$J$2)), $E3051&lt;&gt;"")</f>
        <v>0</v>
      </c>
    </row>
    <row r="3052" spans="1:18" x14ac:dyDescent="0.3">
      <c r="A3052">
        <f t="shared" si="208"/>
        <v>3035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135.05500000000001</v>
      </c>
      <c r="R3052" t="b">
        <f>AND(ISNUMBER(FIND($E3052,Tables!$I$2)), ISNUMBER(FIND($D3052,Tables!$J$2)), $E3052&lt;&gt;"")</f>
        <v>0</v>
      </c>
    </row>
    <row r="3053" spans="1:18" x14ac:dyDescent="0.3">
      <c r="A3053">
        <f t="shared" si="208"/>
        <v>3036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135.05500000000001</v>
      </c>
      <c r="R3053" t="b">
        <f>AND(ISNUMBER(FIND($E3053,Tables!$I$2)), ISNUMBER(FIND($D3053,Tables!$J$2)), $E3053&lt;&gt;"")</f>
        <v>0</v>
      </c>
    </row>
    <row r="3054" spans="1:18" x14ac:dyDescent="0.3">
      <c r="A3054">
        <f t="shared" si="208"/>
        <v>3037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135.05500000000001</v>
      </c>
      <c r="R3054" t="b">
        <f>AND(ISNUMBER(FIND($E3054,Tables!$I$2)), ISNUMBER(FIND($D3054,Tables!$J$2)), $E3054&lt;&gt;"")</f>
        <v>0</v>
      </c>
    </row>
    <row r="3055" spans="1:18" x14ac:dyDescent="0.3">
      <c r="A3055">
        <f t="shared" si="208"/>
        <v>3038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135.05500000000001</v>
      </c>
      <c r="R3055" t="b">
        <f>AND(ISNUMBER(FIND($E3055,Tables!$I$2)), ISNUMBER(FIND($D3055,Tables!$J$2)), $E3055&lt;&gt;"")</f>
        <v>0</v>
      </c>
    </row>
    <row r="3056" spans="1:18" x14ac:dyDescent="0.3">
      <c r="A3056">
        <f t="shared" si="208"/>
        <v>3039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135.05500000000001</v>
      </c>
      <c r="R3056" t="b">
        <f>AND(ISNUMBER(FIND($E3056,Tables!$I$2)), ISNUMBER(FIND($D3056,Tables!$J$2)), $E3056&lt;&gt;"")</f>
        <v>0</v>
      </c>
    </row>
    <row r="3057" spans="1:18" x14ac:dyDescent="0.3">
      <c r="A3057">
        <f t="shared" si="208"/>
        <v>3040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135.05500000000001</v>
      </c>
      <c r="R3057" t="b">
        <f>AND(ISNUMBER(FIND($E3057,Tables!$I$2)), ISNUMBER(FIND($D3057,Tables!$J$2)), $E3057&lt;&gt;"")</f>
        <v>0</v>
      </c>
    </row>
    <row r="3058" spans="1:18" x14ac:dyDescent="0.3">
      <c r="A3058">
        <f t="shared" si="208"/>
        <v>3041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135.05500000000001</v>
      </c>
      <c r="R3058" t="b">
        <f>AND(ISNUMBER(FIND($E3058,Tables!$I$2)), ISNUMBER(FIND($D3058,Tables!$J$2)), $E3058&lt;&gt;"")</f>
        <v>0</v>
      </c>
    </row>
    <row r="3059" spans="1:18" x14ac:dyDescent="0.3">
      <c r="A3059">
        <f t="shared" si="208"/>
        <v>3042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135.05500000000001</v>
      </c>
      <c r="R3059" t="b">
        <f>AND(ISNUMBER(FIND($E3059,Tables!$I$2)), ISNUMBER(FIND($D3059,Tables!$J$2)), $E3059&lt;&gt;"")</f>
        <v>0</v>
      </c>
    </row>
    <row r="3060" spans="1:18" x14ac:dyDescent="0.3">
      <c r="A3060">
        <f t="shared" si="208"/>
        <v>3043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135.05500000000001</v>
      </c>
      <c r="R3060" t="b">
        <f>AND(ISNUMBER(FIND($E3060,Tables!$I$2)), ISNUMBER(FIND($D3060,Tables!$J$2)), $E3060&lt;&gt;"")</f>
        <v>0</v>
      </c>
    </row>
    <row r="3061" spans="1:18" x14ac:dyDescent="0.3">
      <c r="A3061">
        <f t="shared" si="208"/>
        <v>3044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135.05500000000001</v>
      </c>
      <c r="R3061" t="b">
        <f>AND(ISNUMBER(FIND($E3061,Tables!$I$2)), ISNUMBER(FIND($D3061,Tables!$J$2)), $E3061&lt;&gt;"")</f>
        <v>0</v>
      </c>
    </row>
    <row r="3062" spans="1:18" x14ac:dyDescent="0.3">
      <c r="A3062">
        <f t="shared" si="208"/>
        <v>3045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135.05500000000001</v>
      </c>
      <c r="R3062" t="b">
        <f>AND(ISNUMBER(FIND($E3062,Tables!$I$2)), ISNUMBER(FIND($D3062,Tables!$J$2)), $E3062&lt;&gt;"")</f>
        <v>0</v>
      </c>
    </row>
    <row r="3063" spans="1:18" x14ac:dyDescent="0.3">
      <c r="A3063">
        <f t="shared" si="208"/>
        <v>3046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135.05500000000001</v>
      </c>
      <c r="R3063" t="b">
        <f>AND(ISNUMBER(FIND($E3063,Tables!$I$2)), ISNUMBER(FIND($D3063,Tables!$J$2)), $E3063&lt;&gt;"")</f>
        <v>0</v>
      </c>
    </row>
    <row r="3064" spans="1:18" x14ac:dyDescent="0.3">
      <c r="A3064">
        <f t="shared" si="208"/>
        <v>3047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135.05500000000001</v>
      </c>
      <c r="R3064" t="b">
        <f>AND(ISNUMBER(FIND($E3064,Tables!$I$2)), ISNUMBER(FIND($D3064,Tables!$J$2)), $E3064&lt;&gt;"")</f>
        <v>0</v>
      </c>
    </row>
    <row r="3065" spans="1:18" x14ac:dyDescent="0.3">
      <c r="A3065">
        <f t="shared" si="208"/>
        <v>3048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135.05500000000001</v>
      </c>
      <c r="R3065" t="b">
        <f>AND(ISNUMBER(FIND($E3065,Tables!$I$2)), ISNUMBER(FIND($D3065,Tables!$J$2)), $E3065&lt;&gt;"")</f>
        <v>0</v>
      </c>
    </row>
    <row r="3066" spans="1:18" x14ac:dyDescent="0.3">
      <c r="A3066">
        <f t="shared" si="208"/>
        <v>3049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135.05500000000001</v>
      </c>
      <c r="R3066" t="b">
        <f>AND(ISNUMBER(FIND($E3066,Tables!$I$2)), ISNUMBER(FIND($D3066,Tables!$J$2)), $E3066&lt;&gt;"")</f>
        <v>0</v>
      </c>
    </row>
    <row r="3067" spans="1:18" x14ac:dyDescent="0.3">
      <c r="A3067">
        <f t="shared" si="208"/>
        <v>3050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135.05500000000001</v>
      </c>
      <c r="R3067" t="b">
        <f>AND(ISNUMBER(FIND($E3067,Tables!$I$2)), ISNUMBER(FIND($D3067,Tables!$J$2)), $E3067&lt;&gt;"")</f>
        <v>0</v>
      </c>
    </row>
    <row r="3068" spans="1:18" x14ac:dyDescent="0.3">
      <c r="A3068">
        <f t="shared" si="208"/>
        <v>3051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135.05500000000001</v>
      </c>
      <c r="R3068" t="b">
        <f>AND(ISNUMBER(FIND($E3068,Tables!$I$2)), ISNUMBER(FIND($D3068,Tables!$J$2)), $E3068&lt;&gt;"")</f>
        <v>0</v>
      </c>
    </row>
    <row r="3069" spans="1:18" x14ac:dyDescent="0.3">
      <c r="A3069">
        <f t="shared" si="208"/>
        <v>3052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135.05500000000001</v>
      </c>
      <c r="R3069" t="b">
        <f>AND(ISNUMBER(FIND($E3069,Tables!$I$2)), ISNUMBER(FIND($D3069,Tables!$J$2)), $E3069&lt;&gt;"")</f>
        <v>0</v>
      </c>
    </row>
    <row r="3070" spans="1:18" x14ac:dyDescent="0.3">
      <c r="A3070">
        <f t="shared" si="208"/>
        <v>3053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135.05500000000001</v>
      </c>
      <c r="R3070" t="b">
        <f>AND(ISNUMBER(FIND($E3070,Tables!$I$2)), ISNUMBER(FIND($D3070,Tables!$J$2)), $E3070&lt;&gt;"")</f>
        <v>0</v>
      </c>
    </row>
    <row r="3071" spans="1:18" x14ac:dyDescent="0.3">
      <c r="A3071">
        <f t="shared" si="208"/>
        <v>3054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135.05500000000001</v>
      </c>
      <c r="R3071" t="b">
        <f>AND(ISNUMBER(FIND($E3071,Tables!$I$2)), ISNUMBER(FIND($D3071,Tables!$J$2)), $E3071&lt;&gt;"")</f>
        <v>0</v>
      </c>
    </row>
    <row r="3072" spans="1:18" x14ac:dyDescent="0.3">
      <c r="A3072">
        <f t="shared" si="208"/>
        <v>3055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135.05500000000001</v>
      </c>
      <c r="R3072" t="b">
        <f>AND(ISNUMBER(FIND($E3072,Tables!$I$2)), ISNUMBER(FIND($D3072,Tables!$J$2)), $E3072&lt;&gt;"")</f>
        <v>0</v>
      </c>
    </row>
    <row r="3073" spans="1:18" x14ac:dyDescent="0.3">
      <c r="A3073">
        <f t="shared" si="208"/>
        <v>3056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135.05500000000001</v>
      </c>
      <c r="R3073" t="b">
        <f>AND(ISNUMBER(FIND($E3073,Tables!$I$2)), ISNUMBER(FIND($D3073,Tables!$J$2)), $E3073&lt;&gt;"")</f>
        <v>0</v>
      </c>
    </row>
    <row r="3074" spans="1:18" x14ac:dyDescent="0.3">
      <c r="A3074">
        <f t="shared" si="208"/>
        <v>3057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135.05500000000001</v>
      </c>
      <c r="R3074" t="b">
        <f>AND(ISNUMBER(FIND($E3074,Tables!$I$2)), ISNUMBER(FIND($D3074,Tables!$J$2)), $E3074&lt;&gt;"")</f>
        <v>0</v>
      </c>
    </row>
    <row r="3075" spans="1:18" x14ac:dyDescent="0.3">
      <c r="A3075">
        <f t="shared" si="208"/>
        <v>3058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135.05500000000001</v>
      </c>
      <c r="R3075" t="b">
        <f>AND(ISNUMBER(FIND($E3075,Tables!$I$2)), ISNUMBER(FIND($D3075,Tables!$J$2)), $E3075&lt;&gt;"")</f>
        <v>0</v>
      </c>
    </row>
    <row r="3076" spans="1:18" x14ac:dyDescent="0.3">
      <c r="A3076">
        <f t="shared" si="208"/>
        <v>3059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135.05500000000001</v>
      </c>
      <c r="R3076" t="b">
        <f>AND(ISNUMBER(FIND($E3076,Tables!$I$2)), ISNUMBER(FIND($D3076,Tables!$J$2)), $E3076&lt;&gt;"")</f>
        <v>0</v>
      </c>
    </row>
    <row r="3077" spans="1:18" x14ac:dyDescent="0.3">
      <c r="A3077">
        <f t="shared" si="208"/>
        <v>3060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135.05500000000001</v>
      </c>
      <c r="R3077" t="b">
        <f>AND(ISNUMBER(FIND($E3077,Tables!$I$2)), ISNUMBER(FIND($D3077,Tables!$J$2)), $E3077&lt;&gt;"")</f>
        <v>0</v>
      </c>
    </row>
    <row r="3078" spans="1:18" x14ac:dyDescent="0.3">
      <c r="A3078">
        <f t="shared" si="208"/>
        <v>3061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135.05500000000001</v>
      </c>
      <c r="R3078" t="b">
        <f>AND(ISNUMBER(FIND($E3078,Tables!$I$2)), ISNUMBER(FIND($D3078,Tables!$J$2)), $E3078&lt;&gt;"")</f>
        <v>0</v>
      </c>
    </row>
    <row r="3079" spans="1:18" x14ac:dyDescent="0.3">
      <c r="A3079">
        <f t="shared" si="208"/>
        <v>3062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135.05500000000001</v>
      </c>
      <c r="R3079" t="b">
        <f>AND(ISNUMBER(FIND($E3079,Tables!$I$2)), ISNUMBER(FIND($D3079,Tables!$J$2)), $E3079&lt;&gt;"")</f>
        <v>0</v>
      </c>
    </row>
    <row r="3080" spans="1:18" x14ac:dyDescent="0.3">
      <c r="A3080">
        <f t="shared" si="208"/>
        <v>3063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135.05500000000001</v>
      </c>
      <c r="R3080" t="b">
        <f>AND(ISNUMBER(FIND($E3080,Tables!$I$2)), ISNUMBER(FIND($D3080,Tables!$J$2)), $E3080&lt;&gt;"")</f>
        <v>0</v>
      </c>
    </row>
    <row r="3081" spans="1:18" x14ac:dyDescent="0.3">
      <c r="A3081">
        <f t="shared" si="208"/>
        <v>3064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135.05500000000001</v>
      </c>
      <c r="R3081" t="b">
        <f>AND(ISNUMBER(FIND($E3081,Tables!$I$2)), ISNUMBER(FIND($D3081,Tables!$J$2)), $E3081&lt;&gt;"")</f>
        <v>0</v>
      </c>
    </row>
    <row r="3082" spans="1:18" x14ac:dyDescent="0.3">
      <c r="A3082">
        <f t="shared" si="208"/>
        <v>3065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135.05500000000001</v>
      </c>
      <c r="R3082" t="b">
        <f>AND(ISNUMBER(FIND($E3082,Tables!$I$2)), ISNUMBER(FIND($D3082,Tables!$J$2)), $E3082&lt;&gt;"")</f>
        <v>0</v>
      </c>
    </row>
    <row r="3083" spans="1:18" x14ac:dyDescent="0.3">
      <c r="A3083">
        <f t="shared" si="208"/>
        <v>3066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135.05500000000001</v>
      </c>
      <c r="R3083" t="b">
        <f>AND(ISNUMBER(FIND($E3083,Tables!$I$2)), ISNUMBER(FIND($D3083,Tables!$J$2)), $E3083&lt;&gt;"")</f>
        <v>0</v>
      </c>
    </row>
    <row r="3084" spans="1:18" x14ac:dyDescent="0.3">
      <c r="A3084">
        <f t="shared" si="208"/>
        <v>3067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135.05500000000001</v>
      </c>
      <c r="R3084" t="b">
        <f>AND(ISNUMBER(FIND($E3084,Tables!$I$2)), ISNUMBER(FIND($D3084,Tables!$J$2)), $E3084&lt;&gt;"")</f>
        <v>0</v>
      </c>
    </row>
    <row r="3085" spans="1:18" x14ac:dyDescent="0.3">
      <c r="A3085">
        <f t="shared" si="208"/>
        <v>3068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135.05500000000001</v>
      </c>
      <c r="R3085" t="b">
        <f>AND(ISNUMBER(FIND($E3085,Tables!$I$2)), ISNUMBER(FIND($D3085,Tables!$J$2)), $E3085&lt;&gt;"")</f>
        <v>0</v>
      </c>
    </row>
    <row r="3086" spans="1:18" x14ac:dyDescent="0.3">
      <c r="A3086">
        <f t="shared" si="208"/>
        <v>3069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135.05500000000001</v>
      </c>
      <c r="R3086" t="b">
        <f>AND(ISNUMBER(FIND($E3086,Tables!$I$2)), ISNUMBER(FIND($D3086,Tables!$J$2)), $E3086&lt;&gt;"")</f>
        <v>0</v>
      </c>
    </row>
    <row r="3087" spans="1:18" x14ac:dyDescent="0.3">
      <c r="A3087">
        <f t="shared" si="208"/>
        <v>3070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135.05500000000001</v>
      </c>
      <c r="R3087" t="b">
        <f>AND(ISNUMBER(FIND($E3087,Tables!$I$2)), ISNUMBER(FIND($D3087,Tables!$J$2)), $E3087&lt;&gt;"")</f>
        <v>0</v>
      </c>
    </row>
    <row r="3088" spans="1:18" x14ac:dyDescent="0.3">
      <c r="A3088">
        <f t="shared" si="208"/>
        <v>3071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135.05500000000001</v>
      </c>
      <c r="R3088" t="b">
        <f>AND(ISNUMBER(FIND($E3088,Tables!$I$2)), ISNUMBER(FIND($D3088,Tables!$J$2)), $E3088&lt;&gt;"")</f>
        <v>0</v>
      </c>
    </row>
    <row r="3089" spans="1:18" x14ac:dyDescent="0.3">
      <c r="A3089">
        <f t="shared" si="208"/>
        <v>3072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135.05500000000001</v>
      </c>
      <c r="R3089" t="b">
        <f>AND(ISNUMBER(FIND($E3089,Tables!$I$2)), ISNUMBER(FIND($D3089,Tables!$J$2)), $E3089&lt;&gt;"")</f>
        <v>0</v>
      </c>
    </row>
    <row r="3090" spans="1:18" x14ac:dyDescent="0.3">
      <c r="A3090">
        <f t="shared" si="208"/>
        <v>3073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135.05500000000001</v>
      </c>
      <c r="R3090" t="b">
        <f>AND(ISNUMBER(FIND($E3090,Tables!$I$2)), ISNUMBER(FIND($D3090,Tables!$J$2)), $E3090&lt;&gt;"")</f>
        <v>0</v>
      </c>
    </row>
    <row r="3091" spans="1:18" x14ac:dyDescent="0.3">
      <c r="A3091">
        <f t="shared" si="208"/>
        <v>3074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135.05500000000001</v>
      </c>
      <c r="R3091" t="b">
        <f>AND(ISNUMBER(FIND($E3091,Tables!$I$2)), ISNUMBER(FIND($D3091,Tables!$J$2)), $E3091&lt;&gt;"")</f>
        <v>0</v>
      </c>
    </row>
    <row r="3092" spans="1:18" x14ac:dyDescent="0.3">
      <c r="A3092">
        <f t="shared" si="208"/>
        <v>3075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135.05500000000001</v>
      </c>
      <c r="R3092" t="b">
        <f>AND(ISNUMBER(FIND($E3092,Tables!$I$2)), ISNUMBER(FIND($D3092,Tables!$J$2)), $E3092&lt;&gt;"")</f>
        <v>0</v>
      </c>
    </row>
    <row r="3093" spans="1:18" x14ac:dyDescent="0.3">
      <c r="A3093">
        <f t="shared" si="208"/>
        <v>3076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135.05500000000001</v>
      </c>
      <c r="R3093" t="b">
        <f>AND(ISNUMBER(FIND($E3093,Tables!$I$2)), ISNUMBER(FIND($D3093,Tables!$J$2)), $E3093&lt;&gt;"")</f>
        <v>0</v>
      </c>
    </row>
    <row r="3094" spans="1:18" x14ac:dyDescent="0.3">
      <c r="A3094">
        <f t="shared" si="208"/>
        <v>3077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135.05500000000001</v>
      </c>
      <c r="R3094" t="b">
        <f>AND(ISNUMBER(FIND($E3094,Tables!$I$2)), ISNUMBER(FIND($D3094,Tables!$J$2)), $E3094&lt;&gt;"")</f>
        <v>0</v>
      </c>
    </row>
    <row r="3095" spans="1:18" x14ac:dyDescent="0.3">
      <c r="A3095">
        <f t="shared" si="208"/>
        <v>3078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135.05500000000001</v>
      </c>
      <c r="R3095" t="b">
        <f>AND(ISNUMBER(FIND($E3095,Tables!$I$2)), ISNUMBER(FIND($D3095,Tables!$J$2)), $E3095&lt;&gt;"")</f>
        <v>0</v>
      </c>
    </row>
    <row r="3096" spans="1:18" x14ac:dyDescent="0.3">
      <c r="A3096">
        <f t="shared" si="208"/>
        <v>3079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135.05500000000001</v>
      </c>
      <c r="R3096" t="b">
        <f>AND(ISNUMBER(FIND($E3096,Tables!$I$2)), ISNUMBER(FIND($D3096,Tables!$J$2)), $E3096&lt;&gt;"")</f>
        <v>0</v>
      </c>
    </row>
    <row r="3097" spans="1:18" x14ac:dyDescent="0.3">
      <c r="A3097">
        <f t="shared" si="208"/>
        <v>3080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135.05500000000001</v>
      </c>
      <c r="R3097" t="b">
        <f>AND(ISNUMBER(FIND($E3097,Tables!$I$2)), ISNUMBER(FIND($D3097,Tables!$J$2)), $E3097&lt;&gt;"")</f>
        <v>0</v>
      </c>
    </row>
    <row r="3098" spans="1:18" x14ac:dyDescent="0.3">
      <c r="A3098">
        <f t="shared" si="208"/>
        <v>3081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135.05500000000001</v>
      </c>
      <c r="R3098" t="b">
        <f>AND(ISNUMBER(FIND($E3098,Tables!$I$2)), ISNUMBER(FIND($D3098,Tables!$J$2)), $E3098&lt;&gt;"")</f>
        <v>0</v>
      </c>
    </row>
    <row r="3099" spans="1:18" x14ac:dyDescent="0.3">
      <c r="A3099">
        <f t="shared" si="208"/>
        <v>3082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135.05500000000001</v>
      </c>
      <c r="R3099" t="b">
        <f>AND(ISNUMBER(FIND($E3099,Tables!$I$2)), ISNUMBER(FIND($D3099,Tables!$J$2)), $E3099&lt;&gt;"")</f>
        <v>0</v>
      </c>
    </row>
    <row r="3100" spans="1:18" x14ac:dyDescent="0.3">
      <c r="A3100">
        <f t="shared" si="208"/>
        <v>3083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135.05500000000001</v>
      </c>
      <c r="R3100" t="b">
        <f>AND(ISNUMBER(FIND($E3100,Tables!$I$2)), ISNUMBER(FIND($D3100,Tables!$J$2)), $E3100&lt;&gt;"")</f>
        <v>0</v>
      </c>
    </row>
    <row r="3101" spans="1:18" x14ac:dyDescent="0.3">
      <c r="A3101">
        <f t="shared" si="208"/>
        <v>3084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135.05500000000001</v>
      </c>
      <c r="R3101" t="b">
        <f>AND(ISNUMBER(FIND($E3101,Tables!$I$2)), ISNUMBER(FIND($D3101,Tables!$J$2)), $E3101&lt;&gt;"")</f>
        <v>0</v>
      </c>
    </row>
    <row r="3102" spans="1:18" x14ac:dyDescent="0.3">
      <c r="A3102">
        <f t="shared" si="208"/>
        <v>3085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135.05500000000001</v>
      </c>
      <c r="R3102" t="b">
        <f>AND(ISNUMBER(FIND($E3102,Tables!$I$2)), ISNUMBER(FIND($D3102,Tables!$J$2)), $E3102&lt;&gt;"")</f>
        <v>0</v>
      </c>
    </row>
    <row r="3103" spans="1:18" x14ac:dyDescent="0.3">
      <c r="A3103">
        <f t="shared" si="208"/>
        <v>3086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135.05500000000001</v>
      </c>
      <c r="R3103" t="b">
        <f>AND(ISNUMBER(FIND($E3103,Tables!$I$2)), ISNUMBER(FIND($D3103,Tables!$J$2)), $E3103&lt;&gt;"")</f>
        <v>0</v>
      </c>
    </row>
    <row r="3104" spans="1:18" x14ac:dyDescent="0.3">
      <c r="A3104">
        <f t="shared" si="208"/>
        <v>3087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135.05500000000001</v>
      </c>
      <c r="R3104" t="b">
        <f>AND(ISNUMBER(FIND($E3104,Tables!$I$2)), ISNUMBER(FIND($D3104,Tables!$J$2)), $E3104&lt;&gt;"")</f>
        <v>0</v>
      </c>
    </row>
    <row r="3105" spans="1:18" x14ac:dyDescent="0.3">
      <c r="A3105">
        <f t="shared" si="208"/>
        <v>3088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135.05500000000001</v>
      </c>
      <c r="R3105" t="b">
        <f>AND(ISNUMBER(FIND($E3105,Tables!$I$2)), ISNUMBER(FIND($D3105,Tables!$J$2)), $E3105&lt;&gt;"")</f>
        <v>0</v>
      </c>
    </row>
    <row r="3106" spans="1:18" x14ac:dyDescent="0.3">
      <c r="A3106">
        <f t="shared" ref="A3106:A3158" si="209">IF(AND(B3106="", D3106&lt;&gt;""), A3105, A3105+1)</f>
        <v>3089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135.05500000000001</v>
      </c>
      <c r="R3106" t="b">
        <f>AND(ISNUMBER(FIND($E3106,Tables!$I$2)), ISNUMBER(FIND($D3106,Tables!$J$2)), $E3106&lt;&gt;"")</f>
        <v>0</v>
      </c>
    </row>
    <row r="3107" spans="1:18" x14ac:dyDescent="0.3">
      <c r="A3107">
        <f t="shared" si="209"/>
        <v>3090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135.05500000000001</v>
      </c>
      <c r="R3107" t="b">
        <f>AND(ISNUMBER(FIND($E3107,Tables!$I$2)), ISNUMBER(FIND($D3107,Tables!$J$2)), $E3107&lt;&gt;"")</f>
        <v>0</v>
      </c>
    </row>
    <row r="3108" spans="1:18" x14ac:dyDescent="0.3">
      <c r="A3108">
        <f t="shared" si="209"/>
        <v>3091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135.05500000000001</v>
      </c>
      <c r="R3108" t="b">
        <f>AND(ISNUMBER(FIND($E3108,Tables!$I$2)), ISNUMBER(FIND($D3108,Tables!$J$2)), $E3108&lt;&gt;"")</f>
        <v>0</v>
      </c>
    </row>
    <row r="3109" spans="1:18" x14ac:dyDescent="0.3">
      <c r="A3109">
        <f t="shared" si="209"/>
        <v>3092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135.05500000000001</v>
      </c>
      <c r="R3109" t="b">
        <f>AND(ISNUMBER(FIND($E3109,Tables!$I$2)), ISNUMBER(FIND($D3109,Tables!$J$2)), $E3109&lt;&gt;"")</f>
        <v>0</v>
      </c>
    </row>
    <row r="3110" spans="1:18" x14ac:dyDescent="0.3">
      <c r="A3110">
        <f t="shared" si="209"/>
        <v>3093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135.05500000000001</v>
      </c>
      <c r="R3110" t="b">
        <f>AND(ISNUMBER(FIND($E3110,Tables!$I$2)), ISNUMBER(FIND($D3110,Tables!$J$2)), $E3110&lt;&gt;"")</f>
        <v>0</v>
      </c>
    </row>
    <row r="3111" spans="1:18" x14ac:dyDescent="0.3">
      <c r="A3111">
        <f t="shared" si="209"/>
        <v>3094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135.05500000000001</v>
      </c>
      <c r="R3111" t="b">
        <f>AND(ISNUMBER(FIND($E3111,Tables!$I$2)), ISNUMBER(FIND($D3111,Tables!$J$2)), $E3111&lt;&gt;"")</f>
        <v>0</v>
      </c>
    </row>
    <row r="3112" spans="1:18" x14ac:dyDescent="0.3">
      <c r="A3112">
        <f t="shared" si="209"/>
        <v>3095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135.05500000000001</v>
      </c>
      <c r="R3112" t="b">
        <f>AND(ISNUMBER(FIND($E3112,Tables!$I$2)), ISNUMBER(FIND($D3112,Tables!$J$2)), $E3112&lt;&gt;"")</f>
        <v>0</v>
      </c>
    </row>
    <row r="3113" spans="1:18" x14ac:dyDescent="0.3">
      <c r="A3113">
        <f t="shared" si="209"/>
        <v>3096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135.05500000000001</v>
      </c>
      <c r="R3113" t="b">
        <f>AND(ISNUMBER(FIND($E3113,Tables!$I$2)), ISNUMBER(FIND($D3113,Tables!$J$2)), $E3113&lt;&gt;"")</f>
        <v>0</v>
      </c>
    </row>
    <row r="3114" spans="1:18" x14ac:dyDescent="0.3">
      <c r="A3114">
        <f t="shared" si="209"/>
        <v>3097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135.05500000000001</v>
      </c>
      <c r="R3114" t="b">
        <f>AND(ISNUMBER(FIND($E3114,Tables!$I$2)), ISNUMBER(FIND($D3114,Tables!$J$2)), $E3114&lt;&gt;"")</f>
        <v>0</v>
      </c>
    </row>
    <row r="3115" spans="1:18" x14ac:dyDescent="0.3">
      <c r="A3115">
        <f t="shared" si="209"/>
        <v>3098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135.05500000000001</v>
      </c>
      <c r="R3115" t="b">
        <f>AND(ISNUMBER(FIND($E3115,Tables!$I$2)), ISNUMBER(FIND($D3115,Tables!$J$2)), $E3115&lt;&gt;"")</f>
        <v>0</v>
      </c>
    </row>
    <row r="3116" spans="1:18" x14ac:dyDescent="0.3">
      <c r="A3116">
        <f t="shared" si="209"/>
        <v>3099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135.05500000000001</v>
      </c>
      <c r="R3116" t="b">
        <f>AND(ISNUMBER(FIND($E3116,Tables!$I$2)), ISNUMBER(FIND($D3116,Tables!$J$2)), $E3116&lt;&gt;"")</f>
        <v>0</v>
      </c>
    </row>
    <row r="3117" spans="1:18" x14ac:dyDescent="0.3">
      <c r="A3117">
        <f t="shared" si="209"/>
        <v>3100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135.05500000000001</v>
      </c>
      <c r="R3117" t="b">
        <f>AND(ISNUMBER(FIND($E3117,Tables!$I$2)), ISNUMBER(FIND($D3117,Tables!$J$2)), $E3117&lt;&gt;"")</f>
        <v>0</v>
      </c>
    </row>
    <row r="3118" spans="1:18" x14ac:dyDescent="0.3">
      <c r="A3118">
        <f t="shared" si="209"/>
        <v>3101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135.05500000000001</v>
      </c>
      <c r="R3118" t="b">
        <f>AND(ISNUMBER(FIND($E3118,Tables!$I$2)), ISNUMBER(FIND($D3118,Tables!$J$2)), $E3118&lt;&gt;"")</f>
        <v>0</v>
      </c>
    </row>
    <row r="3119" spans="1:18" x14ac:dyDescent="0.3">
      <c r="A3119">
        <f t="shared" si="209"/>
        <v>3102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135.05500000000001</v>
      </c>
      <c r="R3119" t="b">
        <f>AND(ISNUMBER(FIND($E3119,Tables!$I$2)), ISNUMBER(FIND($D3119,Tables!$J$2)), $E3119&lt;&gt;"")</f>
        <v>0</v>
      </c>
    </row>
    <row r="3120" spans="1:18" x14ac:dyDescent="0.3">
      <c r="A3120">
        <f t="shared" si="209"/>
        <v>3103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135.05500000000001</v>
      </c>
      <c r="R3120" t="b">
        <f>AND(ISNUMBER(FIND($E3120,Tables!$I$2)), ISNUMBER(FIND($D3120,Tables!$J$2)), $E3120&lt;&gt;"")</f>
        <v>0</v>
      </c>
    </row>
    <row r="3121" spans="1:18" x14ac:dyDescent="0.3">
      <c r="A3121">
        <f t="shared" si="209"/>
        <v>3104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135.05500000000001</v>
      </c>
      <c r="R3121" t="b">
        <f>AND(ISNUMBER(FIND($E3121,Tables!$I$2)), ISNUMBER(FIND($D3121,Tables!$J$2)), $E3121&lt;&gt;"")</f>
        <v>0</v>
      </c>
    </row>
    <row r="3122" spans="1:18" x14ac:dyDescent="0.3">
      <c r="A3122">
        <f t="shared" si="209"/>
        <v>3105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135.05500000000001</v>
      </c>
      <c r="R3122" t="b">
        <f>AND(ISNUMBER(FIND($E3122,Tables!$I$2)), ISNUMBER(FIND($D3122,Tables!$J$2)), $E3122&lt;&gt;"")</f>
        <v>0</v>
      </c>
    </row>
    <row r="3123" spans="1:18" x14ac:dyDescent="0.3">
      <c r="A3123">
        <f t="shared" si="209"/>
        <v>3106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135.05500000000001</v>
      </c>
      <c r="R3123" t="b">
        <f>AND(ISNUMBER(FIND($E3123,Tables!$I$2)), ISNUMBER(FIND($D3123,Tables!$J$2)), $E3123&lt;&gt;"")</f>
        <v>0</v>
      </c>
    </row>
    <row r="3124" spans="1:18" x14ac:dyDescent="0.3">
      <c r="A3124">
        <f t="shared" si="209"/>
        <v>3107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135.05500000000001</v>
      </c>
      <c r="R3124" t="b">
        <f>AND(ISNUMBER(FIND($E3124,Tables!$I$2)), ISNUMBER(FIND($D3124,Tables!$J$2)), $E3124&lt;&gt;"")</f>
        <v>0</v>
      </c>
    </row>
    <row r="3125" spans="1:18" x14ac:dyDescent="0.3">
      <c r="A3125">
        <f t="shared" si="209"/>
        <v>3108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135.05500000000001</v>
      </c>
      <c r="R3125" t="b">
        <f>AND(ISNUMBER(FIND($E3125,Tables!$I$2)), ISNUMBER(FIND($D3125,Tables!$J$2)), $E3125&lt;&gt;"")</f>
        <v>0</v>
      </c>
    </row>
    <row r="3126" spans="1:18" x14ac:dyDescent="0.3">
      <c r="A3126">
        <f t="shared" si="209"/>
        <v>3109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135.05500000000001</v>
      </c>
      <c r="R3126" t="b">
        <f>AND(ISNUMBER(FIND($E3126,Tables!$I$2)), ISNUMBER(FIND($D3126,Tables!$J$2)), $E3126&lt;&gt;"")</f>
        <v>0</v>
      </c>
    </row>
    <row r="3127" spans="1:18" x14ac:dyDescent="0.3">
      <c r="A3127">
        <f t="shared" si="209"/>
        <v>3110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135.05500000000001</v>
      </c>
      <c r="R3127" t="b">
        <f>AND(ISNUMBER(FIND($E3127,Tables!$I$2)), ISNUMBER(FIND($D3127,Tables!$J$2)), $E3127&lt;&gt;"")</f>
        <v>0</v>
      </c>
    </row>
    <row r="3128" spans="1:18" x14ac:dyDescent="0.3">
      <c r="A3128">
        <f t="shared" si="209"/>
        <v>3111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135.05500000000001</v>
      </c>
      <c r="R3128" t="b">
        <f>AND(ISNUMBER(FIND($E3128,Tables!$I$2)), ISNUMBER(FIND($D3128,Tables!$J$2)), $E3128&lt;&gt;"")</f>
        <v>0</v>
      </c>
    </row>
    <row r="3129" spans="1:18" x14ac:dyDescent="0.3">
      <c r="A3129">
        <f t="shared" si="209"/>
        <v>3112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135.05500000000001</v>
      </c>
      <c r="R3129" t="b">
        <f>AND(ISNUMBER(FIND($E3129,Tables!$I$2)), ISNUMBER(FIND($D3129,Tables!$J$2)), $E3129&lt;&gt;"")</f>
        <v>0</v>
      </c>
    </row>
    <row r="3130" spans="1:18" x14ac:dyDescent="0.3">
      <c r="A3130">
        <f t="shared" si="209"/>
        <v>3113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135.05500000000001</v>
      </c>
      <c r="R3130" t="b">
        <f>AND(ISNUMBER(FIND($E3130,Tables!$I$2)), ISNUMBER(FIND($D3130,Tables!$J$2)), $E3130&lt;&gt;"")</f>
        <v>0</v>
      </c>
    </row>
    <row r="3131" spans="1:18" x14ac:dyDescent="0.3">
      <c r="A3131">
        <f t="shared" si="209"/>
        <v>3114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135.05500000000001</v>
      </c>
      <c r="R3131" t="b">
        <f>AND(ISNUMBER(FIND($E3131,Tables!$I$2)), ISNUMBER(FIND($D3131,Tables!$J$2)), $E3131&lt;&gt;"")</f>
        <v>0</v>
      </c>
    </row>
    <row r="3132" spans="1:18" x14ac:dyDescent="0.3">
      <c r="A3132">
        <f t="shared" si="209"/>
        <v>3115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135.05500000000001</v>
      </c>
      <c r="R3132" t="b">
        <f>AND(ISNUMBER(FIND($E3132,Tables!$I$2)), ISNUMBER(FIND($D3132,Tables!$J$2)), $E3132&lt;&gt;"")</f>
        <v>0</v>
      </c>
    </row>
    <row r="3133" spans="1:18" x14ac:dyDescent="0.3">
      <c r="A3133">
        <f t="shared" si="209"/>
        <v>3116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135.05500000000001</v>
      </c>
      <c r="R3133" t="b">
        <f>AND(ISNUMBER(FIND($E3133,Tables!$I$2)), ISNUMBER(FIND($D3133,Tables!$J$2)), $E3133&lt;&gt;"")</f>
        <v>0</v>
      </c>
    </row>
    <row r="3134" spans="1:18" x14ac:dyDescent="0.3">
      <c r="A3134">
        <f t="shared" si="209"/>
        <v>3117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135.05500000000001</v>
      </c>
      <c r="R3134" t="b">
        <f>AND(ISNUMBER(FIND($E3134,Tables!$I$2)), ISNUMBER(FIND($D3134,Tables!$J$2)), $E3134&lt;&gt;"")</f>
        <v>0</v>
      </c>
    </row>
    <row r="3135" spans="1:18" x14ac:dyDescent="0.3">
      <c r="A3135">
        <f t="shared" si="209"/>
        <v>3118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135.05500000000001</v>
      </c>
      <c r="R3135" t="b">
        <f>AND(ISNUMBER(FIND($E3135,Tables!$I$2)), ISNUMBER(FIND($D3135,Tables!$J$2)), $E3135&lt;&gt;"")</f>
        <v>0</v>
      </c>
    </row>
    <row r="3136" spans="1:18" x14ac:dyDescent="0.3">
      <c r="A3136">
        <f t="shared" si="209"/>
        <v>3119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135.05500000000001</v>
      </c>
      <c r="R3136" t="b">
        <f>AND(ISNUMBER(FIND($E3136,Tables!$I$2)), ISNUMBER(FIND($D3136,Tables!$J$2)), $E3136&lt;&gt;"")</f>
        <v>0</v>
      </c>
    </row>
    <row r="3137" spans="1:18" x14ac:dyDescent="0.3">
      <c r="A3137">
        <f t="shared" si="209"/>
        <v>3120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135.05500000000001</v>
      </c>
      <c r="R3137" t="b">
        <f>AND(ISNUMBER(FIND($E3137,Tables!$I$2)), ISNUMBER(FIND($D3137,Tables!$J$2)), $E3137&lt;&gt;"")</f>
        <v>0</v>
      </c>
    </row>
    <row r="3138" spans="1:18" x14ac:dyDescent="0.3">
      <c r="A3138">
        <f t="shared" si="209"/>
        <v>3121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135.05500000000001</v>
      </c>
      <c r="R3138" t="b">
        <f>AND(ISNUMBER(FIND($E3138,Tables!$I$2)), ISNUMBER(FIND($D3138,Tables!$J$2)), $E3138&lt;&gt;"")</f>
        <v>0</v>
      </c>
    </row>
    <row r="3139" spans="1:18" x14ac:dyDescent="0.3">
      <c r="A3139">
        <f t="shared" si="209"/>
        <v>3122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135.05500000000001</v>
      </c>
      <c r="R3139" t="b">
        <f>AND(ISNUMBER(FIND($E3139,Tables!$I$2)), ISNUMBER(FIND($D3139,Tables!$J$2)), $E3139&lt;&gt;"")</f>
        <v>0</v>
      </c>
    </row>
    <row r="3140" spans="1:18" x14ac:dyDescent="0.3">
      <c r="A3140">
        <f t="shared" si="209"/>
        <v>3123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135.05500000000001</v>
      </c>
      <c r="R3140" t="b">
        <f>AND(ISNUMBER(FIND($E3140,Tables!$I$2)), ISNUMBER(FIND($D3140,Tables!$J$2)), $E3140&lt;&gt;"")</f>
        <v>0</v>
      </c>
    </row>
    <row r="3141" spans="1:18" x14ac:dyDescent="0.3">
      <c r="A3141">
        <f t="shared" si="209"/>
        <v>3124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135.05500000000001</v>
      </c>
      <c r="R3141" t="b">
        <f>AND(ISNUMBER(FIND($E3141,Tables!$I$2)), ISNUMBER(FIND($D3141,Tables!$J$2)), $E3141&lt;&gt;"")</f>
        <v>0</v>
      </c>
    </row>
    <row r="3142" spans="1:18" x14ac:dyDescent="0.3">
      <c r="A3142">
        <f t="shared" si="209"/>
        <v>3125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135.05500000000001</v>
      </c>
      <c r="R3142" t="b">
        <f>AND(ISNUMBER(FIND($E3142,Tables!$I$2)), ISNUMBER(FIND($D3142,Tables!$J$2)), $E3142&lt;&gt;"")</f>
        <v>0</v>
      </c>
    </row>
    <row r="3143" spans="1:18" x14ac:dyDescent="0.3">
      <c r="A3143">
        <f t="shared" si="209"/>
        <v>3126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135.05500000000001</v>
      </c>
      <c r="R3143" t="b">
        <f>AND(ISNUMBER(FIND($E3143,Tables!$I$2)), ISNUMBER(FIND($D3143,Tables!$J$2)), $E3143&lt;&gt;"")</f>
        <v>0</v>
      </c>
    </row>
    <row r="3144" spans="1:18" x14ac:dyDescent="0.3">
      <c r="A3144">
        <f t="shared" si="209"/>
        <v>3127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135.05500000000001</v>
      </c>
      <c r="R3144" t="b">
        <f>AND(ISNUMBER(FIND($E3144,Tables!$I$2)), ISNUMBER(FIND($D3144,Tables!$J$2)), $E3144&lt;&gt;"")</f>
        <v>0</v>
      </c>
    </row>
    <row r="3145" spans="1:18" x14ac:dyDescent="0.3">
      <c r="A3145">
        <f t="shared" si="209"/>
        <v>3128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135.05500000000001</v>
      </c>
      <c r="R3145" t="b">
        <f>AND(ISNUMBER(FIND($E3145,Tables!$I$2)), ISNUMBER(FIND($D3145,Tables!$J$2)), $E3145&lt;&gt;"")</f>
        <v>0</v>
      </c>
    </row>
    <row r="3146" spans="1:18" x14ac:dyDescent="0.3">
      <c r="A3146">
        <f t="shared" si="209"/>
        <v>3129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135.05500000000001</v>
      </c>
      <c r="R3146" t="b">
        <f>AND(ISNUMBER(FIND($E3146,Tables!$I$2)), ISNUMBER(FIND($D3146,Tables!$J$2)), $E3146&lt;&gt;"")</f>
        <v>0</v>
      </c>
    </row>
    <row r="3147" spans="1:18" x14ac:dyDescent="0.3">
      <c r="A3147">
        <f t="shared" si="209"/>
        <v>3130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135.05500000000001</v>
      </c>
      <c r="R3147" t="b">
        <f>AND(ISNUMBER(FIND($E3147,Tables!$I$2)), ISNUMBER(FIND($D3147,Tables!$J$2)), $E3147&lt;&gt;"")</f>
        <v>0</v>
      </c>
    </row>
    <row r="3148" spans="1:18" x14ac:dyDescent="0.3">
      <c r="A3148">
        <f t="shared" si="209"/>
        <v>3131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135.05500000000001</v>
      </c>
      <c r="R3148" t="b">
        <f>AND(ISNUMBER(FIND($E3148,Tables!$I$2)), ISNUMBER(FIND($D3148,Tables!$J$2)), $E3148&lt;&gt;"")</f>
        <v>0</v>
      </c>
    </row>
    <row r="3149" spans="1:18" x14ac:dyDescent="0.3">
      <c r="A3149">
        <f t="shared" si="209"/>
        <v>3132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135.05500000000001</v>
      </c>
      <c r="R3149" t="b">
        <f>AND(ISNUMBER(FIND($E3149,Tables!$I$2)), ISNUMBER(FIND($D3149,Tables!$J$2)), $E3149&lt;&gt;"")</f>
        <v>0</v>
      </c>
    </row>
    <row r="3150" spans="1:18" x14ac:dyDescent="0.3">
      <c r="A3150">
        <f t="shared" si="209"/>
        <v>3133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135.05500000000001</v>
      </c>
      <c r="R3150" t="b">
        <f>AND(ISNUMBER(FIND($E3150,Tables!$I$2)), ISNUMBER(FIND($D3150,Tables!$J$2)), $E3150&lt;&gt;"")</f>
        <v>0</v>
      </c>
    </row>
    <row r="3151" spans="1:18" x14ac:dyDescent="0.3">
      <c r="A3151">
        <f t="shared" si="209"/>
        <v>3134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135.05500000000001</v>
      </c>
      <c r="R3151" t="b">
        <f>AND(ISNUMBER(FIND($E3151,Tables!$I$2)), ISNUMBER(FIND($D3151,Tables!$J$2)), $E3151&lt;&gt;"")</f>
        <v>0</v>
      </c>
    </row>
    <row r="3152" spans="1:18" x14ac:dyDescent="0.3">
      <c r="A3152">
        <f t="shared" si="209"/>
        <v>3135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135.05500000000001</v>
      </c>
      <c r="R3152" t="b">
        <f>AND(ISNUMBER(FIND($E3152,Tables!$I$2)), ISNUMBER(FIND($D3152,Tables!$J$2)), $E3152&lt;&gt;"")</f>
        <v>0</v>
      </c>
    </row>
    <row r="3153" spans="1:18" x14ac:dyDescent="0.3">
      <c r="A3153">
        <f t="shared" si="209"/>
        <v>3136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135.05500000000001</v>
      </c>
      <c r="R3153" t="b">
        <f>AND(ISNUMBER(FIND($E3153,Tables!$I$2)), ISNUMBER(FIND($D3153,Tables!$J$2)), $E3153&lt;&gt;"")</f>
        <v>0</v>
      </c>
    </row>
    <row r="3154" spans="1:18" x14ac:dyDescent="0.3">
      <c r="A3154">
        <f t="shared" si="209"/>
        <v>3137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135.05500000000001</v>
      </c>
      <c r="R3154" t="b">
        <f>AND(ISNUMBER(FIND($E3154,Tables!$I$2)), ISNUMBER(FIND($D3154,Tables!$J$2)), $E3154&lt;&gt;"")</f>
        <v>0</v>
      </c>
    </row>
    <row r="3155" spans="1:18" x14ac:dyDescent="0.3">
      <c r="A3155">
        <f t="shared" si="209"/>
        <v>3138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135.05500000000001</v>
      </c>
      <c r="R3155" t="b">
        <f>AND(ISNUMBER(FIND($E3155,Tables!$I$2)), ISNUMBER(FIND($D3155,Tables!$J$2)), $E3155&lt;&gt;"")</f>
        <v>0</v>
      </c>
    </row>
    <row r="3156" spans="1:18" x14ac:dyDescent="0.3">
      <c r="A3156">
        <f t="shared" si="209"/>
        <v>3139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135.05500000000001</v>
      </c>
      <c r="R3156" t="b">
        <f>AND(ISNUMBER(FIND($E3156,Tables!$I$2)), ISNUMBER(FIND($D3156,Tables!$J$2)), $E3156&lt;&gt;"")</f>
        <v>0</v>
      </c>
    </row>
    <row r="3157" spans="1:18" x14ac:dyDescent="0.3">
      <c r="A3157">
        <f t="shared" si="209"/>
        <v>3140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135.05500000000001</v>
      </c>
      <c r="R3157" t="b">
        <f>AND(ISNUMBER(FIND($E3157,Tables!$I$2)), ISNUMBER(FIND($D3157,Tables!$J$2)), $E3157&lt;&gt;"")</f>
        <v>0</v>
      </c>
    </row>
    <row r="3158" spans="1:18" x14ac:dyDescent="0.3">
      <c r="A3158">
        <f t="shared" si="209"/>
        <v>3141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135.05500000000001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28" priority="22" operator="equal">
      <formula>"win"</formula>
    </cfRule>
    <cfRule type="cellIs" dxfId="27" priority="23" operator="equal">
      <formula>"loss"</formula>
    </cfRule>
  </conditionalFormatting>
  <conditionalFormatting sqref="M24">
    <cfRule type="cellIs" dxfId="26" priority="21" operator="equal">
      <formula>"draw"</formula>
    </cfRule>
  </conditionalFormatting>
  <conditionalFormatting sqref="J24">
    <cfRule type="expression" dxfId="25" priority="19">
      <formula>$I24&lt;0</formula>
    </cfRule>
    <cfRule type="expression" dxfId="24" priority="20">
      <formula>$I24&gt;0</formula>
    </cfRule>
  </conditionalFormatting>
  <conditionalFormatting sqref="F2:G29995">
    <cfRule type="cellIs" dxfId="23" priority="7" operator="equal">
      <formula>"Parlay"</formula>
    </cfRule>
  </conditionalFormatting>
  <conditionalFormatting sqref="B12:N12">
    <cfRule type="expression" dxfId="22" priority="35">
      <formula>$A12 &lt;&gt; $A10</formula>
    </cfRule>
    <cfRule type="expression" dxfId="21" priority="36">
      <formula>OR($A12=$A13, $A12=$A10)</formula>
    </cfRule>
  </conditionalFormatting>
  <conditionalFormatting sqref="A2:A3158">
    <cfRule type="expression" dxfId="20" priority="8">
      <formula>$A2 &lt;&gt; $A1</formula>
    </cfRule>
    <cfRule type="expression" dxfId="19" priority="9">
      <formula>OR($A2=$A4, $A2=$A1)</formula>
    </cfRule>
  </conditionalFormatting>
  <conditionalFormatting sqref="C50">
    <cfRule type="expression" dxfId="18" priority="77">
      <formula>$A50 &lt;&gt; $A47</formula>
    </cfRule>
    <cfRule type="expression" dxfId="17" priority="78">
      <formula>$E50 = "NBA"</formula>
    </cfRule>
    <cfRule type="expression" dxfId="16" priority="79">
      <formula>OR($A50=#REF!, $A50=$A47)</formula>
    </cfRule>
    <cfRule type="expression" dxfId="15" priority="80">
      <formula>MOD($A50,2)=1</formula>
    </cfRule>
  </conditionalFormatting>
  <conditionalFormatting sqref="A2:N30000">
    <cfRule type="expression" dxfId="3" priority="1">
      <formula>$A2 &lt;&gt; $A1</formula>
    </cfRule>
    <cfRule type="expression" dxfId="2" priority="31">
      <formula>$E2 = "NBA"</formula>
    </cfRule>
    <cfRule type="expression" dxfId="1" priority="37">
      <formula>OR($A2=$A4, $A2=$A1)</formula>
    </cfRule>
    <cfRule type="expression" dxfId="0" priority="38">
      <formula>MOD($A2,2)=1</formula>
    </cfRule>
  </conditionalFormatting>
  <conditionalFormatting sqref="M2:M30000">
    <cfRule type="cellIs" dxfId="14" priority="6" operator="equal">
      <formula>"NC"</formula>
    </cfRule>
    <cfRule type="cellIs" dxfId="13" priority="18" operator="equal">
      <formula>"draw"</formula>
    </cfRule>
    <cfRule type="cellIs" dxfId="12" priority="28" operator="equal">
      <formula>"win"</formula>
    </cfRule>
    <cfRule type="cellIs" dxfId="11" priority="29" operator="equal">
      <formula>"loss"</formula>
    </cfRule>
  </conditionalFormatting>
  <conditionalFormatting sqref="I2:J30000">
    <cfRule type="expression" dxfId="10" priority="24">
      <formula>$I2&lt;0</formula>
    </cfRule>
    <cfRule type="expression" dxfId="9" priority="25">
      <formula>$I2&gt;0</formula>
    </cfRule>
  </conditionalFormatting>
  <conditionalFormatting sqref="D2:D30000">
    <cfRule type="cellIs" dxfId="8" priority="15" operator="equal">
      <formula>"Prop"</formula>
    </cfRule>
    <cfRule type="cellIs" dxfId="7" priority="16" operator="equal">
      <formula>"Parlay"</formula>
    </cfRule>
    <cfRule type="cellIs" dxfId="6" priority="17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E4" sqref="E4"/>
    </sheetView>
  </sheetViews>
  <sheetFormatPr defaultRowHeight="14.4" x14ac:dyDescent="0.3"/>
  <cols>
    <col min="1" max="1" width="10.6640625" bestFit="1" customWidth="1"/>
    <col min="2" max="2" width="10.88671875" bestFit="1" customWidth="1"/>
    <col min="3" max="3" width="10.6640625" bestFit="1" customWidth="1"/>
    <col min="9" max="9" width="9.109375" customWidth="1"/>
    <col min="36" max="37" width="9.109375" customWidth="1"/>
  </cols>
  <sheetData>
    <row r="1" spans="1:37" x14ac:dyDescent="0.3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3">
      <c r="A2" s="2" t="s">
        <v>91</v>
      </c>
      <c r="B2" s="3">
        <f ca="1">SUMIFS(Bets!$K:$K,Bets!$I:$I, "&lt;0",Bets!$M:$M,"&lt;&gt;",Bets!$M:$M,"&lt;&gt;draw",Bets!$R:$R, TRUE)</f>
        <v>597.24</v>
      </c>
      <c r="C2" s="3">
        <f ca="1">SUMIFS(Bets!$L:$L,Bets!$I:$I, "&lt;0",Bets!$M:$M,"&lt;&gt;",Bets!$M:$M,"&lt;&gt;draw",Bets!$R:$R, TRUE)</f>
        <v>270.89999999999998</v>
      </c>
      <c r="D2">
        <f>COUNTIFS(Bets!$M:$M,"win",Bets!$I:$I, "&lt;0",Bets!$B:$B,"&lt;&gt;",Bets!$R:$R, TRUE)</f>
        <v>13</v>
      </c>
      <c r="E2">
        <f ca="1">COUNTIFS(Bets!$M:$M,"loss",Bets!$I:$I, "&lt;0",Bets!$B:$B,"&lt;&gt;",Bets!$R:$R, TRUE)</f>
        <v>8</v>
      </c>
      <c r="F2" s="3">
        <f ca="1">SUMIFS(Bets!$N:$N,Bets!$I:$I, "&lt;0",Bets!$R:$R, TRUE)</f>
        <v>-162.89000000000001</v>
      </c>
      <c r="G2" s="17">
        <f ca="1">F2/B2</f>
        <v>-0.27273792780121897</v>
      </c>
      <c r="I2" s="20" t="s">
        <v>84</v>
      </c>
      <c r="J2" s="20" t="s">
        <v>198</v>
      </c>
    </row>
    <row r="3" spans="1:37" x14ac:dyDescent="0.3">
      <c r="A3" s="2" t="s">
        <v>92</v>
      </c>
      <c r="B3" s="3">
        <f ca="1">SUMIFS(Bets!$K:$K,Bets!$I:$I, "&gt;0",Bets!$M:$M,"&lt;&gt;",Bets!$M:$M,"&lt;&gt;draw",Bets!$R:$R, TRUE)</f>
        <v>554.82999999999993</v>
      </c>
      <c r="C3" s="3">
        <f ca="1">SUMIFS(Bets!$L:$L,Bets!$I:$I, "&gt;0",Bets!$M:$M,"&lt;&gt;",Bets!$M:$M,"&lt;&gt;draw",Bets!$R:$R, TRUE)</f>
        <v>1072.230272968498</v>
      </c>
      <c r="D3">
        <f>COUNTIFS(Bets!$M:$M,"win",Bets!$I:$I, "&gt;0",Bets!$B:$B,"&lt;&gt;",Bets!$R:$R, TRUE)</f>
        <v>13</v>
      </c>
      <c r="E3">
        <f ca="1">COUNTIFS(Bets!$M:$M,"loss",Bets!$I:$I, "&gt;0",Bets!$B:$B,"&lt;&gt;",Bets!$R:$R, TRUE)</f>
        <v>25</v>
      </c>
      <c r="F3" s="3">
        <f ca="1">SUMIFS(Bets!$N:$N,Bets!$I:$I, "&gt;0",Bets!$R:$R, TRUE)</f>
        <v>128.04499999999996</v>
      </c>
      <c r="G3" s="17">
        <f ca="1">F3/B3</f>
        <v>0.23078240181677268</v>
      </c>
      <c r="I3" s="20"/>
      <c r="J3" s="20"/>
    </row>
    <row r="4" spans="1:37" x14ac:dyDescent="0.3">
      <c r="A4" s="12" t="s">
        <v>0</v>
      </c>
      <c r="B4" s="16">
        <f ca="1">SUM(B2:B3)</f>
        <v>1152.07</v>
      </c>
      <c r="C4" s="16">
        <f ca="1">SUM(C2:C3)</f>
        <v>1343.130272968498</v>
      </c>
      <c r="D4" s="15">
        <f>SUM(D2:D3)</f>
        <v>26</v>
      </c>
      <c r="E4" s="15">
        <f ca="1">SUM(E2:E3)</f>
        <v>33</v>
      </c>
      <c r="F4" s="16">
        <f ca="1">SUM(F2:F3)</f>
        <v>-34.845000000000056</v>
      </c>
      <c r="G4" s="18">
        <f ca="1">F4/B4</f>
        <v>-3.0245557995607956E-2</v>
      </c>
      <c r="I4" s="20"/>
      <c r="J4" s="20"/>
    </row>
    <row r="7" spans="1:37" x14ac:dyDescent="0.3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3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5</v>
      </c>
      <c r="E8" s="11">
        <f ca="1">SUMIFS(Bets!L:L,Bets!$I:$I,"&lt;="&amp;$B8,Bets!$I:$I,"&gt;="&amp;$C8,Bets!$M:$M,"&lt;&gt;",Bets!$R:$R, TRUE)</f>
        <v>58.303465765004219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1</v>
      </c>
      <c r="H8" s="11">
        <f ca="1">SUMIFS(Bets!N:N,Bets!$I:$I,"&lt;="&amp;$B8,Bets!$I:$I,"&gt;="&amp;$C8,Bets!$R:$R, TRUE)</f>
        <v>-5</v>
      </c>
      <c r="I8" s="17">
        <f ca="1">IFERROR((H8+D8)/D8,"")</f>
        <v>0</v>
      </c>
      <c r="AJ8">
        <f>1/101</f>
        <v>9.9009900990099011E-3</v>
      </c>
      <c r="AK8">
        <v>0.1</v>
      </c>
    </row>
    <row r="9" spans="1:37" x14ac:dyDescent="0.3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6</v>
      </c>
      <c r="E9" s="11">
        <f ca="1">SUMIFS(Bets!L:L,Bets!$I:$I,"&lt;="&amp;$B9,Bets!$I:$I,"&gt;="&amp;$C9,Bets!$M:$M,"&lt;&gt;",Bets!$R:$R, TRUE)</f>
        <v>38.283333333333331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2</v>
      </c>
      <c r="H9" s="11">
        <f ca="1">SUMIFS(Bets!N:N,Bets!$I:$I,"&lt;="&amp;$B9,Bets!$I:$I,"&gt;="&amp;$C9,Bets!$R:$R, TRUE)</f>
        <v>-6</v>
      </c>
      <c r="I9" s="17">
        <f t="shared" ref="I9:I25" ca="1" si="2">IFERROR((H9)/D9,"")</f>
        <v>-1</v>
      </c>
      <c r="AJ9">
        <v>0.1</v>
      </c>
      <c r="AK9">
        <v>0.15</v>
      </c>
    </row>
    <row r="10" spans="1:37" x14ac:dyDescent="0.3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25</v>
      </c>
      <c r="E10" s="11">
        <f ca="1">SUMIFS(Bets!L:L,Bets!$I:$I,"&lt;="&amp;$B10,Bets!$I:$I,"&gt;="&amp;$C10,Bets!$M:$M,"&lt;&gt;",Bets!$R:$R, TRUE)</f>
        <v>120.15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3</v>
      </c>
      <c r="H10" s="11">
        <f ca="1">SUMIFS(Bets!N:N,Bets!$I:$I,"&lt;="&amp;$B10,Bets!$I:$I,"&gt;="&amp;$C10,Bets!$R:$R, TRUE)</f>
        <v>-25</v>
      </c>
      <c r="I10" s="17">
        <f t="shared" ca="1" si="2"/>
        <v>-1</v>
      </c>
      <c r="AJ10">
        <v>0.15</v>
      </c>
      <c r="AK10">
        <v>0.2</v>
      </c>
    </row>
    <row r="11" spans="1:37" x14ac:dyDescent="0.3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27</v>
      </c>
      <c r="E11" s="11">
        <f ca="1">SUMIFS(Bets!L:L,Bets!$I:$I,"&lt;="&amp;$B11,Bets!$I:$I,"&gt;="&amp;$C11,Bets!$M:$M,"&lt;&gt;",Bets!$R:$R, TRUE)</f>
        <v>98.63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3</v>
      </c>
      <c r="H11" s="11">
        <f ca="1">SUMIFS(Bets!N:N,Bets!$I:$I,"&lt;="&amp;$B11,Bets!$I:$I,"&gt;="&amp;$C11,Bets!$R:$R, TRUE)</f>
        <v>-4</v>
      </c>
      <c r="I11" s="17">
        <f t="shared" ca="1" si="2"/>
        <v>-0.14814814814814814</v>
      </c>
      <c r="AJ11">
        <v>0.2</v>
      </c>
      <c r="AK11">
        <v>0.25</v>
      </c>
    </row>
    <row r="12" spans="1:37" x14ac:dyDescent="0.3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92</v>
      </c>
      <c r="E12" s="11">
        <f ca="1">SUMIFS(Bets!L:L,Bets!$I:$I,"&lt;="&amp;$B12,Bets!$I:$I,"&gt;="&amp;$C12,Bets!$M:$M,"&lt;&gt;",Bets!$R:$R, TRUE)</f>
        <v>237.79447387016029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8</v>
      </c>
      <c r="H12" s="11">
        <f ca="1">SUMIFS(Bets!N:N,Bets!$I:$I,"&lt;="&amp;$B12,Bets!$I:$I,"&gt;="&amp;$C12,Bets!$R:$R, TRUE)</f>
        <v>-58</v>
      </c>
      <c r="I12" s="17">
        <f t="shared" ca="1" si="2"/>
        <v>-0.63043478260869568</v>
      </c>
      <c r="AJ12">
        <v>0.25</v>
      </c>
      <c r="AK12">
        <v>0.3</v>
      </c>
    </row>
    <row r="13" spans="1:37" x14ac:dyDescent="0.3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5</v>
      </c>
      <c r="E13" s="11">
        <f ca="1">SUMIFS(Bets!L:L,Bets!$I:$I,"&lt;="&amp;$B13,Bets!$I:$I,"&gt;="&amp;$C13,Bets!$M:$M,"&lt;&gt;",Bets!$R:$R, TRUE)</f>
        <v>10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1</v>
      </c>
      <c r="H13" s="11">
        <f ca="1">SUMIFS(Bets!N:N,Bets!$I:$I,"&lt;="&amp;$B13,Bets!$I:$I,"&gt;="&amp;$C13,Bets!$R:$R, TRUE)</f>
        <v>-5</v>
      </c>
      <c r="I13" s="17">
        <f t="shared" ca="1" si="2"/>
        <v>-1</v>
      </c>
      <c r="AJ13">
        <v>0.3</v>
      </c>
      <c r="AK13">
        <v>0.35</v>
      </c>
    </row>
    <row r="14" spans="1:37" x14ac:dyDescent="0.3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102.33</v>
      </c>
      <c r="E14" s="11">
        <f ca="1">SUMIFS(Bets!L:L,Bets!$I:$I,"&lt;="&amp;$B14,Bets!$I:$I,"&gt;="&amp;$C14,Bets!$M:$M,"&lt;&gt;",Bets!$R:$R, TRUE)</f>
        <v>176.94400000000002</v>
      </c>
      <c r="F14">
        <f ca="1">COUNTIFS(Bets!$I:$I,"&lt;="&amp;$B14,Bets!$I:$I,"&gt;="&amp;$C14,Bets!$M:$M,"win",Bets!$B:$B,"&lt;&gt;",Bets!$R:$R, TRUE)</f>
        <v>4</v>
      </c>
      <c r="G14">
        <f ca="1">COUNTIFS(Bets!$I:$I,"&lt;="&amp;$B14,Bets!$I:$I,"&gt;="&amp;$C14,Bets!$M:$M,"loss",Bets!$B:$B,"&lt;&gt;",Bets!$R:$R, TRUE)</f>
        <v>4</v>
      </c>
      <c r="H14" s="11">
        <f ca="1">SUMIFS(Bets!N:N,Bets!$I:$I,"&lt;="&amp;$B14,Bets!$I:$I,"&gt;="&amp;$C14,Bets!$R:$R, TRUE)</f>
        <v>77.92</v>
      </c>
      <c r="I14" s="17">
        <f t="shared" ca="1" si="2"/>
        <v>0.76145802794879314</v>
      </c>
      <c r="AJ14">
        <v>0.35</v>
      </c>
      <c r="AK14">
        <v>0.4</v>
      </c>
    </row>
    <row r="15" spans="1:37" x14ac:dyDescent="0.3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45</v>
      </c>
      <c r="E15" s="11">
        <f ca="1">SUMIFS(Bets!L:L,Bets!$I:$I,"&lt;="&amp;$B15,Bets!$I:$I,"&gt;="&amp;$C15,Bets!$M:$M,"&lt;&gt;",Bets!$R:$R, TRUE)</f>
        <v>62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1</v>
      </c>
      <c r="H15" s="11">
        <f ca="1">SUMIFS(Bets!N:N,Bets!$I:$I,"&lt;="&amp;$B15,Bets!$I:$I,"&gt;="&amp;$C15,Bets!$R:$R, TRUE)</f>
        <v>50</v>
      </c>
      <c r="I15" s="17">
        <f t="shared" ca="1" si="2"/>
        <v>1.1111111111111112</v>
      </c>
      <c r="AJ15">
        <v>0.4</v>
      </c>
      <c r="AK15">
        <v>0.45</v>
      </c>
    </row>
    <row r="16" spans="1:37" x14ac:dyDescent="0.3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242.5</v>
      </c>
      <c r="E16" s="11">
        <f ca="1">SUMIFS(Bets!L:L,Bets!$I:$I,"&lt;="&amp;$B16,Bets!$I:$I,"&gt;="&amp;$C16,Bets!$M:$M,"&lt;&gt;",Bets!$R:$R, TRUE)</f>
        <v>265.125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2</v>
      </c>
      <c r="H16" s="11">
        <f ca="1">SUMIFS(Bets!N:N,Bets!$I:$I,"&lt;="&amp;$B16,Bets!$I:$I,"&gt;="&amp;$C16,Bets!$R:$R, TRUE)</f>
        <v>98.125</v>
      </c>
      <c r="I16" s="17">
        <f t="shared" ca="1" si="2"/>
        <v>0.40463917525773196</v>
      </c>
      <c r="AJ16">
        <v>0.45</v>
      </c>
      <c r="AK16">
        <v>0.5</v>
      </c>
    </row>
    <row r="17" spans="1:37" x14ac:dyDescent="0.3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71.539999999999992</v>
      </c>
      <c r="E17" s="11">
        <f ca="1">SUMIFS(Bets!L:L,Bets!$I:$I,"&lt;="&amp;$B17,Bets!$I:$I,"&gt;="&amp;$C17,Bets!$M:$M,"&lt;&gt;",Bets!$R:$R, TRUE)</f>
        <v>64.900000000000006</v>
      </c>
      <c r="F17">
        <f ca="1">COUNTIFS(Bets!$I:$I,"&lt;="&amp;$B17,Bets!$I:$I,"&gt;="&amp;$C17,Bets!$M:$M,"win",Bets!$B:$B,"&lt;&gt;",Bets!$R:$R, TRUE)</f>
        <v>5</v>
      </c>
      <c r="G17">
        <f ca="1">COUNTIFS(Bets!$I:$I,"&lt;="&amp;$B17,Bets!$I:$I,"&gt;="&amp;$C17,Bets!$M:$M,"loss",Bets!$B:$B,"&lt;&gt;",Bets!$R:$R, TRUE)</f>
        <v>3</v>
      </c>
      <c r="H17" s="11">
        <f ca="1">SUMIFS(Bets!N:N,Bets!$I:$I,"&lt;="&amp;$B17,Bets!$I:$I,"&gt;="&amp;$C17,Bets!$R:$R, TRUE)</f>
        <v>-5.49</v>
      </c>
      <c r="I17" s="17">
        <f t="shared" ca="1" si="2"/>
        <v>-7.6740285155157961E-2</v>
      </c>
      <c r="AJ17">
        <v>0.5</v>
      </c>
      <c r="AK17">
        <v>0.55000000000000004</v>
      </c>
    </row>
    <row r="18" spans="1:37" x14ac:dyDescent="0.3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38.35</v>
      </c>
      <c r="E18" s="11">
        <f ca="1">SUMIFS(Bets!L:L,Bets!$I:$I,"&lt;="&amp;$B18,Bets!$I:$I,"&gt;="&amp;$C18,Bets!$M:$M,"&lt;&gt;",Bets!$R:$R, TRUE)</f>
        <v>28</v>
      </c>
      <c r="F18">
        <f ca="1">COUNTIFS(Bets!$I:$I,"&lt;="&amp;$B18,Bets!$I:$I,"&gt;="&amp;$C18,Bets!$M:$M,"win",Bets!$B:$B,"&lt;&gt;",Bets!$R:$R, TRUE)</f>
        <v>2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28</v>
      </c>
      <c r="I18" s="17">
        <f t="shared" ca="1" si="2"/>
        <v>0.73011734028683184</v>
      </c>
      <c r="AJ18">
        <v>0.55000000000000004</v>
      </c>
      <c r="AK18">
        <v>0.6</v>
      </c>
    </row>
    <row r="19" spans="1:37" x14ac:dyDescent="0.3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197.85</v>
      </c>
      <c r="E19" s="11">
        <f ca="1">SUMIFS(Bets!L:L,Bets!$I:$I,"&lt;="&amp;$B19,Bets!$I:$I,"&gt;="&amp;$C19,Bets!$M:$M,"&lt;&gt;",Bets!$R:$R, TRUE)</f>
        <v>111</v>
      </c>
      <c r="F19">
        <f ca="1">COUNTIFS(Bets!$I:$I,"&lt;="&amp;$B19,Bets!$I:$I,"&gt;="&amp;$C19,Bets!$M:$M,"win",Bets!$B:$B,"&lt;&gt;",Bets!$R:$R, TRUE)</f>
        <v>1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-126.6</v>
      </c>
      <c r="I19" s="17">
        <f t="shared" ca="1" si="2"/>
        <v>-0.63987869598180436</v>
      </c>
      <c r="AJ19">
        <v>0.6</v>
      </c>
      <c r="AK19">
        <v>0.65</v>
      </c>
    </row>
    <row r="20" spans="1:37" x14ac:dyDescent="0.3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35.700000000000003</v>
      </c>
      <c r="E20" s="11">
        <f ca="1">SUMIFS(Bets!L:L,Bets!$I:$I,"&lt;="&amp;$B20,Bets!$I:$I,"&gt;="&amp;$C20,Bets!$M:$M,"&lt;&gt;",Bets!$R:$R, TRUE)</f>
        <v>17</v>
      </c>
      <c r="F20">
        <f ca="1">COUNTIFS(Bets!$I:$I,"&lt;="&amp;$B20,Bets!$I:$I,"&gt;="&amp;$C20,Bets!$M:$M,"win",Bets!$B:$B,"&lt;&gt;",Bets!$R:$R, TRUE)</f>
        <v>1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-14</v>
      </c>
      <c r="I20" s="17">
        <f t="shared" ca="1" si="2"/>
        <v>-0.39215686274509803</v>
      </c>
      <c r="AJ20">
        <v>0.65</v>
      </c>
      <c r="AK20">
        <v>0.7</v>
      </c>
    </row>
    <row r="21" spans="1:37" x14ac:dyDescent="0.3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59.5</v>
      </c>
      <c r="E21" s="11">
        <f ca="1">SUMIFS(Bets!L:L,Bets!$I:$I,"&lt;="&amp;$B21,Bets!$I:$I,"&gt;="&amp;$C21,Bets!$M:$M,"&lt;&gt;",Bets!$R:$R, TRUE)</f>
        <v>22</v>
      </c>
      <c r="F21">
        <f ca="1">COUNTIFS(Bets!$I:$I,"&lt;="&amp;$B21,Bets!$I:$I,"&gt;="&amp;$C21,Bets!$M:$M,"win",Bets!$B:$B,"&lt;&gt;",Bets!$R:$R, TRUE)</f>
        <v>3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22</v>
      </c>
      <c r="I21" s="17">
        <f t="shared" ca="1" si="2"/>
        <v>0.36974789915966388</v>
      </c>
      <c r="AJ21">
        <v>0.7</v>
      </c>
      <c r="AK21">
        <v>0.75</v>
      </c>
    </row>
    <row r="22" spans="1:37" x14ac:dyDescent="0.3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3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3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3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3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1152.07</v>
      </c>
      <c r="E26" s="13">
        <f ca="1">SUMIFS(Bets!L:L,Bets!$I:$I,"&lt;="&amp;$B26,Bets!$I:$I,"&gt;="&amp;$C26,Bets!$M:$M,"&lt;&gt;",Bets!$R:$R, TRUE)</f>
        <v>1343.130272968498</v>
      </c>
      <c r="F26" s="15">
        <f ca="1">COUNTIFS(Bets!$I:$I,"&lt;="&amp;$B26,Bets!$I:$I,"&gt;="&amp;$C26,Bets!$M:$M,"win",Bets!$B:$B,"&lt;&gt;",Bets!$R:$R, TRUE)</f>
        <v>26</v>
      </c>
      <c r="G26" s="15">
        <f ca="1">COUNTIFS(Bets!$I:$I,"&lt;="&amp;$B26,Bets!$I:$I,"&gt;="&amp;$C26,Bets!$M:$M,"loss",Bets!$B:$B,"&lt;&gt;",Bets!$R:$R, TRUE)</f>
        <v>33</v>
      </c>
      <c r="H26" s="13">
        <f ca="1">SUMIFS(Bets!N:N,Bets!$I:$I,"&lt;="&amp;$B26,Bets!$I:$I,"&gt;="&amp;$C26,Bets!$R:$R, TRUE)</f>
        <v>-34.844999999999999</v>
      </c>
      <c r="I26" s="18">
        <f ca="1">IFERROR((H26)/D26,"")</f>
        <v>-3.0245557995607908E-2</v>
      </c>
      <c r="AJ26">
        <f>1/101</f>
        <v>9.9009900990099011E-3</v>
      </c>
      <c r="AK26">
        <f>100/101</f>
        <v>0.99009900990099009</v>
      </c>
    </row>
    <row r="27" spans="1:37" x14ac:dyDescent="0.3">
      <c r="A27" s="2"/>
    </row>
    <row r="28" spans="1:37" x14ac:dyDescent="0.3">
      <c r="A28" s="2"/>
    </row>
    <row r="29" spans="1:37" x14ac:dyDescent="0.3">
      <c r="A29" s="2"/>
    </row>
    <row r="30" spans="1:37" x14ac:dyDescent="0.3">
      <c r="A30" s="2"/>
    </row>
  </sheetData>
  <mergeCells count="2">
    <mergeCell ref="I2:I4"/>
    <mergeCell ref="J2:J4"/>
  </mergeCells>
  <conditionalFormatting sqref="B8:C26">
    <cfRule type="expression" dxfId="5" priority="3">
      <formula>B8&lt;0</formula>
    </cfRule>
    <cfRule type="expression" dxfId="4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J9" sqref="J9"/>
    </sheetView>
  </sheetViews>
  <sheetFormatPr defaultRowHeight="14.4" x14ac:dyDescent="0.3"/>
  <cols>
    <col min="1" max="1" width="8.6640625" bestFit="1" customWidth="1"/>
    <col min="5" max="5" width="8.88671875" customWidth="1"/>
    <col min="6" max="6" width="10.5546875" bestFit="1" customWidth="1"/>
  </cols>
  <sheetData>
    <row r="1" spans="1:6" ht="33.75" customHeight="1" x14ac:dyDescent="0.3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3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3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3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3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3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3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3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3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3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3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3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3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3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3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3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3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3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3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3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3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3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3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3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3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3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3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3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3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3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3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3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3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3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3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3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3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3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3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3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3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3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3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3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3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3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3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3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3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3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3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3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3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3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3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3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3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x14ac:dyDescent="0.3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3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3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3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3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3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3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x14ac:dyDescent="0.3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3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3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3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3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3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3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x14ac:dyDescent="0.3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SUMIFS(Bets!N:N,Bets!B:B,'By Day'!$A72)</f>
        <v>-43</v>
      </c>
      <c r="F72" s="7">
        <f ca="1">SUM($E$2:E72)</f>
        <v>-22.804999999999996</v>
      </c>
    </row>
    <row r="73" spans="1:6" hidden="1" x14ac:dyDescent="0.3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-22.804999999999996</v>
      </c>
    </row>
    <row r="74" spans="1:6" hidden="1" x14ac:dyDescent="0.3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-22.804999999999996</v>
      </c>
    </row>
    <row r="75" spans="1:6" hidden="1" x14ac:dyDescent="0.3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-22.804999999999996</v>
      </c>
    </row>
    <row r="76" spans="1:6" hidden="1" x14ac:dyDescent="0.3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-22.804999999999996</v>
      </c>
    </row>
    <row r="77" spans="1:6" hidden="1" x14ac:dyDescent="0.3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-22.804999999999996</v>
      </c>
    </row>
    <row r="78" spans="1:6" hidden="1" x14ac:dyDescent="0.3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SUMIFS(Bets!N:N,Bets!B:B,'By Day'!$A78)</f>
        <v>10</v>
      </c>
      <c r="F78" s="7">
        <f ca="1">SUM($E$2:E78)</f>
        <v>-12.804999999999996</v>
      </c>
    </row>
    <row r="79" spans="1:6" hidden="1" x14ac:dyDescent="0.3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SUMIFS(Bets!N:N,Bets!B:B,'By Day'!$A79)</f>
        <v>-20</v>
      </c>
      <c r="F79" s="7">
        <f ca="1">SUM($E$2:E79)</f>
        <v>-32.804999999999993</v>
      </c>
    </row>
    <row r="80" spans="1:6" hidden="1" x14ac:dyDescent="0.3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SUMIFS(Bets!N:N,Bets!B:B,'By Day'!$A80)</f>
        <v>-2.0400000000000027</v>
      </c>
      <c r="F80" s="7">
        <f ca="1">SUM($E$2:E80)</f>
        <v>-34.844999999999999</v>
      </c>
    </row>
    <row r="81" spans="1:6" hidden="1" x14ac:dyDescent="0.3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-34.844999999999999</v>
      </c>
    </row>
    <row r="82" spans="1:6" hidden="1" x14ac:dyDescent="0.3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-34.844999999999999</v>
      </c>
    </row>
    <row r="83" spans="1:6" hidden="1" x14ac:dyDescent="0.3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-34.844999999999999</v>
      </c>
    </row>
    <row r="84" spans="1:6" hidden="1" x14ac:dyDescent="0.3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-34.844999999999999</v>
      </c>
    </row>
    <row r="85" spans="1:6" hidden="1" x14ac:dyDescent="0.3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-34.844999999999999</v>
      </c>
    </row>
    <row r="86" spans="1:6" hidden="1" x14ac:dyDescent="0.3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7">
        <f ca="1">SUMIFS(Bets!N:N,Bets!B:B,'By Day'!$A86)</f>
        <v>-16</v>
      </c>
      <c r="F86" s="7">
        <f ca="1">SUM($E$2:E86)</f>
        <v>-50.844999999999999</v>
      </c>
    </row>
    <row r="87" spans="1:6" hidden="1" x14ac:dyDescent="0.3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-50.844999999999999</v>
      </c>
    </row>
    <row r="88" spans="1:6" hidden="1" x14ac:dyDescent="0.3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-50.844999999999999</v>
      </c>
    </row>
    <row r="89" spans="1:6" hidden="1" x14ac:dyDescent="0.3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-50.844999999999999</v>
      </c>
    </row>
    <row r="90" spans="1:6" hidden="1" x14ac:dyDescent="0.3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-50.844999999999999</v>
      </c>
    </row>
    <row r="91" spans="1:6" hidden="1" x14ac:dyDescent="0.3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-50.844999999999999</v>
      </c>
    </row>
    <row r="92" spans="1:6" hidden="1" x14ac:dyDescent="0.3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-50.844999999999999</v>
      </c>
    </row>
    <row r="93" spans="1:6" hidden="1" x14ac:dyDescent="0.3">
      <c r="A93" s="19">
        <v>43526</v>
      </c>
      <c r="B93">
        <f>COUNTIFS(Bets!$B:$B,'By Day'!$A93,Bets!$M:$M,"win")</f>
        <v>0</v>
      </c>
      <c r="C93">
        <f>COUNTIFS(Bets!$B:$B,'By Day'!$A93,Bets!$M:$M,"loss")</f>
        <v>0</v>
      </c>
      <c r="D93">
        <f t="shared" si="1"/>
        <v>0</v>
      </c>
      <c r="E93" s="7">
        <f>SUMIFS(Bets!N:N,Bets!B:B,'By Day'!$A93)</f>
        <v>0</v>
      </c>
      <c r="F93" s="7">
        <f ca="1">SUM($E$2:E93)</f>
        <v>-50.844999999999999</v>
      </c>
    </row>
    <row r="94" spans="1:6" hidden="1" x14ac:dyDescent="0.3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-50.844999999999999</v>
      </c>
    </row>
    <row r="95" spans="1:6" hidden="1" x14ac:dyDescent="0.3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-50.844999999999999</v>
      </c>
    </row>
    <row r="96" spans="1:6" hidden="1" x14ac:dyDescent="0.3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-50.844999999999999</v>
      </c>
    </row>
    <row r="97" spans="1:6" hidden="1" x14ac:dyDescent="0.3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-50.844999999999999</v>
      </c>
    </row>
    <row r="98" spans="1:6" hidden="1" x14ac:dyDescent="0.3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-50.844999999999999</v>
      </c>
    </row>
    <row r="99" spans="1:6" hidden="1" x14ac:dyDescent="0.3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-50.844999999999999</v>
      </c>
    </row>
    <row r="100" spans="1:6" hidden="1" x14ac:dyDescent="0.3">
      <c r="A100" s="19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 ca="1">SUM($E$2:E100)</f>
        <v>-50.844999999999999</v>
      </c>
    </row>
    <row r="101" spans="1:6" hidden="1" x14ac:dyDescent="0.3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-50.844999999999999</v>
      </c>
    </row>
    <row r="102" spans="1:6" hidden="1" x14ac:dyDescent="0.3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-50.844999999999999</v>
      </c>
    </row>
    <row r="103" spans="1:6" hidden="1" x14ac:dyDescent="0.3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-50.844999999999999</v>
      </c>
    </row>
    <row r="104" spans="1:6" hidden="1" x14ac:dyDescent="0.3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-50.844999999999999</v>
      </c>
    </row>
    <row r="105" spans="1:6" hidden="1" x14ac:dyDescent="0.3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-50.844999999999999</v>
      </c>
    </row>
    <row r="106" spans="1:6" hidden="1" x14ac:dyDescent="0.3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-50.844999999999999</v>
      </c>
    </row>
    <row r="107" spans="1:6" hidden="1" x14ac:dyDescent="0.3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-50.844999999999999</v>
      </c>
    </row>
    <row r="108" spans="1:6" hidden="1" x14ac:dyDescent="0.3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-50.844999999999999</v>
      </c>
    </row>
    <row r="109" spans="1:6" hidden="1" x14ac:dyDescent="0.3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-50.844999999999999</v>
      </c>
    </row>
    <row r="110" spans="1:6" hidden="1" x14ac:dyDescent="0.3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-50.844999999999999</v>
      </c>
    </row>
    <row r="111" spans="1:6" hidden="1" x14ac:dyDescent="0.3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-50.844999999999999</v>
      </c>
    </row>
    <row r="112" spans="1:6" hidden="1" x14ac:dyDescent="0.3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-50.844999999999999</v>
      </c>
    </row>
    <row r="113" spans="1:6" hidden="1" x14ac:dyDescent="0.3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-50.844999999999999</v>
      </c>
    </row>
    <row r="114" spans="1:6" hidden="1" x14ac:dyDescent="0.3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-50.844999999999999</v>
      </c>
    </row>
    <row r="115" spans="1:6" hidden="1" x14ac:dyDescent="0.3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-50.844999999999999</v>
      </c>
    </row>
    <row r="116" spans="1:6" hidden="1" x14ac:dyDescent="0.3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-50.844999999999999</v>
      </c>
    </row>
    <row r="117" spans="1:6" hidden="1" x14ac:dyDescent="0.3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-50.844999999999999</v>
      </c>
    </row>
    <row r="118" spans="1:6" hidden="1" x14ac:dyDescent="0.3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-50.844999999999999</v>
      </c>
    </row>
    <row r="119" spans="1:6" hidden="1" x14ac:dyDescent="0.3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-50.844999999999999</v>
      </c>
    </row>
    <row r="120" spans="1:6" hidden="1" x14ac:dyDescent="0.3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-50.844999999999999</v>
      </c>
    </row>
    <row r="121" spans="1:6" hidden="1" x14ac:dyDescent="0.3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-50.844999999999999</v>
      </c>
    </row>
    <row r="122" spans="1:6" hidden="1" x14ac:dyDescent="0.3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-50.844999999999999</v>
      </c>
    </row>
    <row r="123" spans="1:6" hidden="1" x14ac:dyDescent="0.3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-50.844999999999999</v>
      </c>
    </row>
    <row r="124" spans="1:6" hidden="1" x14ac:dyDescent="0.3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-50.844999999999999</v>
      </c>
    </row>
    <row r="125" spans="1:6" hidden="1" x14ac:dyDescent="0.3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-50.844999999999999</v>
      </c>
    </row>
    <row r="126" spans="1:6" hidden="1" x14ac:dyDescent="0.3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-50.844999999999999</v>
      </c>
    </row>
    <row r="127" spans="1:6" hidden="1" x14ac:dyDescent="0.3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-50.844999999999999</v>
      </c>
    </row>
    <row r="128" spans="1:6" hidden="1" x14ac:dyDescent="0.3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-50.844999999999999</v>
      </c>
    </row>
    <row r="129" spans="1:6" hidden="1" x14ac:dyDescent="0.3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-50.844999999999999</v>
      </c>
    </row>
    <row r="130" spans="1:6" hidden="1" x14ac:dyDescent="0.3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-50.844999999999999</v>
      </c>
    </row>
    <row r="131" spans="1:6" hidden="1" x14ac:dyDescent="0.3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-50.844999999999999</v>
      </c>
    </row>
    <row r="132" spans="1:6" hidden="1" x14ac:dyDescent="0.3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-50.844999999999999</v>
      </c>
    </row>
    <row r="133" spans="1:6" hidden="1" x14ac:dyDescent="0.3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-50.844999999999999</v>
      </c>
    </row>
    <row r="134" spans="1:6" hidden="1" x14ac:dyDescent="0.3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-50.844999999999999</v>
      </c>
    </row>
    <row r="135" spans="1:6" hidden="1" x14ac:dyDescent="0.3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-50.844999999999999</v>
      </c>
    </row>
    <row r="136" spans="1:6" hidden="1" x14ac:dyDescent="0.3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-50.844999999999999</v>
      </c>
    </row>
    <row r="137" spans="1:6" hidden="1" x14ac:dyDescent="0.3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-50.844999999999999</v>
      </c>
    </row>
    <row r="138" spans="1:6" hidden="1" x14ac:dyDescent="0.3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-50.844999999999999</v>
      </c>
    </row>
    <row r="139" spans="1:6" hidden="1" x14ac:dyDescent="0.3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-50.844999999999999</v>
      </c>
    </row>
    <row r="140" spans="1:6" hidden="1" x14ac:dyDescent="0.3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-50.844999999999999</v>
      </c>
    </row>
    <row r="141" spans="1:6" hidden="1" x14ac:dyDescent="0.3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-50.844999999999999</v>
      </c>
    </row>
    <row r="142" spans="1:6" hidden="1" x14ac:dyDescent="0.3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-50.844999999999999</v>
      </c>
    </row>
    <row r="143" spans="1:6" hidden="1" x14ac:dyDescent="0.3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-50.844999999999999</v>
      </c>
    </row>
    <row r="144" spans="1:6" hidden="1" x14ac:dyDescent="0.3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-50.844999999999999</v>
      </c>
    </row>
    <row r="145" spans="1:6" hidden="1" x14ac:dyDescent="0.3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-50.844999999999999</v>
      </c>
    </row>
    <row r="146" spans="1:6" hidden="1" x14ac:dyDescent="0.3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-50.844999999999999</v>
      </c>
    </row>
    <row r="147" spans="1:6" hidden="1" x14ac:dyDescent="0.3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-50.844999999999999</v>
      </c>
    </row>
    <row r="148" spans="1:6" hidden="1" x14ac:dyDescent="0.3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-50.844999999999999</v>
      </c>
    </row>
    <row r="149" spans="1:6" hidden="1" x14ac:dyDescent="0.3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-50.844999999999999</v>
      </c>
    </row>
    <row r="150" spans="1:6" hidden="1" x14ac:dyDescent="0.3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-50.844999999999999</v>
      </c>
    </row>
    <row r="151" spans="1:6" hidden="1" x14ac:dyDescent="0.3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-50.844999999999999</v>
      </c>
    </row>
    <row r="152" spans="1:6" hidden="1" x14ac:dyDescent="0.3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-50.844999999999999</v>
      </c>
    </row>
    <row r="153" spans="1:6" hidden="1" x14ac:dyDescent="0.3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-50.844999999999999</v>
      </c>
    </row>
    <row r="154" spans="1:6" hidden="1" x14ac:dyDescent="0.3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-50.844999999999999</v>
      </c>
    </row>
    <row r="155" spans="1:6" hidden="1" x14ac:dyDescent="0.3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-50.844999999999999</v>
      </c>
    </row>
    <row r="156" spans="1:6" hidden="1" x14ac:dyDescent="0.3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-50.844999999999999</v>
      </c>
    </row>
    <row r="157" spans="1:6" hidden="1" x14ac:dyDescent="0.3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-50.844999999999999</v>
      </c>
    </row>
    <row r="158" spans="1:6" hidden="1" x14ac:dyDescent="0.3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-50.844999999999999</v>
      </c>
    </row>
    <row r="159" spans="1:6" hidden="1" x14ac:dyDescent="0.3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-50.844999999999999</v>
      </c>
    </row>
    <row r="160" spans="1:6" hidden="1" x14ac:dyDescent="0.3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-50.844999999999999</v>
      </c>
    </row>
    <row r="161" spans="1:6" hidden="1" x14ac:dyDescent="0.3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-50.844999999999999</v>
      </c>
    </row>
    <row r="162" spans="1:6" hidden="1" x14ac:dyDescent="0.3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-50.844999999999999</v>
      </c>
    </row>
    <row r="163" spans="1:6" hidden="1" x14ac:dyDescent="0.3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-50.844999999999999</v>
      </c>
    </row>
    <row r="164" spans="1:6" hidden="1" x14ac:dyDescent="0.3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-50.844999999999999</v>
      </c>
    </row>
    <row r="165" spans="1:6" hidden="1" x14ac:dyDescent="0.3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-50.844999999999999</v>
      </c>
    </row>
    <row r="166" spans="1:6" hidden="1" x14ac:dyDescent="0.3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-50.844999999999999</v>
      </c>
    </row>
    <row r="167" spans="1:6" hidden="1" x14ac:dyDescent="0.3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-50.844999999999999</v>
      </c>
    </row>
    <row r="168" spans="1:6" hidden="1" x14ac:dyDescent="0.3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-50.844999999999999</v>
      </c>
    </row>
    <row r="169" spans="1:6" hidden="1" x14ac:dyDescent="0.3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-50.844999999999999</v>
      </c>
    </row>
    <row r="170" spans="1:6" hidden="1" x14ac:dyDescent="0.3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-50.844999999999999</v>
      </c>
    </row>
    <row r="171" spans="1:6" hidden="1" x14ac:dyDescent="0.3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-50.844999999999999</v>
      </c>
    </row>
    <row r="172" spans="1:6" hidden="1" x14ac:dyDescent="0.3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-50.844999999999999</v>
      </c>
    </row>
    <row r="173" spans="1:6" hidden="1" x14ac:dyDescent="0.3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-50.844999999999999</v>
      </c>
    </row>
    <row r="174" spans="1:6" hidden="1" x14ac:dyDescent="0.3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-50.844999999999999</v>
      </c>
    </row>
    <row r="175" spans="1:6" hidden="1" x14ac:dyDescent="0.3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-50.844999999999999</v>
      </c>
    </row>
    <row r="176" spans="1:6" hidden="1" x14ac:dyDescent="0.3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-50.844999999999999</v>
      </c>
    </row>
    <row r="177" spans="1:6" hidden="1" x14ac:dyDescent="0.3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-50.844999999999999</v>
      </c>
    </row>
    <row r="178" spans="1:6" hidden="1" x14ac:dyDescent="0.3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-50.844999999999999</v>
      </c>
    </row>
    <row r="179" spans="1:6" hidden="1" x14ac:dyDescent="0.3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-50.844999999999999</v>
      </c>
    </row>
    <row r="180" spans="1:6" hidden="1" x14ac:dyDescent="0.3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-50.844999999999999</v>
      </c>
    </row>
    <row r="181" spans="1:6" hidden="1" x14ac:dyDescent="0.3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-50.844999999999999</v>
      </c>
    </row>
    <row r="182" spans="1:6" hidden="1" x14ac:dyDescent="0.3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-50.844999999999999</v>
      </c>
    </row>
    <row r="183" spans="1:6" hidden="1" x14ac:dyDescent="0.3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-50.844999999999999</v>
      </c>
    </row>
    <row r="184" spans="1:6" hidden="1" x14ac:dyDescent="0.3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-50.844999999999999</v>
      </c>
    </row>
    <row r="185" spans="1:6" hidden="1" x14ac:dyDescent="0.3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-50.844999999999999</v>
      </c>
    </row>
    <row r="186" spans="1:6" hidden="1" x14ac:dyDescent="0.3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-50.844999999999999</v>
      </c>
    </row>
    <row r="187" spans="1:6" hidden="1" x14ac:dyDescent="0.3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-50.844999999999999</v>
      </c>
    </row>
    <row r="188" spans="1:6" hidden="1" x14ac:dyDescent="0.3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-50.844999999999999</v>
      </c>
    </row>
    <row r="189" spans="1:6" hidden="1" x14ac:dyDescent="0.3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-50.844999999999999</v>
      </c>
    </row>
    <row r="190" spans="1:6" hidden="1" x14ac:dyDescent="0.3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-50.844999999999999</v>
      </c>
    </row>
    <row r="191" spans="1:6" hidden="1" x14ac:dyDescent="0.3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-50.844999999999999</v>
      </c>
    </row>
    <row r="192" spans="1:6" hidden="1" x14ac:dyDescent="0.3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-50.844999999999999</v>
      </c>
    </row>
    <row r="193" spans="1:6" hidden="1" x14ac:dyDescent="0.3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-50.844999999999999</v>
      </c>
    </row>
    <row r="194" spans="1:6" hidden="1" x14ac:dyDescent="0.3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-50.844999999999999</v>
      </c>
    </row>
    <row r="195" spans="1:6" hidden="1" x14ac:dyDescent="0.3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-50.844999999999999</v>
      </c>
    </row>
    <row r="196" spans="1:6" hidden="1" x14ac:dyDescent="0.3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-50.844999999999999</v>
      </c>
    </row>
    <row r="197" spans="1:6" hidden="1" x14ac:dyDescent="0.3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-50.844999999999999</v>
      </c>
    </row>
    <row r="198" spans="1:6" hidden="1" x14ac:dyDescent="0.3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-50.844999999999999</v>
      </c>
    </row>
    <row r="199" spans="1:6" hidden="1" x14ac:dyDescent="0.3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-50.844999999999999</v>
      </c>
    </row>
    <row r="200" spans="1:6" hidden="1" x14ac:dyDescent="0.3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-50.844999999999999</v>
      </c>
    </row>
    <row r="201" spans="1:6" hidden="1" x14ac:dyDescent="0.3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-50.844999999999999</v>
      </c>
    </row>
    <row r="202" spans="1:6" hidden="1" x14ac:dyDescent="0.3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-50.844999999999999</v>
      </c>
    </row>
    <row r="203" spans="1:6" hidden="1" x14ac:dyDescent="0.3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-50.844999999999999</v>
      </c>
    </row>
    <row r="204" spans="1:6" hidden="1" x14ac:dyDescent="0.3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-50.844999999999999</v>
      </c>
    </row>
    <row r="205" spans="1:6" hidden="1" x14ac:dyDescent="0.3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-50.844999999999999</v>
      </c>
    </row>
    <row r="206" spans="1:6" hidden="1" x14ac:dyDescent="0.3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-50.844999999999999</v>
      </c>
    </row>
    <row r="207" spans="1:6" hidden="1" x14ac:dyDescent="0.3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-50.844999999999999</v>
      </c>
    </row>
    <row r="208" spans="1:6" hidden="1" x14ac:dyDescent="0.3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-50.844999999999999</v>
      </c>
    </row>
    <row r="209" spans="1:6" hidden="1" x14ac:dyDescent="0.3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-50.844999999999999</v>
      </c>
    </row>
    <row r="210" spans="1:6" hidden="1" x14ac:dyDescent="0.3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-50.844999999999999</v>
      </c>
    </row>
    <row r="211" spans="1:6" hidden="1" x14ac:dyDescent="0.3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-50.844999999999999</v>
      </c>
    </row>
    <row r="212" spans="1:6" hidden="1" x14ac:dyDescent="0.3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-50.844999999999999</v>
      </c>
    </row>
    <row r="213" spans="1:6" hidden="1" x14ac:dyDescent="0.3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-50.844999999999999</v>
      </c>
    </row>
    <row r="214" spans="1:6" hidden="1" x14ac:dyDescent="0.3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-50.844999999999999</v>
      </c>
    </row>
    <row r="215" spans="1:6" hidden="1" x14ac:dyDescent="0.3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-50.844999999999999</v>
      </c>
    </row>
    <row r="216" spans="1:6" hidden="1" x14ac:dyDescent="0.3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-50.844999999999999</v>
      </c>
    </row>
    <row r="217" spans="1:6" hidden="1" x14ac:dyDescent="0.3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-50.844999999999999</v>
      </c>
    </row>
    <row r="218" spans="1:6" hidden="1" x14ac:dyDescent="0.3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-50.844999999999999</v>
      </c>
    </row>
    <row r="219" spans="1:6" hidden="1" x14ac:dyDescent="0.3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-50.844999999999999</v>
      </c>
    </row>
    <row r="220" spans="1:6" hidden="1" x14ac:dyDescent="0.3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-50.844999999999999</v>
      </c>
    </row>
    <row r="221" spans="1:6" hidden="1" x14ac:dyDescent="0.3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-50.844999999999999</v>
      </c>
    </row>
    <row r="222" spans="1:6" hidden="1" x14ac:dyDescent="0.3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-50.844999999999999</v>
      </c>
    </row>
    <row r="223" spans="1:6" hidden="1" x14ac:dyDescent="0.3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-50.844999999999999</v>
      </c>
    </row>
    <row r="224" spans="1:6" hidden="1" x14ac:dyDescent="0.3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-50.844999999999999</v>
      </c>
    </row>
    <row r="225" spans="1:6" hidden="1" x14ac:dyDescent="0.3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-50.844999999999999</v>
      </c>
    </row>
    <row r="226" spans="1:6" hidden="1" x14ac:dyDescent="0.3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-50.844999999999999</v>
      </c>
    </row>
    <row r="227" spans="1:6" hidden="1" x14ac:dyDescent="0.3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-50.844999999999999</v>
      </c>
    </row>
    <row r="228" spans="1:6" hidden="1" x14ac:dyDescent="0.3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-50.844999999999999</v>
      </c>
    </row>
    <row r="229" spans="1:6" hidden="1" x14ac:dyDescent="0.3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-50.844999999999999</v>
      </c>
    </row>
    <row r="230" spans="1:6" hidden="1" x14ac:dyDescent="0.3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-50.844999999999999</v>
      </c>
    </row>
    <row r="231" spans="1:6" hidden="1" x14ac:dyDescent="0.3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-50.844999999999999</v>
      </c>
    </row>
    <row r="232" spans="1:6" hidden="1" x14ac:dyDescent="0.3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-50.844999999999999</v>
      </c>
    </row>
    <row r="233" spans="1:6" hidden="1" x14ac:dyDescent="0.3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-50.844999999999999</v>
      </c>
    </row>
    <row r="234" spans="1:6" hidden="1" x14ac:dyDescent="0.3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-50.844999999999999</v>
      </c>
    </row>
    <row r="235" spans="1:6" hidden="1" x14ac:dyDescent="0.3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-50.844999999999999</v>
      </c>
    </row>
    <row r="236" spans="1:6" hidden="1" x14ac:dyDescent="0.3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-50.844999999999999</v>
      </c>
    </row>
    <row r="237" spans="1:6" hidden="1" x14ac:dyDescent="0.3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-50.844999999999999</v>
      </c>
    </row>
    <row r="238" spans="1:6" hidden="1" x14ac:dyDescent="0.3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-50.844999999999999</v>
      </c>
    </row>
    <row r="239" spans="1:6" hidden="1" x14ac:dyDescent="0.3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-50.844999999999999</v>
      </c>
    </row>
    <row r="240" spans="1:6" hidden="1" x14ac:dyDescent="0.3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-50.844999999999999</v>
      </c>
    </row>
    <row r="241" spans="1:6" hidden="1" x14ac:dyDescent="0.3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-50.844999999999999</v>
      </c>
    </row>
    <row r="242" spans="1:6" hidden="1" x14ac:dyDescent="0.3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-50.844999999999999</v>
      </c>
    </row>
    <row r="243" spans="1:6" hidden="1" x14ac:dyDescent="0.3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-50.844999999999999</v>
      </c>
    </row>
    <row r="244" spans="1:6" hidden="1" x14ac:dyDescent="0.3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-50.844999999999999</v>
      </c>
    </row>
    <row r="245" spans="1:6" hidden="1" x14ac:dyDescent="0.3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-50.844999999999999</v>
      </c>
    </row>
    <row r="246" spans="1:6" hidden="1" x14ac:dyDescent="0.3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-50.844999999999999</v>
      </c>
    </row>
    <row r="247" spans="1:6" hidden="1" x14ac:dyDescent="0.3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-50.844999999999999</v>
      </c>
    </row>
    <row r="248" spans="1:6" hidden="1" x14ac:dyDescent="0.3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-50.844999999999999</v>
      </c>
    </row>
    <row r="249" spans="1:6" hidden="1" x14ac:dyDescent="0.3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-50.844999999999999</v>
      </c>
    </row>
    <row r="250" spans="1:6" hidden="1" x14ac:dyDescent="0.3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-50.844999999999999</v>
      </c>
    </row>
    <row r="251" spans="1:6" hidden="1" x14ac:dyDescent="0.3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-50.844999999999999</v>
      </c>
    </row>
    <row r="252" spans="1:6" hidden="1" x14ac:dyDescent="0.3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-50.844999999999999</v>
      </c>
    </row>
    <row r="253" spans="1:6" hidden="1" x14ac:dyDescent="0.3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-50.844999999999999</v>
      </c>
    </row>
    <row r="254" spans="1:6" hidden="1" x14ac:dyDescent="0.3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-50.844999999999999</v>
      </c>
    </row>
    <row r="255" spans="1:6" hidden="1" x14ac:dyDescent="0.3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-50.844999999999999</v>
      </c>
    </row>
    <row r="256" spans="1:6" hidden="1" x14ac:dyDescent="0.3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-50.844999999999999</v>
      </c>
    </row>
    <row r="257" spans="1:6" hidden="1" x14ac:dyDescent="0.3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-50.844999999999999</v>
      </c>
    </row>
    <row r="258" spans="1:6" hidden="1" x14ac:dyDescent="0.3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-50.844999999999999</v>
      </c>
    </row>
    <row r="259" spans="1:6" hidden="1" x14ac:dyDescent="0.3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-50.844999999999999</v>
      </c>
    </row>
    <row r="260" spans="1:6" hidden="1" x14ac:dyDescent="0.3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-50.844999999999999</v>
      </c>
    </row>
    <row r="261" spans="1:6" hidden="1" x14ac:dyDescent="0.3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-50.844999999999999</v>
      </c>
    </row>
    <row r="262" spans="1:6" hidden="1" x14ac:dyDescent="0.3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-50.844999999999999</v>
      </c>
    </row>
    <row r="263" spans="1:6" hidden="1" x14ac:dyDescent="0.3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-50.844999999999999</v>
      </c>
    </row>
    <row r="264" spans="1:6" hidden="1" x14ac:dyDescent="0.3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-50.844999999999999</v>
      </c>
    </row>
    <row r="265" spans="1:6" hidden="1" x14ac:dyDescent="0.3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-50.844999999999999</v>
      </c>
    </row>
    <row r="266" spans="1:6" hidden="1" x14ac:dyDescent="0.3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-50.844999999999999</v>
      </c>
    </row>
    <row r="267" spans="1:6" hidden="1" x14ac:dyDescent="0.3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-50.844999999999999</v>
      </c>
    </row>
    <row r="268" spans="1:6" hidden="1" x14ac:dyDescent="0.3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-50.844999999999999</v>
      </c>
    </row>
    <row r="269" spans="1:6" hidden="1" x14ac:dyDescent="0.3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-50.844999999999999</v>
      </c>
    </row>
    <row r="270" spans="1:6" hidden="1" x14ac:dyDescent="0.3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-50.844999999999999</v>
      </c>
    </row>
    <row r="271" spans="1:6" hidden="1" x14ac:dyDescent="0.3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-50.844999999999999</v>
      </c>
    </row>
    <row r="272" spans="1:6" hidden="1" x14ac:dyDescent="0.3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-50.844999999999999</v>
      </c>
    </row>
    <row r="273" spans="1:6" hidden="1" x14ac:dyDescent="0.3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-50.844999999999999</v>
      </c>
    </row>
    <row r="274" spans="1:6" hidden="1" x14ac:dyDescent="0.3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-50.844999999999999</v>
      </c>
    </row>
    <row r="275" spans="1:6" hidden="1" x14ac:dyDescent="0.3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-50.844999999999999</v>
      </c>
    </row>
    <row r="276" spans="1:6" hidden="1" x14ac:dyDescent="0.3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-50.844999999999999</v>
      </c>
    </row>
    <row r="277" spans="1:6" hidden="1" x14ac:dyDescent="0.3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-50.844999999999999</v>
      </c>
    </row>
    <row r="278" spans="1:6" hidden="1" x14ac:dyDescent="0.3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-50.844999999999999</v>
      </c>
    </row>
    <row r="279" spans="1:6" hidden="1" x14ac:dyDescent="0.3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-50.844999999999999</v>
      </c>
    </row>
    <row r="280" spans="1:6" hidden="1" x14ac:dyDescent="0.3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-50.844999999999999</v>
      </c>
    </row>
    <row r="281" spans="1:6" hidden="1" x14ac:dyDescent="0.3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-50.844999999999999</v>
      </c>
    </row>
    <row r="282" spans="1:6" hidden="1" x14ac:dyDescent="0.3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-50.844999999999999</v>
      </c>
    </row>
    <row r="283" spans="1:6" hidden="1" x14ac:dyDescent="0.3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-50.844999999999999</v>
      </c>
    </row>
    <row r="284" spans="1:6" hidden="1" x14ac:dyDescent="0.3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-50.844999999999999</v>
      </c>
    </row>
    <row r="285" spans="1:6" hidden="1" x14ac:dyDescent="0.3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-50.844999999999999</v>
      </c>
    </row>
    <row r="286" spans="1:6" hidden="1" x14ac:dyDescent="0.3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-50.844999999999999</v>
      </c>
    </row>
    <row r="287" spans="1:6" hidden="1" x14ac:dyDescent="0.3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-50.844999999999999</v>
      </c>
    </row>
    <row r="288" spans="1:6" hidden="1" x14ac:dyDescent="0.3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-50.844999999999999</v>
      </c>
    </row>
    <row r="289" spans="1:6" hidden="1" x14ac:dyDescent="0.3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-50.844999999999999</v>
      </c>
    </row>
    <row r="290" spans="1:6" hidden="1" x14ac:dyDescent="0.3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-50.844999999999999</v>
      </c>
    </row>
    <row r="291" spans="1:6" hidden="1" x14ac:dyDescent="0.3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-50.844999999999999</v>
      </c>
    </row>
    <row r="292" spans="1:6" hidden="1" x14ac:dyDescent="0.3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-50.844999999999999</v>
      </c>
    </row>
    <row r="293" spans="1:6" hidden="1" x14ac:dyDescent="0.3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-50.844999999999999</v>
      </c>
    </row>
    <row r="294" spans="1:6" hidden="1" x14ac:dyDescent="0.3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-50.844999999999999</v>
      </c>
    </row>
    <row r="295" spans="1:6" hidden="1" x14ac:dyDescent="0.3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-50.844999999999999</v>
      </c>
    </row>
    <row r="296" spans="1:6" hidden="1" x14ac:dyDescent="0.3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-50.844999999999999</v>
      </c>
    </row>
    <row r="297" spans="1:6" hidden="1" x14ac:dyDescent="0.3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-50.844999999999999</v>
      </c>
    </row>
    <row r="298" spans="1:6" hidden="1" x14ac:dyDescent="0.3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-50.844999999999999</v>
      </c>
    </row>
    <row r="299" spans="1:6" hidden="1" x14ac:dyDescent="0.3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-50.844999999999999</v>
      </c>
    </row>
    <row r="300" spans="1:6" hidden="1" x14ac:dyDescent="0.3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-50.844999999999999</v>
      </c>
    </row>
    <row r="301" spans="1:6" hidden="1" x14ac:dyDescent="0.3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-50.844999999999999</v>
      </c>
    </row>
    <row r="302" spans="1:6" hidden="1" x14ac:dyDescent="0.3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-50.844999999999999</v>
      </c>
    </row>
    <row r="303" spans="1:6" hidden="1" x14ac:dyDescent="0.3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-50.844999999999999</v>
      </c>
    </row>
    <row r="304" spans="1:6" hidden="1" x14ac:dyDescent="0.3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-50.844999999999999</v>
      </c>
    </row>
    <row r="305" spans="1:6" hidden="1" x14ac:dyDescent="0.3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-50.844999999999999</v>
      </c>
    </row>
    <row r="306" spans="1:6" hidden="1" x14ac:dyDescent="0.3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-50.844999999999999</v>
      </c>
    </row>
    <row r="307" spans="1:6" hidden="1" x14ac:dyDescent="0.3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-50.844999999999999</v>
      </c>
    </row>
    <row r="308" spans="1:6" hidden="1" x14ac:dyDescent="0.3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-50.844999999999999</v>
      </c>
    </row>
    <row r="309" spans="1:6" hidden="1" x14ac:dyDescent="0.3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-50.844999999999999</v>
      </c>
    </row>
    <row r="310" spans="1:6" hidden="1" x14ac:dyDescent="0.3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-50.844999999999999</v>
      </c>
    </row>
    <row r="311" spans="1:6" hidden="1" x14ac:dyDescent="0.3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-50.844999999999999</v>
      </c>
    </row>
    <row r="312" spans="1:6" hidden="1" x14ac:dyDescent="0.3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-50.844999999999999</v>
      </c>
    </row>
    <row r="313" spans="1:6" hidden="1" x14ac:dyDescent="0.3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-50.844999999999999</v>
      </c>
    </row>
    <row r="314" spans="1:6" hidden="1" x14ac:dyDescent="0.3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-50.844999999999999</v>
      </c>
    </row>
    <row r="315" spans="1:6" hidden="1" x14ac:dyDescent="0.3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-50.844999999999999</v>
      </c>
    </row>
    <row r="316" spans="1:6" hidden="1" x14ac:dyDescent="0.3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-50.844999999999999</v>
      </c>
    </row>
    <row r="317" spans="1:6" hidden="1" x14ac:dyDescent="0.3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-50.844999999999999</v>
      </c>
    </row>
    <row r="318" spans="1:6" hidden="1" x14ac:dyDescent="0.3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-50.844999999999999</v>
      </c>
    </row>
    <row r="319" spans="1:6" hidden="1" x14ac:dyDescent="0.3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-50.844999999999999</v>
      </c>
    </row>
    <row r="320" spans="1:6" hidden="1" x14ac:dyDescent="0.3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-50.844999999999999</v>
      </c>
    </row>
    <row r="321" spans="1:6" hidden="1" x14ac:dyDescent="0.3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-50.844999999999999</v>
      </c>
    </row>
    <row r="322" spans="1:6" hidden="1" x14ac:dyDescent="0.3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-50.844999999999999</v>
      </c>
    </row>
    <row r="323" spans="1:6" hidden="1" x14ac:dyDescent="0.3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-50.844999999999999</v>
      </c>
    </row>
    <row r="324" spans="1:6" hidden="1" x14ac:dyDescent="0.3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-50.844999999999999</v>
      </c>
    </row>
    <row r="325" spans="1:6" hidden="1" x14ac:dyDescent="0.3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-50.844999999999999</v>
      </c>
    </row>
    <row r="326" spans="1:6" hidden="1" x14ac:dyDescent="0.3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-50.844999999999999</v>
      </c>
    </row>
  </sheetData>
  <autoFilter ref="A1:F326" xr:uid="{346C787A-8CAF-4384-AD5D-125844F9E439}">
    <filterColumn colId="4">
      <filters>
        <filter val="-$11.30"/>
        <filter val="$32.50"/>
        <filter val="-$40.00"/>
        <filter val="-$47.83"/>
        <filter val="-$5.00"/>
        <filter val="$52.83"/>
        <filter val="-$62.00"/>
        <filter val="$8.00"/>
        <filter val="-$80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anort</cp:lastModifiedBy>
  <dcterms:created xsi:type="dcterms:W3CDTF">2019-01-17T06:17:18Z</dcterms:created>
  <dcterms:modified xsi:type="dcterms:W3CDTF">2019-02-24T19:51:54Z</dcterms:modified>
</cp:coreProperties>
</file>